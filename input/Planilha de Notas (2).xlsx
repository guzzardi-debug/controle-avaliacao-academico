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enchimento" sheetId="1" r:id="rId4"/>
    <sheet state="visible" name="Treinamentos" sheetId="2" r:id="rId5"/>
    <sheet state="visible" name="Avaliações" sheetId="3" r:id="rId6"/>
    <sheet state="visible" name="DPO" sheetId="4" r:id="rId7"/>
    <sheet state="visible" name="NC" sheetId="5" r:id="rId8"/>
    <sheet state="visible" name="Resultados" sheetId="6" r:id="rId9"/>
    <sheet state="visible" name="Classificados" sheetId="7" r:id="rId10"/>
    <sheet state="hidden" name="Distribuição de pontuação" sheetId="8" r:id="rId11"/>
  </sheets>
  <definedNames/>
  <calcPr/>
  <extLst>
    <ext uri="GoogleSheetsCustomDataVersion2">
      <go:sheetsCustomData xmlns:go="http://customooxmlschemas.google.com/" r:id="rId12" roundtripDataChecksum="34gd3sYbwy7TGWGNjvjAo/b7oa5zuhQLjPAhQp7nFBk="/>
    </ext>
  </extLst>
</workbook>
</file>

<file path=xl/sharedStrings.xml><?xml version="1.0" encoding="utf-8"?>
<sst xmlns="http://schemas.openxmlformats.org/spreadsheetml/2006/main" count="149" uniqueCount="101">
  <si>
    <t>Tabela de Preenchimento de Notas</t>
  </si>
  <si>
    <t>DÚVIDAS ENTRAR EM CONTATO: Manoela Pugliese                  SECRETÁRIA GERAL ADJUNTA RH@INTERNATIONALI.COM.BR   63 992794306</t>
  </si>
  <si>
    <t>Gestor</t>
  </si>
  <si>
    <t>Secretário</t>
  </si>
  <si>
    <t>Trainee</t>
  </si>
  <si>
    <t>Número de Treinamentos</t>
  </si>
  <si>
    <t>Nome</t>
  </si>
  <si>
    <t>Telefone</t>
  </si>
  <si>
    <t>Noite Cultural</t>
  </si>
  <si>
    <t>E-mail</t>
  </si>
  <si>
    <t>Série/turma</t>
  </si>
  <si>
    <t>Função</t>
  </si>
  <si>
    <t>Grupo Noite Cultural</t>
  </si>
  <si>
    <t>Unidade Escolar</t>
  </si>
  <si>
    <t>Média</t>
  </si>
  <si>
    <t>Avaliação do Diretor</t>
  </si>
  <si>
    <t>Presença</t>
  </si>
  <si>
    <t>Diplomacia e Respeito às regras</t>
  </si>
  <si>
    <t>Fidelidade à Função designada</t>
  </si>
  <si>
    <t>Contribuição</t>
  </si>
  <si>
    <t>Participação</t>
  </si>
  <si>
    <t>1ª Sessão</t>
  </si>
  <si>
    <t>2ª Sessão</t>
  </si>
  <si>
    <t>3ª Sessão</t>
  </si>
  <si>
    <t>4ª Sessão</t>
  </si>
  <si>
    <t>5ª Sessão</t>
  </si>
  <si>
    <t>Falta</t>
  </si>
  <si>
    <t>Avaliação Escrita</t>
  </si>
  <si>
    <t>Ortografia</t>
  </si>
  <si>
    <t>Conteúdo</t>
  </si>
  <si>
    <t>Apresentação</t>
  </si>
  <si>
    <t>Respeito ao prazo</t>
  </si>
  <si>
    <t>Tipo de Avaliação</t>
  </si>
  <si>
    <t>AUTOPREENCHIMENTO DE NOTAS - NOITE CULTURAL</t>
  </si>
  <si>
    <t>Apresentação de Palco</t>
  </si>
  <si>
    <t>Estande</t>
  </si>
  <si>
    <t>Grupo</t>
  </si>
  <si>
    <t>Tempo</t>
  </si>
  <si>
    <t>Originalidade</t>
  </si>
  <si>
    <t>Caracterização</t>
  </si>
  <si>
    <t xml:space="preserve">Tempo </t>
  </si>
  <si>
    <t xml:space="preserve">Originalidade </t>
  </si>
  <si>
    <t xml:space="preserve">Caracterização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</si>
  <si>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</si>
  <si>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</si>
  <si>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</si>
  <si>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</si>
  <si>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</si>
  <si>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</si>
  <si>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</si>
  <si>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</si>
  <si>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</si>
  <si>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</si>
  <si>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</si>
  <si>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</si>
  <si>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</si>
  <si>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</si>
  <si>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</si>
  <si>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</si>
  <si>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</si>
  <si>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</si>
  <si>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</si>
  <si>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</si>
  <si>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</si>
  <si>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</si>
  <si>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</si>
  <si>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</si>
  <si>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</si>
  <si>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</si>
  <si>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Nota Final</t>
  </si>
  <si>
    <t>Treinamentos</t>
  </si>
  <si>
    <t>Avaliação 1</t>
  </si>
  <si>
    <t>Avaliação 2</t>
  </si>
  <si>
    <t>DPO</t>
  </si>
  <si>
    <t>Nota final</t>
  </si>
  <si>
    <t>Classificados</t>
  </si>
  <si>
    <t>Turma</t>
  </si>
  <si>
    <t>Nota</t>
  </si>
  <si>
    <t>DPO - Ortografia</t>
  </si>
  <si>
    <t>DPO - conteúdo</t>
  </si>
  <si>
    <t>DPO - apresentação</t>
  </si>
  <si>
    <t>DPO - respeito ao Prazo</t>
  </si>
  <si>
    <t>Estande - Tempo</t>
  </si>
  <si>
    <t>Estande Originalidade</t>
  </si>
  <si>
    <t>Estande Conteúdo</t>
  </si>
  <si>
    <t>Estande Caracterização</t>
  </si>
  <si>
    <t>Palco - Tempo</t>
  </si>
  <si>
    <t>Palco - Originalidade</t>
  </si>
  <si>
    <t>Palco - Caracterização</t>
  </si>
  <si>
    <t xml:space="preserve">Treinamento </t>
  </si>
  <si>
    <t>avaliação 2</t>
  </si>
  <si>
    <t>av1 p1</t>
  </si>
  <si>
    <t>av1 p2</t>
  </si>
  <si>
    <t>av1 p3</t>
  </si>
  <si>
    <t>av1 p4</t>
  </si>
  <si>
    <t>av1 p5</t>
  </si>
  <si>
    <t>av1 p6</t>
  </si>
  <si>
    <t>av1 p7</t>
  </si>
  <si>
    <t>av1 p8</t>
  </si>
  <si>
    <t>av1 p9</t>
  </si>
  <si>
    <t>av1 p10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</si>
</sst>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1">
    <font>
      <sz val="11.0"/>
      <color rgb="FF000000"/>
      <name val="Calibri"/>
      <scheme val="minor"/>
    </font>
    <font>
      <sz val="20.0"/>
      <color rgb="FFFFFFFF"/>
      <name val="Calibri"/>
    </font>
    <font/>
    <font>
      <sz val="11.0"/>
      <color rgb="FF000000"/>
      <name val="Calibri"/>
    </font>
    <font>
      <sz val="11.0"/>
      <color rgb="FFFFFFFF"/>
      <name val="Calibri"/>
    </font>
    <font>
      <sz val="16.0"/>
      <color rgb="FFFFFFFF"/>
      <name val="Calibri"/>
    </font>
    <font>
      <b/>
      <sz val="11.0"/>
      <color rgb="FF000000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sz val="11.0"/>
      <color rgb="FF0563C1"/>
      <name val="Calibri"/>
    </font>
    <font>
      <b/>
      <sz val="18.0"/>
      <color rgb="FFFFFFFF"/>
      <name val="Calibri"/>
    </font>
    <font>
      <b/>
      <sz val="20.0"/>
      <color rgb="FFFFFF00"/>
      <name val="Calibri"/>
    </font>
    <font>
      <b/>
      <sz val="20.0"/>
      <color rgb="FFFFFFFF"/>
      <name val="Calibri"/>
    </font>
    <font>
      <b/>
      <sz val="10.0"/>
      <color rgb="FFFFFFFF"/>
      <name val="Calibri"/>
    </font>
    <font>
      <b/>
      <sz val="16.0"/>
      <color rgb="FFFFFFFF"/>
      <name val="Calibri"/>
    </font>
    <font>
      <b/>
      <sz val="11.0"/>
      <color rgb="FFFFFF00"/>
      <name val="Calibri"/>
    </font>
    <font>
      <sz val="20.0"/>
      <color rgb="FFFFFFFF"/>
      <name val="Verdana"/>
    </font>
    <font>
      <b/>
      <sz val="12.0"/>
      <color rgb="FFFFFFFF"/>
      <name val="Verdana"/>
    </font>
    <font>
      <sz val="11.0"/>
      <color rgb="FF000000"/>
      <name val="Verdana"/>
    </font>
    <font>
      <u/>
      <sz val="11.0"/>
      <color rgb="FF000000"/>
      <name val="Verdana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0124D"/>
        <bgColor rgb="FF20124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8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right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theme="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</border>
    <border>
      <right/>
      <top/>
      <bottom style="thin">
        <color rgb="FF000000"/>
      </bottom>
    </border>
    <border>
      <left/>
      <right/>
      <bottom/>
    </border>
    <border>
      <left style="thin">
        <color rgb="FF000000"/>
      </left>
      <right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theme="0"/>
      </bottom>
    </border>
    <border>
      <left/>
      <top/>
      <bottom style="thin">
        <color theme="0"/>
      </bottom>
    </border>
    <border>
      <top/>
      <bottom style="thin">
        <color theme="0"/>
      </bottom>
    </border>
    <border>
      <right style="thin">
        <color theme="0"/>
      </right>
      <top/>
      <bottom style="thin">
        <color theme="0"/>
      </bottom>
    </border>
    <border>
      <right style="thin">
        <color theme="0"/>
      </right>
      <top/>
      <bottom/>
    </border>
    <border>
      <left/>
      <bottom/>
    </border>
    <border>
      <left/>
      <right style="thin">
        <color theme="0"/>
      </right>
      <top/>
      <bottom/>
    </border>
    <border>
      <bottom/>
    </border>
    <border>
      <right style="thin">
        <color theme="0"/>
      </right>
      <bottom/>
    </border>
    <border>
      <left/>
      <right style="thin">
        <color theme="0"/>
      </right>
      <bottom/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/>
      <right style="thin">
        <color rgb="FF000000"/>
      </right>
      <top/>
      <bottom/>
    </border>
    <border>
      <left style="thin">
        <color rgb="FFB7B7B7"/>
      </left>
      <top/>
      <bottom/>
    </border>
    <border>
      <left/>
      <right style="thin">
        <color rgb="FFB7B7B7"/>
      </right>
      <top/>
      <bottom/>
    </border>
    <border>
      <left style="thin">
        <color rgb="FF000000"/>
      </left>
      <top/>
      <bottom style="thin">
        <color rgb="FFCCCCCC"/>
      </bottom>
    </border>
    <border>
      <right style="thin">
        <color rgb="FFB7B7B7"/>
      </right>
      <top/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B7B7B7"/>
      </right>
      <top/>
      <bottom/>
    </border>
    <border>
      <left style="thin">
        <color rgb="FFB7B7B7"/>
      </left>
      <right style="thin">
        <color rgb="FFB7B7B7"/>
      </right>
      <bottom/>
    </border>
    <border>
      <left style="thin">
        <color rgb="FFB7B7B7"/>
      </left>
      <right style="thin">
        <color rgb="FF000000"/>
      </right>
      <bottom/>
    </border>
    <border>
      <left style="thin">
        <color rgb="FFB7B7B7"/>
      </left>
      <right style="thin">
        <color rgb="FF000000"/>
      </right>
      <top/>
      <bottom/>
    </border>
    <border>
      <left style="thin">
        <color rgb="FFB7B7B7"/>
      </left>
      <right/>
      <top/>
      <bottom/>
    </border>
    <border>
      <left style="thin">
        <color rgb="FF000000"/>
      </left>
      <right style="thin">
        <color rgb="FFB7B7B7"/>
      </right>
      <top/>
      <bottom style="thin">
        <color rgb="FFCCCCCC"/>
      </bottom>
    </border>
    <border>
      <left style="thin">
        <color rgb="FFB7B7B7"/>
      </left>
      <right style="thin">
        <color rgb="FFB7B7B7"/>
      </right>
      <top/>
      <bottom style="thin">
        <color rgb="FFCCCCCC"/>
      </bottom>
    </border>
    <border>
      <left style="thin">
        <color rgb="FFB7B7B7"/>
      </left>
      <right style="thin">
        <color rgb="FF000000"/>
      </right>
      <top/>
      <bottom style="thin">
        <color rgb="FFCCCCCC"/>
      </bottom>
    </border>
    <border>
      <left style="thin">
        <color rgb="FFB7B7B7"/>
      </left>
      <right style="thin">
        <color rgb="FFB7B7B7"/>
      </right>
      <top/>
      <bottom/>
    </border>
    <border>
      <left style="thin">
        <color rgb="FFB7B7B7"/>
      </left>
      <right/>
      <top/>
      <bottom style="thin">
        <color rgb="FFCCCCCC"/>
      </bottom>
    </border>
    <border>
      <left/>
      <right style="thin">
        <color rgb="FFB7B7B7"/>
      </right>
      <top/>
      <bottom style="thin">
        <color rgb="FFCCCCCC"/>
      </bottom>
    </border>
    <border>
      <left style="thin">
        <color rgb="FFB7B7B7"/>
      </left>
      <top/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CCCCCC"/>
      </bottom>
    </border>
    <border>
      <left style="thin">
        <color rgb="FFB7B7B7"/>
      </left>
      <right/>
      <top style="thin">
        <color rgb="FFCCCCCC"/>
      </top>
      <bottom style="thin">
        <color rgb="FFCCCCCC"/>
      </bottom>
    </border>
    <border>
      <left/>
      <right style="thin">
        <color rgb="FFB7B7B7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B7B7B7"/>
      </righ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B7B7B7"/>
      </left>
      <right/>
      <top style="thin">
        <color rgb="FFCCCCCC"/>
      </top>
      <bottom style="thin">
        <color rgb="FF000000"/>
      </bottom>
    </border>
    <border>
      <right style="thin">
        <color rgb="FFB7B7B7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CCCCCC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CCCCCC"/>
      </top>
      <bottom style="thin">
        <color rgb="FF000000"/>
      </bottom>
    </border>
    <border>
      <left style="thin">
        <color rgb="FFB7B7B7"/>
      </lef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right style="thin">
        <color rgb="FF000000"/>
      </right>
      <top/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rgb="FF000000"/>
      </right>
      <top/>
    </border>
    <border>
      <left style="thin">
        <color rgb="FF000000"/>
      </left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/>
    </border>
    <border>
      <left style="thin">
        <color rgb="FF000000"/>
      </left>
      <right style="thin">
        <color rgb="FFB7B7B7"/>
      </right>
      <top style="thin">
        <color rgb="FF000000"/>
      </top>
      <bottom/>
    </border>
    <border>
      <left style="thin">
        <color rgb="FFB7B7B7"/>
      </left>
      <right style="thin">
        <color rgb="FFB7B7B7"/>
      </right>
      <top style="thin">
        <color rgb="FF000000"/>
      </top>
      <bottom/>
    </border>
    <border>
      <left style="thin">
        <color rgb="FFB7B7B7"/>
      </left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000000"/>
      </left>
      <right style="thin">
        <color rgb="FFB7B7B7"/>
      </right>
      <top/>
      <bottom style="thin">
        <color rgb="FF000000"/>
      </bottom>
    </border>
    <border>
      <left style="thin">
        <color rgb="FFB7B7B7"/>
      </left>
      <right style="thin">
        <color rgb="FFB7B7B7"/>
      </right>
      <top/>
      <bottom style="thin">
        <color rgb="FF000000"/>
      </bottom>
    </border>
    <border>
      <left style="thin">
        <color rgb="FFB7B7B7"/>
      </left>
      <right style="thin">
        <color rgb="FF000000"/>
      </right>
      <top/>
      <bottom style="thin">
        <color rgb="FF000000"/>
      </bottom>
    </border>
    <border>
      <left/>
      <right style="thin">
        <color rgb="FFB7B7B7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3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2" fontId="5" numFmtId="0" xfId="0" applyAlignment="1" applyBorder="1" applyFont="1">
      <alignment horizontal="center" vertical="center"/>
    </xf>
    <xf borderId="9" fillId="0" fontId="2" numFmtId="0" xfId="0" applyBorder="1" applyFont="1"/>
    <xf borderId="8" fillId="3" fontId="6" numFmtId="0" xfId="0" applyAlignment="1" applyBorder="1" applyFill="1" applyFont="1">
      <alignment horizontal="left" vertical="center"/>
    </xf>
    <xf borderId="3" fillId="3" fontId="7" numFmtId="0" xfId="0" applyAlignment="1" applyBorder="1" applyFont="1">
      <alignment horizontal="center" vertical="center"/>
    </xf>
    <xf borderId="10" fillId="3" fontId="7" numFmtId="0" xfId="0" applyAlignment="1" applyBorder="1" applyFont="1">
      <alignment horizontal="center" vertical="center"/>
    </xf>
    <xf borderId="8" fillId="3" fontId="7" numFmtId="0" xfId="0" applyAlignment="1" applyBorder="1" applyFont="1">
      <alignment horizontal="right" vertical="center"/>
    </xf>
    <xf borderId="3" fillId="4" fontId="3" numFmtId="0" xfId="0" applyAlignment="1" applyBorder="1" applyFill="1" applyFont="1">
      <alignment horizontal="left" vertical="center"/>
    </xf>
    <xf borderId="3" fillId="5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8" fillId="2" fontId="6" numFmtId="0" xfId="0" applyAlignment="1" applyBorder="1" applyFont="1">
      <alignment horizontal="left" vertical="center"/>
    </xf>
    <xf borderId="3" fillId="3" fontId="8" numFmtId="0" xfId="0" applyAlignment="1" applyBorder="1" applyFont="1">
      <alignment horizontal="left" vertical="center"/>
    </xf>
    <xf borderId="3" fillId="4" fontId="3" numFmtId="0" xfId="0" applyBorder="1" applyFont="1"/>
    <xf borderId="3" fillId="4" fontId="9" numFmtId="0" xfId="0" applyBorder="1" applyFont="1"/>
    <xf borderId="0" fillId="0" fontId="3" numFmtId="0" xfId="0" applyFont="1"/>
    <xf borderId="11" fillId="6" fontId="10" numFmtId="0" xfId="0" applyAlignment="1" applyBorder="1" applyFill="1" applyFont="1">
      <alignment horizontal="center" vertical="center"/>
    </xf>
    <xf borderId="12" fillId="6" fontId="11" numFmtId="0" xfId="0" applyBorder="1" applyFont="1"/>
    <xf borderId="12" fillId="6" fontId="12" numFmtId="0" xfId="0" applyAlignment="1" applyBorder="1" applyFont="1">
      <alignment vertical="center"/>
    </xf>
    <xf borderId="13" fillId="2" fontId="13" numFmtId="0" xfId="0" applyAlignment="1" applyBorder="1" applyFont="1">
      <alignment horizontal="center" vertical="center"/>
    </xf>
    <xf borderId="12" fillId="2" fontId="13" numFmtId="0" xfId="0" applyAlignment="1" applyBorder="1" applyFont="1">
      <alignment horizontal="center" vertical="center"/>
    </xf>
    <xf borderId="14" fillId="6" fontId="12" numFmtId="0" xfId="0" applyAlignment="1" applyBorder="1" applyFont="1">
      <alignment vertical="center"/>
    </xf>
    <xf borderId="15" fillId="3" fontId="7" numFmtId="0" xfId="0" applyAlignment="1" applyBorder="1" applyFont="1">
      <alignment horizontal="center" vertical="center"/>
    </xf>
    <xf borderId="16" fillId="3" fontId="7" numFmtId="0" xfId="0" applyAlignment="1" applyBorder="1" applyFont="1">
      <alignment horizontal="center" vertical="center"/>
    </xf>
    <xf borderId="17" fillId="3" fontId="4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18" fillId="3" fontId="7" numFmtId="0" xfId="0" applyAlignment="1" applyBorder="1" applyFont="1">
      <alignment horizontal="center" vertical="center"/>
    </xf>
    <xf borderId="19" fillId="3" fontId="7" numFmtId="0" xfId="0" applyAlignment="1" applyBorder="1" applyFont="1">
      <alignment horizontal="left" vertical="center"/>
    </xf>
    <xf borderId="20" fillId="4" fontId="3" numFmtId="0" xfId="0" applyAlignment="1" applyBorder="1" applyFont="1">
      <alignment horizontal="center" vertical="center"/>
    </xf>
    <xf borderId="8" fillId="4" fontId="3" numFmtId="0" xfId="0" applyAlignment="1" applyBorder="1" applyFont="1">
      <alignment horizontal="left" vertical="center"/>
    </xf>
    <xf borderId="21" fillId="4" fontId="3" numFmtId="0" xfId="0" applyAlignment="1" applyBorder="1" applyFont="1">
      <alignment horizontal="center" vertical="center"/>
    </xf>
    <xf borderId="3" fillId="7" fontId="3" numFmtId="0" xfId="0" applyAlignment="1" applyBorder="1" applyFill="1" applyFont="1">
      <alignment horizontal="left" vertical="center"/>
    </xf>
    <xf borderId="20" fillId="7" fontId="3" numFmtId="0" xfId="0" applyAlignment="1" applyBorder="1" applyFont="1">
      <alignment horizontal="center" vertical="center"/>
    </xf>
    <xf borderId="8" fillId="7" fontId="3" numFmtId="0" xfId="0" applyAlignment="1" applyBorder="1" applyFont="1">
      <alignment horizontal="left" vertical="center"/>
    </xf>
    <xf borderId="21" fillId="7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left" vertical="center"/>
    </xf>
    <xf borderId="22" fillId="4" fontId="3" numFmtId="0" xfId="0" applyAlignment="1" applyBorder="1" applyFont="1">
      <alignment horizontal="center" vertical="center"/>
    </xf>
    <xf borderId="23" fillId="3" fontId="7" numFmtId="0" xfId="0" applyAlignment="1" applyBorder="1" applyFont="1">
      <alignment horizontal="left" vertical="center"/>
    </xf>
    <xf borderId="0" fillId="7" fontId="3" numFmtId="0" xfId="0" applyAlignment="1" applyFont="1">
      <alignment horizontal="left" vertical="center"/>
    </xf>
    <xf borderId="24" fillId="7" fontId="3" numFmtId="0" xfId="0" applyAlignment="1" applyBorder="1" applyFont="1">
      <alignment horizontal="center" vertical="center"/>
    </xf>
    <xf borderId="25" fillId="7" fontId="3" numFmtId="0" xfId="0" applyAlignment="1" applyBorder="1" applyFont="1">
      <alignment horizontal="left" vertical="center"/>
    </xf>
    <xf borderId="1" fillId="7" fontId="3" numFmtId="0" xfId="0" applyAlignment="1" applyBorder="1" applyFont="1">
      <alignment horizontal="left" vertical="center"/>
    </xf>
    <xf borderId="26" fillId="4" fontId="3" numFmtId="0" xfId="0" applyAlignment="1" applyBorder="1" applyFont="1">
      <alignment horizontal="left" vertical="center"/>
    </xf>
    <xf borderId="27" fillId="4" fontId="3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left" vertical="center"/>
    </xf>
    <xf borderId="28" fillId="7" fontId="3" numFmtId="0" xfId="0" applyAlignment="1" applyBorder="1" applyFont="1">
      <alignment horizontal="left" vertical="center"/>
    </xf>
    <xf borderId="29" fillId="7" fontId="3" numFmtId="0" xfId="0" applyAlignment="1" applyBorder="1" applyFont="1">
      <alignment horizontal="left" vertical="center"/>
    </xf>
    <xf borderId="28" fillId="7" fontId="3" numFmtId="0" xfId="0" applyAlignment="1" applyBorder="1" applyFont="1">
      <alignment horizontal="center" vertical="center"/>
    </xf>
    <xf borderId="16" fillId="7" fontId="3" numFmtId="0" xfId="0" applyAlignment="1" applyBorder="1" applyFont="1">
      <alignment horizontal="left" vertical="center"/>
    </xf>
    <xf borderId="30" fillId="7" fontId="3" numFmtId="0" xfId="0" applyAlignment="1" applyBorder="1" applyFont="1">
      <alignment horizontal="center" vertical="center"/>
    </xf>
    <xf borderId="31" fillId="2" fontId="10" numFmtId="0" xfId="0" applyAlignment="1" applyBorder="1" applyFont="1">
      <alignment horizontal="center" vertical="center"/>
    </xf>
    <xf borderId="32" fillId="2" fontId="12" numFmtId="0" xfId="0" applyAlignment="1" applyBorder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8" fillId="3" fontId="14" numFmtId="0" xfId="0" applyAlignment="1" applyBorder="1" applyFont="1">
      <alignment horizontal="center" vertical="center"/>
    </xf>
    <xf borderId="35" fillId="0" fontId="2" numFmtId="0" xfId="0" applyBorder="1" applyFont="1"/>
    <xf borderId="36" fillId="3" fontId="14" numFmtId="0" xfId="0" applyAlignment="1" applyBorder="1" applyFont="1">
      <alignment horizontal="center"/>
    </xf>
    <xf borderId="37" fillId="3" fontId="14" numFmtId="0" xfId="0" applyAlignment="1" applyBorder="1" applyFont="1">
      <alignment horizontal="center"/>
    </xf>
    <xf borderId="36" fillId="3" fontId="14" numFmtId="0" xfId="0" applyAlignment="1" applyBorder="1" applyFont="1">
      <alignment horizontal="center" vertical="center"/>
    </xf>
    <xf borderId="38" fillId="3" fontId="14" numFmtId="0" xfId="0" applyAlignment="1" applyBorder="1" applyFont="1">
      <alignment horizontal="center" vertical="center"/>
    </xf>
    <xf borderId="39" fillId="3" fontId="14" numFmtId="0" xfId="0" applyAlignment="1" applyBorder="1" applyFont="1">
      <alignment horizontal="center" vertical="center"/>
    </xf>
    <xf borderId="38" fillId="0" fontId="2" numFmtId="0" xfId="0" applyBorder="1" applyFont="1"/>
    <xf borderId="39" fillId="0" fontId="2" numFmtId="0" xfId="0" applyBorder="1" applyFont="1"/>
    <xf borderId="40" fillId="3" fontId="14" numFmtId="0" xfId="0" applyAlignment="1" applyBorder="1" applyFont="1">
      <alignment horizontal="center" vertical="center"/>
    </xf>
    <xf borderId="29" fillId="3" fontId="7" numFmtId="0" xfId="0" applyAlignment="1" applyBorder="1" applyFont="1">
      <alignment horizontal="center" vertical="center"/>
    </xf>
    <xf borderId="41" fillId="3" fontId="8" numFmtId="0" xfId="0" applyAlignment="1" applyBorder="1" applyFont="1">
      <alignment horizontal="center" vertical="center"/>
    </xf>
    <xf borderId="16" fillId="3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42" fillId="3" fontId="8" numFmtId="0" xfId="0" applyAlignment="1" applyBorder="1" applyFont="1">
      <alignment horizontal="center" vertical="center"/>
    </xf>
    <xf borderId="43" fillId="3" fontId="8" numFmtId="0" xfId="0" applyAlignment="1" applyBorder="1" applyFont="1">
      <alignment horizontal="center" vertical="center"/>
    </xf>
    <xf borderId="44" fillId="3" fontId="8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vertical="center"/>
    </xf>
    <xf borderId="45" fillId="3" fontId="7" numFmtId="0" xfId="0" applyAlignment="1" applyBorder="1" applyFont="1">
      <alignment horizontal="left" vertical="center"/>
    </xf>
    <xf borderId="46" fillId="4" fontId="3" numFmtId="0" xfId="0" applyAlignment="1" applyBorder="1" applyFont="1">
      <alignment horizontal="left" vertical="center"/>
    </xf>
    <xf borderId="47" fillId="4" fontId="3" numFmtId="0" xfId="0" applyAlignment="1" applyBorder="1" applyFont="1">
      <alignment horizontal="center" readingOrder="0" vertical="center"/>
    </xf>
    <xf borderId="48" fillId="4" fontId="3" numFmtId="0" xfId="0" applyAlignment="1" applyBorder="1" applyFont="1">
      <alignment horizontal="left" vertical="center"/>
    </xf>
    <xf borderId="0" fillId="4" fontId="3" numFmtId="0" xfId="0" applyAlignment="1" applyFont="1">
      <alignment horizontal="left" vertical="center"/>
    </xf>
    <xf borderId="49" fillId="4" fontId="3" numFmtId="0" xfId="0" applyAlignment="1" applyBorder="1" applyFont="1">
      <alignment horizontal="left" vertical="center"/>
    </xf>
    <xf borderId="50" fillId="4" fontId="3" numFmtId="0" xfId="0" applyAlignment="1" applyBorder="1" applyFont="1">
      <alignment horizontal="left" vertical="center"/>
    </xf>
    <xf borderId="46" fillId="7" fontId="3" numFmtId="0" xfId="0" applyAlignment="1" applyBorder="1" applyFont="1">
      <alignment horizontal="left" vertical="center"/>
    </xf>
    <xf borderId="47" fillId="7" fontId="3" numFmtId="0" xfId="0" applyAlignment="1" applyBorder="1" applyFont="1">
      <alignment horizontal="center" vertical="center"/>
    </xf>
    <xf borderId="51" fillId="7" fontId="3" numFmtId="0" xfId="0" applyAlignment="1" applyBorder="1" applyFont="1">
      <alignment horizontal="left" vertical="center"/>
    </xf>
    <xf borderId="52" fillId="7" fontId="3" numFmtId="0" xfId="0" applyAlignment="1" applyBorder="1" applyFont="1">
      <alignment horizontal="left" vertical="center"/>
    </xf>
    <xf borderId="53" fillId="7" fontId="3" numFmtId="0" xfId="0" applyAlignment="1" applyBorder="1" applyFont="1">
      <alignment horizontal="left" vertical="center"/>
    </xf>
    <xf borderId="54" fillId="7" fontId="3" numFmtId="0" xfId="0" applyAlignment="1" applyBorder="1" applyFont="1">
      <alignment horizontal="left" vertical="center"/>
    </xf>
    <xf borderId="21" fillId="8" fontId="3" numFmtId="0" xfId="0" applyAlignment="1" applyBorder="1" applyFill="1" applyFont="1">
      <alignment horizontal="left" vertical="center"/>
    </xf>
    <xf borderId="55" fillId="4" fontId="3" numFmtId="0" xfId="0" applyAlignment="1" applyBorder="1" applyFont="1">
      <alignment horizontal="left" vertical="center"/>
    </xf>
    <xf borderId="47" fillId="4" fontId="3" numFmtId="0" xfId="0" applyAlignment="1" applyBorder="1" applyFont="1">
      <alignment horizontal="center" vertical="center"/>
    </xf>
    <xf borderId="56" fillId="4" fontId="3" numFmtId="0" xfId="0" applyAlignment="1" applyBorder="1" applyFont="1">
      <alignment horizontal="left" vertical="center"/>
    </xf>
    <xf borderId="57" fillId="4" fontId="3" numFmtId="0" xfId="0" applyAlignment="1" applyBorder="1" applyFont="1">
      <alignment horizontal="left" vertical="center"/>
    </xf>
    <xf borderId="58" fillId="4" fontId="3" numFmtId="0" xfId="0" applyAlignment="1" applyBorder="1" applyFont="1">
      <alignment horizontal="left" vertical="center"/>
    </xf>
    <xf borderId="21" fillId="4" fontId="3" numFmtId="0" xfId="0" applyAlignment="1" applyBorder="1" applyFont="1">
      <alignment horizontal="left" vertical="center"/>
    </xf>
    <xf borderId="55" fillId="7" fontId="3" numFmtId="0" xfId="0" applyAlignment="1" applyBorder="1" applyFont="1">
      <alignment horizontal="left" vertical="center"/>
    </xf>
    <xf borderId="59" fillId="7" fontId="3" numFmtId="0" xfId="0" applyAlignment="1" applyBorder="1" applyFont="1">
      <alignment horizontal="left" vertical="center"/>
    </xf>
    <xf borderId="60" fillId="4" fontId="3" numFmtId="0" xfId="0" applyAlignment="1" applyBorder="1" applyFont="1">
      <alignment horizontal="left" vertical="center"/>
    </xf>
    <xf borderId="61" fillId="4" fontId="3" numFmtId="0" xfId="0" applyAlignment="1" applyBorder="1" applyFont="1">
      <alignment horizontal="center" vertical="center"/>
    </xf>
    <xf borderId="62" fillId="4" fontId="3" numFmtId="0" xfId="0" applyAlignment="1" applyBorder="1" applyFont="1">
      <alignment horizontal="left" vertical="center"/>
    </xf>
    <xf borderId="63" fillId="4" fontId="3" numFmtId="0" xfId="0" applyAlignment="1" applyBorder="1" applyFont="1">
      <alignment horizontal="left" vertical="center"/>
    </xf>
    <xf borderId="64" fillId="7" fontId="3" numFmtId="0" xfId="0" applyAlignment="1" applyBorder="1" applyFont="1">
      <alignment horizontal="left" vertical="center"/>
    </xf>
    <xf borderId="65" fillId="7" fontId="3" numFmtId="0" xfId="0" applyAlignment="1" applyBorder="1" applyFont="1">
      <alignment horizontal="center" vertical="center"/>
    </xf>
    <xf borderId="66" fillId="7" fontId="3" numFmtId="0" xfId="0" applyAlignment="1" applyBorder="1" applyFont="1">
      <alignment horizontal="left" vertical="center"/>
    </xf>
    <xf borderId="67" fillId="7" fontId="3" numFmtId="0" xfId="0" applyAlignment="1" applyBorder="1" applyFont="1">
      <alignment horizontal="left" vertical="center"/>
    </xf>
    <xf borderId="68" fillId="7" fontId="3" numFmtId="0" xfId="0" applyAlignment="1" applyBorder="1" applyFont="1">
      <alignment horizontal="left" vertical="center"/>
    </xf>
    <xf borderId="69" fillId="7" fontId="3" numFmtId="0" xfId="0" applyAlignment="1" applyBorder="1" applyFont="1">
      <alignment horizontal="left" vertical="center"/>
    </xf>
    <xf borderId="70" fillId="8" fontId="3" numFmtId="0" xfId="0" applyAlignment="1" applyBorder="1" applyFont="1">
      <alignment horizontal="left" vertical="center"/>
    </xf>
    <xf borderId="64" fillId="4" fontId="3" numFmtId="0" xfId="0" applyAlignment="1" applyBorder="1" applyFont="1">
      <alignment horizontal="left" vertical="center"/>
    </xf>
    <xf borderId="65" fillId="4" fontId="3" numFmtId="0" xfId="0" applyAlignment="1" applyBorder="1" applyFont="1">
      <alignment horizontal="center" vertical="center"/>
    </xf>
    <xf borderId="66" fillId="4" fontId="3" numFmtId="0" xfId="0" applyAlignment="1" applyBorder="1" applyFont="1">
      <alignment horizontal="left" vertical="center"/>
    </xf>
    <xf borderId="67" fillId="4" fontId="3" numFmtId="0" xfId="0" applyAlignment="1" applyBorder="1" applyFont="1">
      <alignment horizontal="left" vertical="center"/>
    </xf>
    <xf borderId="68" fillId="4" fontId="3" numFmtId="0" xfId="0" applyAlignment="1" applyBorder="1" applyFont="1">
      <alignment horizontal="left" vertical="center"/>
    </xf>
    <xf borderId="69" fillId="4" fontId="3" numFmtId="0" xfId="0" applyAlignment="1" applyBorder="1" applyFont="1">
      <alignment horizontal="left" vertical="center"/>
    </xf>
    <xf borderId="70" fillId="4" fontId="3" numFmtId="0" xfId="0" applyAlignment="1" applyBorder="1" applyFont="1">
      <alignment horizontal="left" vertical="center"/>
    </xf>
    <xf borderId="71" fillId="7" fontId="3" numFmtId="0" xfId="0" applyAlignment="1" applyBorder="1" applyFont="1">
      <alignment horizontal="left" vertical="center"/>
    </xf>
    <xf borderId="72" fillId="7" fontId="3" numFmtId="0" xfId="0" applyAlignment="1" applyBorder="1" applyFont="1">
      <alignment horizontal="center" vertical="center"/>
    </xf>
    <xf borderId="73" fillId="7" fontId="3" numFmtId="0" xfId="0" applyAlignment="1" applyBorder="1" applyFont="1">
      <alignment horizontal="left" vertical="center"/>
    </xf>
    <xf borderId="74" fillId="7" fontId="3" numFmtId="0" xfId="0" applyAlignment="1" applyBorder="1" applyFont="1">
      <alignment horizontal="left" vertical="center"/>
    </xf>
    <xf borderId="75" fillId="7" fontId="3" numFmtId="0" xfId="0" applyAlignment="1" applyBorder="1" applyFont="1">
      <alignment horizontal="left" vertical="center"/>
    </xf>
    <xf borderId="76" fillId="7" fontId="3" numFmtId="0" xfId="0" applyAlignment="1" applyBorder="1" applyFont="1">
      <alignment horizontal="left" vertical="center"/>
    </xf>
    <xf borderId="77" fillId="8" fontId="3" numFmtId="0" xfId="0" applyAlignment="1" applyBorder="1" applyFont="1">
      <alignment horizontal="left" vertical="center"/>
    </xf>
    <xf borderId="51" fillId="4" fontId="3" numFmtId="0" xfId="0" applyAlignment="1" applyBorder="1" applyFont="1">
      <alignment horizontal="left" vertical="center"/>
    </xf>
    <xf borderId="59" fillId="4" fontId="3" numFmtId="0" xfId="0" applyAlignment="1" applyBorder="1" applyFont="1">
      <alignment horizontal="left" vertical="center"/>
    </xf>
    <xf borderId="54" fillId="4" fontId="3" numFmtId="0" xfId="0" applyAlignment="1" applyBorder="1" applyFont="1">
      <alignment horizontal="left" vertical="center"/>
    </xf>
    <xf borderId="46" fillId="8" fontId="3" numFmtId="0" xfId="0" applyAlignment="1" applyBorder="1" applyFont="1">
      <alignment horizontal="left" vertical="center"/>
    </xf>
    <xf borderId="3" fillId="2" fontId="12" numFmtId="0" xfId="0" applyAlignment="1" applyBorder="1" applyFont="1">
      <alignment horizontal="center" vertical="center"/>
    </xf>
    <xf borderId="8" fillId="2" fontId="12" numFmtId="0" xfId="0" applyAlignment="1" applyBorder="1" applyFont="1">
      <alignment horizontal="center" vertical="center"/>
    </xf>
    <xf borderId="78" fillId="0" fontId="2" numFmtId="0" xfId="0" applyBorder="1" applyFont="1"/>
    <xf borderId="79" fillId="3" fontId="7" numFmtId="0" xfId="0" applyAlignment="1" applyBorder="1" applyFont="1">
      <alignment horizontal="center" vertical="center"/>
    </xf>
    <xf borderId="80" fillId="3" fontId="7" numFmtId="0" xfId="0" applyAlignment="1" applyBorder="1" applyFont="1">
      <alignment horizontal="center" vertical="center"/>
    </xf>
    <xf borderId="3" fillId="3" fontId="7" numFmtId="0" xfId="0" applyAlignment="1" applyBorder="1" applyFont="1">
      <alignment horizontal="left" vertical="center"/>
    </xf>
    <xf borderId="38" fillId="4" fontId="3" numFmtId="0" xfId="0" applyBorder="1" applyFont="1"/>
    <xf borderId="10" fillId="4" fontId="3" numFmtId="0" xfId="0" applyBorder="1" applyFont="1"/>
    <xf borderId="45" fillId="4" fontId="3" numFmtId="0" xfId="0" applyBorder="1" applyFont="1"/>
    <xf borderId="19" fillId="4" fontId="3" numFmtId="0" xfId="0" applyBorder="1" applyFont="1"/>
    <xf borderId="81" fillId="4" fontId="3" numFmtId="0" xfId="0" applyBorder="1" applyFont="1"/>
    <xf borderId="50" fillId="4" fontId="3" numFmtId="0" xfId="0" applyBorder="1" applyFont="1"/>
    <xf borderId="3" fillId="7" fontId="3" numFmtId="0" xfId="0" applyBorder="1" applyFont="1"/>
    <xf borderId="38" fillId="8" fontId="3" numFmtId="0" xfId="0" applyBorder="1" applyFont="1"/>
    <xf borderId="19" fillId="7" fontId="3" numFmtId="0" xfId="0" applyBorder="1" applyFont="1"/>
    <xf borderId="45" fillId="7" fontId="3" numFmtId="0" xfId="0" applyBorder="1" applyFont="1"/>
    <xf borderId="81" fillId="7" fontId="3" numFmtId="0" xfId="0" applyBorder="1" applyFont="1"/>
    <xf borderId="21" fillId="8" fontId="3" numFmtId="0" xfId="0" applyBorder="1" applyFont="1"/>
    <xf borderId="21" fillId="4" fontId="3" numFmtId="0" xfId="0" applyBorder="1" applyFont="1"/>
    <xf borderId="29" fillId="7" fontId="3" numFmtId="0" xfId="0" applyBorder="1" applyFont="1"/>
    <xf borderId="82" fillId="8" fontId="3" numFmtId="0" xfId="0" applyBorder="1" applyFont="1"/>
    <xf borderId="15" fillId="7" fontId="3" numFmtId="0" xfId="0" applyBorder="1" applyFont="1"/>
    <xf borderId="23" fillId="7" fontId="3" numFmtId="0" xfId="0" applyBorder="1" applyFont="1"/>
    <xf borderId="30" fillId="8" fontId="3" numFmtId="0" xfId="0" applyBorder="1" applyFont="1"/>
    <xf borderId="14" fillId="4" fontId="3" numFmtId="0" xfId="0" applyBorder="1" applyFont="1"/>
    <xf borderId="83" fillId="4" fontId="3" numFmtId="0" xfId="0" applyBorder="1" applyFont="1"/>
    <xf borderId="3" fillId="2" fontId="15" numFmtId="0" xfId="0" applyAlignment="1" applyBorder="1" applyFont="1">
      <alignment horizontal="center" vertical="center"/>
    </xf>
    <xf borderId="8" fillId="2" fontId="15" numFmtId="0" xfId="0" applyAlignment="1" applyBorder="1" applyFont="1">
      <alignment horizontal="center" vertical="center"/>
    </xf>
    <xf borderId="83" fillId="2" fontId="12" numFmtId="0" xfId="0" applyAlignment="1" applyBorder="1" applyFont="1">
      <alignment horizontal="center" vertical="center"/>
    </xf>
    <xf borderId="84" fillId="0" fontId="2" numFmtId="0" xfId="0" applyBorder="1" applyFont="1"/>
    <xf borderId="3" fillId="3" fontId="5" numFmtId="0" xfId="0" applyAlignment="1" applyBorder="1" applyFont="1">
      <alignment horizontal="center" vertical="center"/>
    </xf>
    <xf borderId="85" fillId="3" fontId="5" numFmtId="0" xfId="0" applyAlignment="1" applyBorder="1" applyFont="1">
      <alignment horizontal="center" vertical="center"/>
    </xf>
    <xf borderId="86" fillId="0" fontId="2" numFmtId="0" xfId="0" applyBorder="1" applyFont="1"/>
    <xf borderId="87" fillId="0" fontId="2" numFmtId="0" xfId="0" applyBorder="1" applyFont="1"/>
    <xf borderId="20" fillId="6" fontId="5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3" fillId="6" fontId="3" numFmtId="0" xfId="0" applyBorder="1" applyFont="1"/>
    <xf borderId="19" fillId="3" fontId="7" numFmtId="0" xfId="0" applyAlignment="1" applyBorder="1" applyFont="1">
      <alignment horizontal="center" vertical="center"/>
    </xf>
    <xf borderId="45" fillId="3" fontId="7" numFmtId="0" xfId="0" applyAlignment="1" applyBorder="1" applyFont="1">
      <alignment horizontal="center" vertical="center"/>
    </xf>
    <xf borderId="0" fillId="4" fontId="3" numFmtId="0" xfId="0" applyFont="1"/>
    <xf borderId="88" fillId="4" fontId="3" numFmtId="0" xfId="0" applyBorder="1" applyFont="1"/>
    <xf borderId="51" fillId="4" fontId="3" numFmtId="0" xfId="0" applyBorder="1" applyFont="1"/>
    <xf borderId="59" fillId="4" fontId="3" numFmtId="0" xfId="0" applyBorder="1" applyFont="1"/>
    <xf borderId="54" fillId="4" fontId="3" numFmtId="0" xfId="0" applyBorder="1" applyFont="1"/>
    <xf borderId="89" fillId="4" fontId="3" numFmtId="0" xfId="0" applyBorder="1" applyFont="1"/>
    <xf borderId="90" fillId="4" fontId="3" numFmtId="0" xfId="0" applyBorder="1" applyFont="1"/>
    <xf borderId="91" fillId="4" fontId="3" numFmtId="0" xfId="0" applyBorder="1" applyFont="1"/>
    <xf borderId="47" fillId="4" fontId="3" numFmtId="0" xfId="0" applyBorder="1" applyFont="1"/>
    <xf borderId="0" fillId="8" fontId="3" numFmtId="0" xfId="0" applyFont="1"/>
    <xf borderId="92" fillId="7" fontId="3" numFmtId="0" xfId="0" applyBorder="1" applyFont="1"/>
    <xf borderId="51" fillId="8" fontId="3" numFmtId="0" xfId="0" applyBorder="1" applyFont="1"/>
    <xf borderId="59" fillId="8" fontId="3" numFmtId="0" xfId="0" applyBorder="1" applyFont="1"/>
    <xf borderId="54" fillId="8" fontId="3" numFmtId="0" xfId="0" applyBorder="1" applyFont="1"/>
    <xf borderId="19" fillId="8" fontId="3" numFmtId="0" xfId="0" applyBorder="1" applyFont="1"/>
    <xf borderId="51" fillId="7" fontId="3" numFmtId="0" xfId="0" applyBorder="1" applyFont="1"/>
    <xf borderId="59" fillId="7" fontId="3" numFmtId="0" xfId="0" applyBorder="1" applyFont="1"/>
    <xf borderId="54" fillId="7" fontId="3" numFmtId="0" xfId="0" applyBorder="1" applyFont="1"/>
    <xf borderId="47" fillId="7" fontId="3" numFmtId="0" xfId="0" applyBorder="1" applyFont="1"/>
    <xf borderId="92" fillId="4" fontId="3" numFmtId="0" xfId="0" applyBorder="1" applyFont="1"/>
    <xf borderId="16" fillId="6" fontId="3" numFmtId="0" xfId="0" applyBorder="1" applyFont="1"/>
    <xf borderId="93" fillId="7" fontId="3" numFmtId="0" xfId="0" applyBorder="1" applyFont="1"/>
    <xf borderId="94" fillId="7" fontId="3" numFmtId="0" xfId="0" applyBorder="1" applyFont="1"/>
    <xf borderId="95" fillId="7" fontId="3" numFmtId="0" xfId="0" applyBorder="1" applyFont="1"/>
    <xf borderId="96" fillId="7" fontId="3" numFmtId="0" xfId="0" applyBorder="1" applyFont="1"/>
    <xf borderId="25" fillId="7" fontId="3" numFmtId="0" xfId="0" applyBorder="1" applyFont="1"/>
    <xf borderId="3" fillId="2" fontId="16" numFmtId="0" xfId="0" applyAlignment="1" applyBorder="1" applyFont="1">
      <alignment horizontal="left" vertical="center"/>
    </xf>
    <xf borderId="8" fillId="2" fontId="16" numFmtId="0" xfId="0" applyAlignment="1" applyBorder="1" applyFont="1">
      <alignment horizontal="center" vertical="center"/>
    </xf>
    <xf borderId="29" fillId="3" fontId="17" numFmtId="0" xfId="0" applyAlignment="1" applyBorder="1" applyFont="1">
      <alignment horizontal="center" vertical="center"/>
    </xf>
    <xf borderId="3" fillId="3" fontId="17" numFmtId="0" xfId="0" applyAlignment="1" applyBorder="1" applyFont="1">
      <alignment horizontal="center" vertical="center"/>
    </xf>
    <xf borderId="11" fillId="3" fontId="17" numFmtId="0" xfId="0" applyAlignment="1" applyBorder="1" applyFont="1">
      <alignment horizontal="center" vertical="center"/>
    </xf>
    <xf borderId="12" fillId="3" fontId="17" numFmtId="0" xfId="0" applyAlignment="1" applyBorder="1" applyFont="1">
      <alignment horizontal="center" vertical="center"/>
    </xf>
    <xf borderId="10" fillId="3" fontId="17" numFmtId="0" xfId="0" applyAlignment="1" applyBorder="1" applyFont="1">
      <alignment horizontal="center" vertical="center"/>
    </xf>
    <xf borderId="3" fillId="3" fontId="17" numFmtId="0" xfId="0" applyAlignment="1" applyBorder="1" applyFont="1">
      <alignment horizontal="left" vertical="center"/>
    </xf>
    <xf borderId="11" fillId="4" fontId="3" numFmtId="0" xfId="0" applyBorder="1" applyFont="1"/>
    <xf borderId="12" fillId="4" fontId="3" numFmtId="0" xfId="0" applyBorder="1" applyFont="1"/>
    <xf borderId="97" fillId="4" fontId="3" numFmtId="0" xfId="0" applyBorder="1" applyFont="1"/>
    <xf borderId="97" fillId="4" fontId="3" numFmtId="0" xfId="0" applyAlignment="1" applyBorder="1" applyFont="1">
      <alignment horizontal="center"/>
    </xf>
    <xf borderId="20" fillId="7" fontId="3" numFmtId="0" xfId="0" applyBorder="1" applyFont="1"/>
    <xf borderId="97" fillId="7" fontId="3" numFmtId="0" xfId="0" applyBorder="1" applyFont="1"/>
    <xf borderId="97" fillId="7" fontId="3" numFmtId="0" xfId="0" applyAlignment="1" applyBorder="1" applyFont="1">
      <alignment horizontal="center"/>
    </xf>
    <xf borderId="20" fillId="4" fontId="3" numFmtId="0" xfId="0" applyBorder="1" applyFont="1"/>
    <xf borderId="28" fillId="7" fontId="3" numFmtId="0" xfId="0" applyBorder="1" applyFont="1"/>
    <xf borderId="16" fillId="7" fontId="3" numFmtId="0" xfId="0" applyBorder="1" applyFont="1"/>
    <xf borderId="8" fillId="2" fontId="1" numFmtId="0" xfId="0" applyAlignment="1" applyBorder="1" applyFont="1">
      <alignment horizontal="center"/>
    </xf>
    <xf borderId="97" fillId="0" fontId="18" numFmtId="0" xfId="0" applyAlignment="1" applyBorder="1" applyFont="1">
      <alignment horizontal="left" vertical="center"/>
    </xf>
    <xf borderId="97" fillId="0" fontId="19" numFmtId="0" xfId="0" applyAlignment="1" applyBorder="1" applyFont="1">
      <alignment horizontal="left" vertical="center"/>
    </xf>
    <xf borderId="97" fillId="0" fontId="20" numFmtId="164" xfId="0" applyAlignment="1" applyBorder="1" applyFont="1" applyNumberFormat="1">
      <alignment horizontal="center"/>
    </xf>
    <xf borderId="97" fillId="0" fontId="3" numFmtId="0" xfId="0" applyAlignment="1" applyBorder="1" applyFont="1">
      <alignment horizontal="left" vertical="center"/>
    </xf>
    <xf borderId="0" fillId="0" fontId="20" numFmtId="0" xfId="0" applyFont="1"/>
  </cellXfs>
  <cellStyles count="1">
    <cellStyle xfId="0" name="Normal" builtinId="0"/>
  </cellStyles>
  <dxfs count="2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Distribuição Total da Pontuação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Pt>
            <c:idx val="12"/>
            <c:spPr>
              <a:solidFill>
                <a:schemeClr val="accent1"/>
              </a:solidFill>
            </c:spPr>
          </c:dPt>
          <c:dPt>
            <c:idx val="13"/>
            <c:spPr>
              <a:solidFill>
                <a:schemeClr val="accent2"/>
              </a:solidFill>
            </c:spPr>
          </c:dPt>
          <c:dPt>
            <c:idx val="14"/>
            <c:spPr>
              <a:solidFill>
                <a:schemeClr val="accent3"/>
              </a:solidFill>
            </c:spPr>
          </c:dPt>
          <c:dPt>
            <c:idx val="15"/>
            <c:spPr>
              <a:solidFill>
                <a:schemeClr val="accent4"/>
              </a:solidFill>
            </c:spPr>
          </c:dPt>
          <c:dPt>
            <c:idx val="16"/>
            <c:spPr>
              <a:solidFill>
                <a:schemeClr val="accent5"/>
              </a:solidFill>
            </c:spPr>
          </c:dPt>
          <c:dPt>
            <c:idx val="17"/>
            <c:spPr>
              <a:solidFill>
                <a:schemeClr val="accent6"/>
              </a:solidFill>
            </c:spPr>
          </c:dPt>
          <c:dPt>
            <c:idx val="18"/>
            <c:spPr>
              <a:solidFill>
                <a:schemeClr val="accent1"/>
              </a:solidFill>
            </c:spPr>
          </c:dPt>
          <c:dPt>
            <c:idx val="19"/>
            <c:spPr>
              <a:solidFill>
                <a:schemeClr val="accent2"/>
              </a:solidFill>
            </c:spPr>
          </c:dPt>
          <c:dPt>
            <c:idx val="20"/>
            <c:spPr>
              <a:solidFill>
                <a:schemeClr val="accent3"/>
              </a:solidFill>
            </c:spPr>
          </c:dPt>
          <c:dPt>
            <c:idx val="21"/>
            <c:spPr>
              <a:solidFill>
                <a:schemeClr val="accent4"/>
              </a:solidFill>
            </c:spPr>
          </c:dPt>
          <c:dPt>
            <c:idx val="22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'Distribuição de pontuação'!$H$9:$H$31</c:f>
            </c:strRef>
          </c:cat>
          <c:val>
            <c:numRef>
              <c:f>'Distribuição de pontuação'!$I$9:$I$31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133350</xdr:rowOff>
    </xdr:from>
    <xdr:ext cx="8791575" cy="7943850"/>
    <xdr:graphicFrame>
      <xdr:nvGraphicFramePr>
        <xdr:cNvPr id="47573782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4.29"/>
    <col customWidth="1" min="2" max="2" width="34.71"/>
    <col customWidth="1" min="3" max="3" width="31.29"/>
    <col customWidth="1" min="4" max="4" width="14.71"/>
    <col customWidth="1" min="5" max="5" width="20.29"/>
    <col customWidth="1" min="6" max="6" width="38.0"/>
    <col customWidth="1" min="7" max="7" width="13.86"/>
    <col customWidth="1" min="8" max="8" width="29.71"/>
  </cols>
  <sheetData>
    <row r="1" ht="20.2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 ht="15.75" customHeight="1">
      <c r="A2" s="5"/>
      <c r="B2" s="6"/>
      <c r="C2" s="6"/>
      <c r="D2" s="6"/>
      <c r="E2" s="6"/>
      <c r="F2" s="6"/>
      <c r="G2" s="3"/>
      <c r="H2" s="7"/>
    </row>
    <row r="3" ht="15.75" customHeight="1">
      <c r="A3" s="8"/>
      <c r="B3" s="9"/>
      <c r="C3" s="9"/>
      <c r="D3" s="9"/>
      <c r="E3" s="9"/>
      <c r="F3" s="9"/>
      <c r="G3" s="3"/>
      <c r="H3" s="7"/>
    </row>
    <row r="4">
      <c r="A4" s="10"/>
      <c r="B4" s="9"/>
      <c r="C4" s="11" t="s">
        <v>2</v>
      </c>
      <c r="D4" s="11" t="s">
        <v>3</v>
      </c>
      <c r="E4" s="11" t="s">
        <v>4</v>
      </c>
      <c r="F4" s="12" t="s">
        <v>5</v>
      </c>
      <c r="G4" s="3"/>
      <c r="H4" s="7"/>
    </row>
    <row r="5">
      <c r="A5" s="13" t="s">
        <v>6</v>
      </c>
      <c r="B5" s="9"/>
      <c r="C5" s="14"/>
      <c r="D5" s="14"/>
      <c r="E5" s="14"/>
      <c r="F5" s="15"/>
      <c r="G5" s="3"/>
      <c r="H5" s="7"/>
    </row>
    <row r="6">
      <c r="A6" s="13" t="s">
        <v>7</v>
      </c>
      <c r="B6" s="9"/>
      <c r="C6" s="16"/>
      <c r="E6" s="16"/>
      <c r="F6" s="12" t="s">
        <v>8</v>
      </c>
      <c r="G6" s="3"/>
      <c r="H6" s="7"/>
    </row>
    <row r="7">
      <c r="A7" s="13" t="s">
        <v>9</v>
      </c>
      <c r="B7" s="9"/>
      <c r="C7" s="14"/>
      <c r="D7" s="14"/>
      <c r="E7" s="14"/>
      <c r="F7" s="15"/>
      <c r="G7" s="3"/>
      <c r="H7" s="7"/>
    </row>
    <row r="8">
      <c r="A8" s="17"/>
      <c r="B8" s="9"/>
      <c r="C8" s="9"/>
      <c r="D8" s="9"/>
      <c r="E8" s="9"/>
      <c r="F8" s="9"/>
      <c r="G8" s="3"/>
      <c r="H8" s="7"/>
    </row>
    <row r="9">
      <c r="A9" s="18"/>
      <c r="B9" s="11" t="s">
        <v>6</v>
      </c>
      <c r="C9" s="11" t="s">
        <v>10</v>
      </c>
      <c r="D9" s="11" t="s">
        <v>11</v>
      </c>
      <c r="E9" s="11" t="s">
        <v>12</v>
      </c>
      <c r="F9" s="11" t="s">
        <v>9</v>
      </c>
      <c r="G9" s="11" t="s">
        <v>7</v>
      </c>
      <c r="H9" s="11" t="s">
        <v>13</v>
      </c>
    </row>
    <row r="10">
      <c r="A10" s="18">
        <v>1.0</v>
      </c>
      <c r="B10" s="19"/>
      <c r="C10" s="19"/>
      <c r="D10" s="19"/>
      <c r="E10" s="19"/>
      <c r="F10" s="20"/>
      <c r="G10" s="19"/>
      <c r="H10" s="19"/>
    </row>
    <row r="11">
      <c r="A11" s="18">
        <v>2.0</v>
      </c>
      <c r="E11" s="21"/>
    </row>
    <row r="12">
      <c r="A12" s="18">
        <v>3.0</v>
      </c>
      <c r="B12" s="19"/>
      <c r="C12" s="19"/>
      <c r="D12" s="19"/>
      <c r="E12" s="19"/>
      <c r="F12" s="19"/>
      <c r="G12" s="19"/>
      <c r="H12" s="19"/>
    </row>
    <row r="13">
      <c r="A13" s="18">
        <v>4.0</v>
      </c>
    </row>
    <row r="14">
      <c r="A14" s="18">
        <v>5.0</v>
      </c>
      <c r="B14" s="19"/>
      <c r="C14" s="19"/>
      <c r="D14" s="19"/>
      <c r="E14" s="19"/>
      <c r="F14" s="19"/>
      <c r="G14" s="19"/>
      <c r="H14" s="19"/>
    </row>
    <row r="15">
      <c r="A15" s="18">
        <v>6.0</v>
      </c>
    </row>
    <row r="16">
      <c r="A16" s="18">
        <v>7.0</v>
      </c>
      <c r="B16" s="19"/>
      <c r="C16" s="19"/>
      <c r="D16" s="19"/>
      <c r="E16" s="19"/>
      <c r="F16" s="19"/>
      <c r="G16" s="19"/>
      <c r="H16" s="19"/>
    </row>
    <row r="17">
      <c r="A17" s="18">
        <v>8.0</v>
      </c>
    </row>
    <row r="18">
      <c r="A18" s="18">
        <v>9.0</v>
      </c>
      <c r="B18" s="19"/>
      <c r="C18" s="19"/>
      <c r="D18" s="19"/>
      <c r="E18" s="19"/>
      <c r="F18" s="19"/>
      <c r="G18" s="19"/>
      <c r="H18" s="19"/>
    </row>
    <row r="19">
      <c r="A19" s="18">
        <v>10.0</v>
      </c>
    </row>
    <row r="20">
      <c r="A20" s="18">
        <v>11.0</v>
      </c>
      <c r="B20" s="19"/>
      <c r="C20" s="19"/>
      <c r="D20" s="19"/>
      <c r="E20" s="19"/>
      <c r="F20" s="19"/>
      <c r="G20" s="19"/>
      <c r="H20" s="19"/>
    </row>
    <row r="21" ht="15.75" customHeight="1">
      <c r="A21" s="18">
        <v>12.0</v>
      </c>
    </row>
    <row r="22" ht="15.75" customHeight="1">
      <c r="A22" s="18">
        <v>13.0</v>
      </c>
      <c r="B22" s="19"/>
      <c r="C22" s="19"/>
      <c r="D22" s="19"/>
      <c r="E22" s="19"/>
      <c r="F22" s="19"/>
      <c r="G22" s="19"/>
      <c r="H22" s="19"/>
    </row>
    <row r="23" ht="15.75" customHeight="1">
      <c r="A23" s="18">
        <v>14.0</v>
      </c>
    </row>
    <row r="24" ht="15.75" customHeight="1">
      <c r="A24" s="18">
        <v>15.0</v>
      </c>
      <c r="B24" s="19"/>
      <c r="C24" s="19"/>
      <c r="D24" s="19"/>
      <c r="E24" s="19"/>
      <c r="F24" s="19"/>
      <c r="G24" s="19"/>
      <c r="H24" s="19"/>
    </row>
    <row r="25" ht="15.75" customHeight="1">
      <c r="A25" s="18">
        <v>16.0</v>
      </c>
    </row>
    <row r="26" ht="15.75" customHeight="1">
      <c r="A26" s="18">
        <v>17.0</v>
      </c>
      <c r="B26" s="19"/>
      <c r="C26" s="19"/>
      <c r="D26" s="19"/>
      <c r="E26" s="19"/>
      <c r="F26" s="19"/>
      <c r="G26" s="19"/>
      <c r="H26" s="19"/>
    </row>
    <row r="27" ht="15.75" customHeight="1">
      <c r="A27" s="18">
        <v>18.0</v>
      </c>
    </row>
    <row r="28" ht="15.75" customHeight="1">
      <c r="A28" s="18">
        <v>19.0</v>
      </c>
      <c r="B28" s="19"/>
      <c r="C28" s="19"/>
      <c r="D28" s="19"/>
      <c r="E28" s="19"/>
      <c r="F28" s="19"/>
      <c r="G28" s="19"/>
      <c r="H28" s="19"/>
    </row>
    <row r="29" ht="15.75" customHeight="1">
      <c r="A29" s="18">
        <v>20.0</v>
      </c>
    </row>
    <row r="30" ht="15.75" customHeight="1">
      <c r="A30" s="18">
        <v>21.0</v>
      </c>
      <c r="B30" s="19"/>
      <c r="C30" s="19"/>
      <c r="D30" s="19"/>
      <c r="E30" s="19"/>
      <c r="F30" s="19"/>
      <c r="G30" s="19"/>
      <c r="H30" s="19"/>
    </row>
    <row r="31" ht="15.75" customHeight="1">
      <c r="A31" s="18">
        <v>22.0</v>
      </c>
    </row>
    <row r="32" ht="15.75" customHeight="1">
      <c r="A32" s="18">
        <v>23.0</v>
      </c>
      <c r="B32" s="19"/>
      <c r="C32" s="19"/>
      <c r="D32" s="19"/>
      <c r="E32" s="19"/>
      <c r="F32" s="19"/>
      <c r="G32" s="19"/>
      <c r="H32" s="19"/>
    </row>
    <row r="33" ht="15.75" customHeight="1">
      <c r="A33" s="18">
        <v>24.0</v>
      </c>
    </row>
    <row r="34" ht="15.75" customHeight="1">
      <c r="A34" s="18">
        <v>25.0</v>
      </c>
      <c r="B34" s="19"/>
      <c r="C34" s="19"/>
      <c r="D34" s="19"/>
      <c r="E34" s="19"/>
      <c r="F34" s="19"/>
      <c r="G34" s="19"/>
      <c r="H34" s="19"/>
    </row>
    <row r="35" ht="15.75" customHeight="1">
      <c r="A35" s="18">
        <v>26.0</v>
      </c>
    </row>
    <row r="36" ht="15.75" customHeight="1">
      <c r="A36" s="18">
        <v>27.0</v>
      </c>
      <c r="B36" s="19"/>
      <c r="C36" s="19"/>
      <c r="D36" s="19"/>
      <c r="E36" s="19"/>
      <c r="F36" s="19"/>
      <c r="G36" s="19"/>
      <c r="H36" s="19"/>
    </row>
    <row r="37" ht="15.75" customHeight="1">
      <c r="A37" s="18">
        <v>28.0</v>
      </c>
    </row>
    <row r="38" ht="15.75" customHeight="1">
      <c r="A38" s="18">
        <v>29.0</v>
      </c>
      <c r="B38" s="19"/>
      <c r="C38" s="19"/>
      <c r="D38" s="19"/>
      <c r="E38" s="19"/>
      <c r="F38" s="19"/>
      <c r="G38" s="19"/>
      <c r="H38" s="19"/>
    </row>
    <row r="39" ht="15.75" customHeight="1">
      <c r="A39" s="18">
        <v>30.0</v>
      </c>
    </row>
    <row r="40" ht="15.75" customHeight="1">
      <c r="A40" s="18">
        <v>31.0</v>
      </c>
      <c r="B40" s="19"/>
      <c r="C40" s="19"/>
      <c r="D40" s="19"/>
      <c r="E40" s="19"/>
      <c r="F40" s="19"/>
      <c r="G40" s="19"/>
      <c r="H40" s="19"/>
    </row>
    <row r="41" ht="15.75" customHeight="1">
      <c r="A41" s="18">
        <v>32.0</v>
      </c>
    </row>
    <row r="42" ht="15.75" customHeight="1">
      <c r="A42" s="18">
        <v>33.0</v>
      </c>
      <c r="B42" s="19"/>
      <c r="C42" s="19"/>
      <c r="D42" s="19"/>
      <c r="E42" s="19"/>
      <c r="F42" s="19"/>
      <c r="G42" s="19"/>
      <c r="H42" s="19"/>
    </row>
    <row r="43" ht="15.75" customHeight="1">
      <c r="A43" s="18">
        <v>34.0</v>
      </c>
    </row>
    <row r="44" ht="15.75" customHeight="1">
      <c r="A44" s="18">
        <v>35.0</v>
      </c>
      <c r="B44" s="19"/>
      <c r="C44" s="19"/>
      <c r="D44" s="19"/>
      <c r="E44" s="19"/>
      <c r="F44" s="19"/>
      <c r="G44" s="19"/>
      <c r="H44" s="19"/>
    </row>
    <row r="45" ht="15.75" customHeight="1">
      <c r="A45" s="18">
        <v>36.0</v>
      </c>
    </row>
    <row r="46" ht="15.75" customHeight="1">
      <c r="A46" s="18">
        <v>37.0</v>
      </c>
      <c r="B46" s="19"/>
      <c r="C46" s="19"/>
      <c r="D46" s="19"/>
      <c r="E46" s="19"/>
      <c r="F46" s="19"/>
      <c r="G46" s="19"/>
      <c r="H46" s="19"/>
    </row>
    <row r="47" ht="15.75" customHeight="1">
      <c r="A47" s="18">
        <v>38.0</v>
      </c>
    </row>
    <row r="48" ht="15.75" customHeight="1">
      <c r="A48" s="18">
        <v>39.0</v>
      </c>
      <c r="B48" s="19"/>
      <c r="C48" s="19"/>
      <c r="D48" s="19"/>
      <c r="E48" s="19"/>
      <c r="F48" s="19"/>
      <c r="G48" s="19"/>
      <c r="H48" s="19"/>
    </row>
    <row r="49" ht="15.75" customHeight="1">
      <c r="A49" s="18">
        <v>40.0</v>
      </c>
    </row>
    <row r="50" ht="15.75" customHeight="1">
      <c r="A50" s="18">
        <v>41.0</v>
      </c>
      <c r="B50" s="19"/>
      <c r="C50" s="19"/>
      <c r="D50" s="19"/>
      <c r="E50" s="19"/>
      <c r="F50" s="19"/>
      <c r="G50" s="19"/>
      <c r="H50" s="19"/>
    </row>
    <row r="51" ht="15.75" customHeight="1">
      <c r="A51" s="18">
        <v>42.0</v>
      </c>
    </row>
    <row r="52" ht="15.75" customHeight="1">
      <c r="A52" s="18">
        <v>43.0</v>
      </c>
      <c r="B52" s="19"/>
      <c r="C52" s="19"/>
      <c r="D52" s="19"/>
      <c r="E52" s="19"/>
      <c r="F52" s="19"/>
      <c r="G52" s="19"/>
      <c r="H52" s="19"/>
    </row>
    <row r="53" ht="15.75" customHeight="1">
      <c r="A53" s="18">
        <v>44.0</v>
      </c>
    </row>
    <row r="54" ht="15.75" customHeight="1">
      <c r="A54" s="18">
        <v>45.0</v>
      </c>
      <c r="B54" s="19"/>
      <c r="C54" s="19"/>
      <c r="D54" s="19"/>
      <c r="E54" s="19"/>
      <c r="F54" s="19"/>
      <c r="G54" s="19"/>
      <c r="H54" s="19"/>
    </row>
    <row r="55" ht="15.75" customHeight="1">
      <c r="A55" s="18">
        <v>46.0</v>
      </c>
    </row>
    <row r="56" ht="15.75" customHeight="1">
      <c r="A56" s="18">
        <v>47.0</v>
      </c>
      <c r="B56" s="19"/>
      <c r="C56" s="19"/>
      <c r="D56" s="19"/>
      <c r="E56" s="19"/>
      <c r="F56" s="19"/>
      <c r="G56" s="19"/>
      <c r="H56" s="19"/>
    </row>
    <row r="57" ht="15.75" customHeight="1">
      <c r="A57" s="18">
        <v>48.0</v>
      </c>
    </row>
    <row r="58" ht="15.75" customHeight="1">
      <c r="A58" s="18">
        <v>49.0</v>
      </c>
      <c r="B58" s="19"/>
      <c r="C58" s="19"/>
      <c r="D58" s="19"/>
      <c r="E58" s="19"/>
      <c r="F58" s="19"/>
      <c r="G58" s="19"/>
      <c r="H58" s="19"/>
    </row>
    <row r="59" ht="15.75" customHeight="1">
      <c r="A59" s="18">
        <v>50.0</v>
      </c>
    </row>
    <row r="60" ht="15.75" customHeight="1">
      <c r="A60" s="18">
        <v>51.0</v>
      </c>
      <c r="B60" s="19"/>
      <c r="C60" s="19"/>
      <c r="D60" s="19"/>
      <c r="E60" s="19"/>
      <c r="F60" s="20"/>
      <c r="G60" s="19"/>
      <c r="H60" s="19"/>
    </row>
    <row r="61" ht="15.75" customHeight="1">
      <c r="A61" s="18">
        <v>52.0</v>
      </c>
      <c r="E61" s="21"/>
    </row>
    <row r="62" ht="15.75" customHeight="1">
      <c r="A62" s="18">
        <v>53.0</v>
      </c>
      <c r="B62" s="19"/>
      <c r="C62" s="19"/>
      <c r="D62" s="19"/>
      <c r="E62" s="19"/>
      <c r="F62" s="19"/>
      <c r="G62" s="19"/>
      <c r="H62" s="19"/>
    </row>
    <row r="63" ht="15.75" customHeight="1">
      <c r="A63" s="18">
        <v>54.0</v>
      </c>
    </row>
    <row r="64" ht="15.75" customHeight="1">
      <c r="A64" s="18">
        <v>55.0</v>
      </c>
      <c r="B64" s="19"/>
      <c r="C64" s="19"/>
      <c r="D64" s="19"/>
      <c r="E64" s="19"/>
      <c r="F64" s="19"/>
      <c r="G64" s="19"/>
      <c r="H64" s="19"/>
    </row>
    <row r="65" ht="15.75" customHeight="1">
      <c r="A65" s="18">
        <v>56.0</v>
      </c>
    </row>
    <row r="66" ht="15.75" customHeight="1">
      <c r="A66" s="18">
        <v>57.0</v>
      </c>
      <c r="B66" s="19"/>
      <c r="C66" s="19"/>
      <c r="D66" s="19"/>
      <c r="E66" s="19"/>
      <c r="F66" s="19"/>
      <c r="G66" s="19"/>
      <c r="H66" s="19"/>
    </row>
    <row r="67" ht="15.75" customHeight="1">
      <c r="A67" s="18">
        <v>58.0</v>
      </c>
    </row>
    <row r="68" ht="15.75" customHeight="1">
      <c r="A68" s="18">
        <v>59.0</v>
      </c>
      <c r="B68" s="19"/>
      <c r="C68" s="19"/>
      <c r="D68" s="19"/>
      <c r="E68" s="19"/>
      <c r="F68" s="19"/>
      <c r="G68" s="19"/>
      <c r="H68" s="19"/>
    </row>
    <row r="69" ht="15.75" customHeight="1">
      <c r="A69" s="18">
        <v>60.0</v>
      </c>
    </row>
    <row r="70" ht="15.75" customHeight="1">
      <c r="A70" s="18">
        <v>61.0</v>
      </c>
      <c r="B70" s="19"/>
      <c r="C70" s="19"/>
      <c r="D70" s="19"/>
      <c r="E70" s="19"/>
      <c r="F70" s="19"/>
      <c r="G70" s="19"/>
      <c r="H70" s="19"/>
    </row>
    <row r="71" ht="15.75" customHeight="1">
      <c r="A71" s="18">
        <v>62.0</v>
      </c>
    </row>
    <row r="72" ht="15.75" customHeight="1">
      <c r="A72" s="18">
        <v>63.0</v>
      </c>
      <c r="B72" s="19"/>
      <c r="C72" s="19"/>
      <c r="D72" s="19"/>
      <c r="E72" s="19"/>
      <c r="F72" s="19"/>
      <c r="G72" s="19"/>
      <c r="H72" s="19"/>
    </row>
    <row r="73" ht="15.75" customHeight="1">
      <c r="A73" s="18">
        <v>64.0</v>
      </c>
    </row>
    <row r="74" ht="15.75" customHeight="1">
      <c r="A74" s="18">
        <v>65.0</v>
      </c>
      <c r="B74" s="19"/>
      <c r="C74" s="19"/>
      <c r="D74" s="19"/>
      <c r="E74" s="19"/>
      <c r="F74" s="19"/>
      <c r="G74" s="19"/>
      <c r="H74" s="19"/>
    </row>
    <row r="75" ht="15.75" customHeight="1">
      <c r="A75" s="18">
        <v>66.0</v>
      </c>
    </row>
    <row r="76" ht="15.75" customHeight="1">
      <c r="A76" s="18">
        <v>67.0</v>
      </c>
      <c r="B76" s="19"/>
      <c r="C76" s="19"/>
      <c r="D76" s="19"/>
      <c r="E76" s="19"/>
      <c r="F76" s="19"/>
      <c r="G76" s="19"/>
      <c r="H76" s="19"/>
    </row>
    <row r="77" ht="15.75" customHeight="1">
      <c r="A77" s="18">
        <v>68.0</v>
      </c>
    </row>
    <row r="78" ht="15.75" customHeight="1">
      <c r="A78" s="18">
        <v>69.0</v>
      </c>
      <c r="B78" s="19"/>
      <c r="C78" s="19"/>
      <c r="D78" s="19"/>
      <c r="E78" s="19"/>
      <c r="F78" s="19"/>
      <c r="G78" s="19"/>
      <c r="H78" s="19"/>
    </row>
    <row r="79" ht="15.75" customHeight="1">
      <c r="A79" s="18">
        <v>70.0</v>
      </c>
    </row>
    <row r="80" ht="15.75" customHeight="1">
      <c r="A80" s="18">
        <v>71.0</v>
      </c>
      <c r="B80" s="19"/>
      <c r="C80" s="19"/>
      <c r="D80" s="19"/>
      <c r="E80" s="19"/>
      <c r="F80" s="19"/>
      <c r="G80" s="19"/>
      <c r="H80" s="19"/>
    </row>
    <row r="81" ht="15.75" customHeight="1">
      <c r="A81" s="18">
        <v>72.0</v>
      </c>
    </row>
    <row r="82" ht="15.75" customHeight="1">
      <c r="A82" s="18">
        <v>73.0</v>
      </c>
      <c r="B82" s="19"/>
      <c r="C82" s="19"/>
      <c r="D82" s="19"/>
      <c r="E82" s="19"/>
      <c r="F82" s="19"/>
      <c r="G82" s="19"/>
      <c r="H82" s="19"/>
    </row>
    <row r="83" ht="15.75" customHeight="1">
      <c r="A83" s="18">
        <v>74.0</v>
      </c>
    </row>
    <row r="84" ht="15.75" customHeight="1">
      <c r="A84" s="18">
        <v>75.0</v>
      </c>
      <c r="B84" s="19"/>
      <c r="C84" s="19"/>
      <c r="D84" s="19"/>
      <c r="E84" s="19"/>
      <c r="F84" s="19"/>
      <c r="G84" s="19"/>
      <c r="H84" s="19"/>
    </row>
    <row r="85" ht="15.75" customHeight="1">
      <c r="A85" s="18">
        <v>81.0</v>
      </c>
    </row>
    <row r="86" ht="15.75" customHeight="1">
      <c r="A86" s="18">
        <v>77.0</v>
      </c>
      <c r="B86" s="19"/>
      <c r="C86" s="19"/>
      <c r="D86" s="19"/>
      <c r="E86" s="19"/>
      <c r="F86" s="19"/>
      <c r="G86" s="19"/>
      <c r="H86" s="19"/>
    </row>
    <row r="87" ht="15.75" customHeight="1">
      <c r="A87" s="18">
        <v>78.0</v>
      </c>
    </row>
    <row r="88" ht="15.75" customHeight="1">
      <c r="A88" s="18">
        <v>79.0</v>
      </c>
      <c r="B88" s="19"/>
      <c r="C88" s="19"/>
      <c r="D88" s="19"/>
      <c r="E88" s="19"/>
      <c r="F88" s="19"/>
      <c r="G88" s="19"/>
      <c r="H88" s="19"/>
    </row>
    <row r="89" ht="15.75" customHeight="1">
      <c r="A89" s="18">
        <v>80.0</v>
      </c>
    </row>
    <row r="90" ht="15.75" customHeight="1">
      <c r="A90" s="18">
        <v>81.0</v>
      </c>
      <c r="B90" s="19"/>
      <c r="C90" s="19"/>
      <c r="D90" s="19"/>
      <c r="E90" s="19"/>
      <c r="F90" s="19"/>
      <c r="G90" s="19"/>
      <c r="H90" s="19"/>
    </row>
    <row r="91" ht="15.75" customHeight="1">
      <c r="A91" s="18">
        <v>82.0</v>
      </c>
    </row>
    <row r="92" ht="15.75" customHeight="1">
      <c r="A92" s="18">
        <v>83.0</v>
      </c>
      <c r="B92" s="19"/>
      <c r="C92" s="19"/>
      <c r="D92" s="19"/>
      <c r="E92" s="19"/>
      <c r="F92" s="19"/>
      <c r="G92" s="19"/>
      <c r="H92" s="19"/>
    </row>
    <row r="93" ht="15.75" customHeight="1">
      <c r="A93" s="18">
        <v>84.0</v>
      </c>
    </row>
    <row r="94" ht="15.75" customHeight="1">
      <c r="A94" s="18">
        <v>85.0</v>
      </c>
      <c r="B94" s="19"/>
      <c r="C94" s="19"/>
      <c r="D94" s="19"/>
      <c r="E94" s="19"/>
      <c r="F94" s="19"/>
      <c r="G94" s="19"/>
      <c r="H94" s="19"/>
    </row>
    <row r="95" ht="15.75" customHeight="1">
      <c r="A95" s="18">
        <v>86.0</v>
      </c>
    </row>
    <row r="96" ht="15.75" customHeight="1">
      <c r="A96" s="18">
        <v>87.0</v>
      </c>
      <c r="B96" s="19"/>
      <c r="C96" s="19"/>
      <c r="D96" s="19"/>
      <c r="E96" s="19"/>
      <c r="F96" s="19"/>
      <c r="G96" s="19"/>
      <c r="H96" s="19"/>
    </row>
    <row r="97" ht="15.75" customHeight="1">
      <c r="A97" s="18">
        <v>88.0</v>
      </c>
    </row>
    <row r="98" ht="15.75" customHeight="1">
      <c r="A98" s="18">
        <v>89.0</v>
      </c>
      <c r="B98" s="19"/>
      <c r="C98" s="19"/>
      <c r="D98" s="19"/>
      <c r="E98" s="19"/>
      <c r="F98" s="19"/>
      <c r="G98" s="19"/>
      <c r="H98" s="19"/>
    </row>
    <row r="99" ht="15.75" customHeight="1">
      <c r="A99" s="18">
        <v>90.0</v>
      </c>
    </row>
    <row r="100" ht="15.75" customHeight="1">
      <c r="A100" s="18">
        <v>91.0</v>
      </c>
      <c r="B100" s="19"/>
      <c r="C100" s="19"/>
      <c r="D100" s="19"/>
      <c r="E100" s="19"/>
      <c r="F100" s="19"/>
      <c r="G100" s="19"/>
      <c r="H100" s="19"/>
    </row>
    <row r="101" ht="15.75" customHeight="1">
      <c r="A101" s="18">
        <v>92.0</v>
      </c>
    </row>
    <row r="102" ht="15.75" customHeight="1">
      <c r="A102" s="18">
        <v>93.0</v>
      </c>
      <c r="B102" s="19"/>
      <c r="C102" s="19"/>
      <c r="D102" s="19"/>
      <c r="E102" s="19"/>
      <c r="F102" s="19"/>
      <c r="G102" s="19"/>
      <c r="H102" s="19"/>
    </row>
    <row r="103" ht="15.75" customHeight="1">
      <c r="A103" s="18">
        <v>94.0</v>
      </c>
    </row>
    <row r="104" ht="15.75" customHeight="1">
      <c r="A104" s="18">
        <v>95.0</v>
      </c>
      <c r="B104" s="19"/>
      <c r="C104" s="19"/>
      <c r="D104" s="19"/>
      <c r="E104" s="19"/>
      <c r="F104" s="19"/>
      <c r="G104" s="19"/>
      <c r="H104" s="19"/>
    </row>
    <row r="105" ht="15.75" customHeight="1">
      <c r="A105" s="18">
        <v>96.0</v>
      </c>
    </row>
    <row r="106" ht="15.75" customHeight="1">
      <c r="A106" s="18">
        <v>97.0</v>
      </c>
      <c r="B106" s="19"/>
      <c r="C106" s="19"/>
      <c r="D106" s="19"/>
      <c r="E106" s="19"/>
      <c r="F106" s="19"/>
      <c r="G106" s="19"/>
      <c r="H106" s="19"/>
    </row>
    <row r="107" ht="15.75" customHeight="1">
      <c r="A107" s="18">
        <v>98.0</v>
      </c>
    </row>
    <row r="108" ht="15.75" customHeight="1">
      <c r="A108" s="18">
        <v>99.0</v>
      </c>
      <c r="B108" s="19"/>
      <c r="C108" s="19"/>
      <c r="D108" s="19"/>
      <c r="E108" s="19"/>
      <c r="F108" s="19"/>
      <c r="G108" s="19"/>
      <c r="H108" s="19"/>
    </row>
    <row r="109" ht="15.75" customHeight="1">
      <c r="A109" s="18">
        <v>100.0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7:B7"/>
    <mergeCell ref="A8:F8"/>
    <mergeCell ref="A1:F1"/>
    <mergeCell ref="H1:H8"/>
    <mergeCell ref="A2:F2"/>
    <mergeCell ref="A3:F3"/>
    <mergeCell ref="A4:B4"/>
    <mergeCell ref="A5:B5"/>
    <mergeCell ref="A6:B6"/>
  </mergeCells>
  <dataValidations>
    <dataValidation type="list" allowBlank="1" showErrorMessage="1" sqref="F7">
      <formula1>"Stand,Stand e Apresentação de Palco,Sem noite Cultural"</formula1>
    </dataValidation>
    <dataValidation type="list" allowBlank="1" showErrorMessage="1" sqref="F5">
      <formula1>"Online,1,2"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14"/>
    <col customWidth="1" min="2" max="2" width="38.29"/>
    <col customWidth="1" min="3" max="3" width="21.86"/>
    <col customWidth="1" min="4" max="4" width="12.86"/>
    <col customWidth="1" min="5" max="5" width="12.57"/>
    <col customWidth="1" hidden="1" min="6" max="6" width="4.29"/>
    <col customWidth="1" hidden="1" min="7" max="7" width="2.57"/>
    <col customWidth="1" min="8" max="8" width="12.14"/>
  </cols>
  <sheetData>
    <row r="1" ht="23.25" customHeight="1">
      <c r="A1" s="22"/>
      <c r="B1" s="23"/>
      <c r="C1" s="24"/>
      <c r="D1" s="25" t="str">
        <f>IF(Preenchimento!F5="online","Online","Treinamento 1")</f>
        <v>Treinamento 1</v>
      </c>
      <c r="E1" s="26" t="str">
        <f>IF(Preenchimento!F5="online","-",IF(Preenchimento!F5=1,"-","Treinamento 2"))</f>
        <v>Treinamento 2</v>
      </c>
      <c r="F1" s="26"/>
      <c r="G1" s="26"/>
      <c r="H1" s="27"/>
    </row>
    <row r="2">
      <c r="A2" s="28"/>
      <c r="B2" s="29" t="s">
        <v>6</v>
      </c>
      <c r="C2" s="29" t="s">
        <v>11</v>
      </c>
      <c r="D2" s="30" t="str">
        <f>IF(OR(D1="treinamento 1",D1="online"),"Presença","-")</f>
        <v>Presença</v>
      </c>
      <c r="E2" s="30" t="str">
        <f>IF(E1="-","-","Presença")</f>
        <v>Presença</v>
      </c>
      <c r="F2" s="31"/>
      <c r="G2" s="31"/>
      <c r="H2" s="32" t="s">
        <v>14</v>
      </c>
    </row>
    <row r="3">
      <c r="A3" s="33">
        <v>1.0</v>
      </c>
      <c r="B3" s="14" t="str">
        <f>IF(Preenchimento!B10="","-",Preenchimento!B10)</f>
        <v>-</v>
      </c>
      <c r="C3" s="14" t="str">
        <f>IF(Preenchimento!D10="","-",Preenchimento!D10)</f>
        <v>-</v>
      </c>
      <c r="D3" s="34"/>
      <c r="E3" s="34"/>
      <c r="F3" s="14" t="str">
        <f t="shared" ref="F3:G3" si="1">IF(D3="P",10,IF(D3="F",0,"-"))</f>
        <v>-</v>
      </c>
      <c r="G3" s="35" t="str">
        <f t="shared" si="1"/>
        <v>-</v>
      </c>
      <c r="H3" s="36" t="str">
        <f>IF(Preenchimento!$F$5="Online","Online",IF(Preenchimento!$F$5=1,F3,IF(Preenchimento!$F$5=2,(SUM(F3:G3)/2),"-")))</f>
        <v>-</v>
      </c>
    </row>
    <row r="4">
      <c r="A4" s="33">
        <v>2.0</v>
      </c>
      <c r="B4" s="37" t="str">
        <f>IF(Preenchimento!B11="","-",Preenchimento!B11)</f>
        <v>-</v>
      </c>
      <c r="C4" s="37" t="str">
        <f>IF(Preenchimento!D11="","-",Preenchimento!D11)</f>
        <v>-</v>
      </c>
      <c r="D4" s="38"/>
      <c r="E4" s="38"/>
      <c r="F4" s="37" t="str">
        <f t="shared" ref="F4:G4" si="2">IF(D4="P",10,IF(D4="F",0,"-"))</f>
        <v>-</v>
      </c>
      <c r="G4" s="39" t="str">
        <f t="shared" si="2"/>
        <v>-</v>
      </c>
      <c r="H4" s="40" t="str">
        <f>IF(Preenchimento!$F$5="Online","Online",IF(Preenchimento!$F$5=1,F4,IF(Preenchimento!$F$5=2,(SUM(F4:G4)/2),"-")))</f>
        <v>-</v>
      </c>
    </row>
    <row r="5">
      <c r="A5" s="33">
        <v>3.0</v>
      </c>
      <c r="B5" s="14" t="str">
        <f>IF(Preenchimento!B12="","-",Preenchimento!B12)</f>
        <v>-</v>
      </c>
      <c r="C5" s="14" t="str">
        <f>IF(Preenchimento!D12="","-",Preenchimento!D12)</f>
        <v>-</v>
      </c>
      <c r="D5" s="34"/>
      <c r="E5" s="34"/>
      <c r="F5" s="14" t="str">
        <f t="shared" ref="F5:G5" si="3">IF(D5="P",10,IF(D5="F",0,"-"))</f>
        <v>-</v>
      </c>
      <c r="G5" s="35" t="str">
        <f t="shared" si="3"/>
        <v>-</v>
      </c>
      <c r="H5" s="36" t="str">
        <f>IF(Preenchimento!$F$5="Online","Online",IF(Preenchimento!$F$5=1,F5,IF(Preenchimento!$F$5=2,(SUM(F5:G5)/2),"-")))</f>
        <v>-</v>
      </c>
    </row>
    <row r="6">
      <c r="A6" s="33">
        <v>4.0</v>
      </c>
      <c r="B6" s="37" t="str">
        <f>IF(Preenchimento!B13="","-",Preenchimento!B13)</f>
        <v>-</v>
      </c>
      <c r="C6" s="37" t="str">
        <f>IF(Preenchimento!D13="","-",Preenchimento!D13)</f>
        <v>-</v>
      </c>
      <c r="D6" s="38"/>
      <c r="E6" s="38"/>
      <c r="F6" s="37" t="str">
        <f t="shared" ref="F6:G6" si="4">IF(D6="P",10,IF(D6="F",0,"-"))</f>
        <v>-</v>
      </c>
      <c r="G6" s="39" t="str">
        <f t="shared" si="4"/>
        <v>-</v>
      </c>
      <c r="H6" s="40" t="str">
        <f>IF(Preenchimento!$F$5="Online","Online",IF(Preenchimento!$F$5=1,F6,IF(Preenchimento!$F$5=2,(SUM(F6:G6)/2),"-")))</f>
        <v>-</v>
      </c>
    </row>
    <row r="7">
      <c r="A7" s="33">
        <v>5.0</v>
      </c>
      <c r="B7" s="14" t="str">
        <f>IF(Preenchimento!B14="","-",Preenchimento!B14)</f>
        <v>-</v>
      </c>
      <c r="C7" s="14" t="str">
        <f>IF(Preenchimento!D14="","-",Preenchimento!D14)</f>
        <v>-</v>
      </c>
      <c r="D7" s="34"/>
      <c r="E7" s="34"/>
      <c r="F7" s="14" t="str">
        <f t="shared" ref="F7:G7" si="5">IF(D7="P",10,IF(D7="F",0,"-"))</f>
        <v>-</v>
      </c>
      <c r="G7" s="35" t="str">
        <f t="shared" si="5"/>
        <v>-</v>
      </c>
      <c r="H7" s="36" t="str">
        <f>IF(Preenchimento!$F$5="Online","Online",IF(Preenchimento!$F$5=1,F7,IF(Preenchimento!$F$5=2,(SUM(F7:G7)/2),"-")))</f>
        <v>-</v>
      </c>
    </row>
    <row r="8">
      <c r="A8" s="33">
        <v>6.0</v>
      </c>
      <c r="B8" s="37" t="str">
        <f>IF(Preenchimento!B15="","-",Preenchimento!B15)</f>
        <v>-</v>
      </c>
      <c r="C8" s="37" t="str">
        <f>IF(Preenchimento!D15="","-",Preenchimento!D15)</f>
        <v>-</v>
      </c>
      <c r="D8" s="38"/>
      <c r="E8" s="38"/>
      <c r="F8" s="37" t="str">
        <f t="shared" ref="F8:G8" si="6">IF(D8="P",10,IF(D8="F",0,"-"))</f>
        <v>-</v>
      </c>
      <c r="G8" s="39" t="str">
        <f t="shared" si="6"/>
        <v>-</v>
      </c>
      <c r="H8" s="40" t="str">
        <f>IF(Preenchimento!$F$5="Online","Online",IF(Preenchimento!$F$5=1,F8,IF(Preenchimento!$F$5=2,(SUM(F8:G8)/2),"-")))</f>
        <v>-</v>
      </c>
    </row>
    <row r="9">
      <c r="A9" s="33">
        <v>7.0</v>
      </c>
      <c r="B9" s="14" t="str">
        <f>IF(Preenchimento!B16="","-",Preenchimento!B16)</f>
        <v>-</v>
      </c>
      <c r="C9" s="14" t="str">
        <f>IF(Preenchimento!D16="","-",Preenchimento!D16)</f>
        <v>-</v>
      </c>
      <c r="D9" s="34"/>
      <c r="E9" s="34"/>
      <c r="F9" s="14" t="str">
        <f t="shared" ref="F9:G9" si="7">IF(D9="P",10,IF(D9="F",0,"-"))</f>
        <v>-</v>
      </c>
      <c r="G9" s="35" t="str">
        <f t="shared" si="7"/>
        <v>-</v>
      </c>
      <c r="H9" s="36" t="str">
        <f>IF(Preenchimento!$F$5="Online","Online",IF(Preenchimento!$F$5=1,F9,IF(Preenchimento!$F$5=2,(SUM(F9:G9)/2),"-")))</f>
        <v>-</v>
      </c>
    </row>
    <row r="10">
      <c r="A10" s="33">
        <v>8.0</v>
      </c>
      <c r="B10" s="37" t="str">
        <f>IF(Preenchimento!B17="","-",Preenchimento!B17)</f>
        <v>-</v>
      </c>
      <c r="C10" s="37" t="str">
        <f>IF(Preenchimento!D17="","-",Preenchimento!D17)</f>
        <v>-</v>
      </c>
      <c r="D10" s="38"/>
      <c r="E10" s="38"/>
      <c r="F10" s="37" t="str">
        <f t="shared" ref="F10:G10" si="8">IF(D10="P",10,IF(D10="F",0,"-"))</f>
        <v>-</v>
      </c>
      <c r="G10" s="39" t="str">
        <f t="shared" si="8"/>
        <v>-</v>
      </c>
      <c r="H10" s="40" t="str">
        <f>IF(Preenchimento!$F$5="Online","Online",IF(Preenchimento!$F$5=1,F10,IF(Preenchimento!$F$5=2,(SUM(F10:G10)/2),"-")))</f>
        <v>-</v>
      </c>
    </row>
    <row r="11">
      <c r="A11" s="33">
        <v>9.0</v>
      </c>
      <c r="B11" s="14" t="str">
        <f>IF(Preenchimento!B18="","-",Preenchimento!B18)</f>
        <v>-</v>
      </c>
      <c r="C11" s="14" t="str">
        <f>IF(Preenchimento!D18="","-",Preenchimento!D18)</f>
        <v>-</v>
      </c>
      <c r="D11" s="34"/>
      <c r="E11" s="34"/>
      <c r="F11" s="14" t="str">
        <f t="shared" ref="F11:G11" si="9">IF(D11="P",10,IF(D11="F",0,"-"))</f>
        <v>-</v>
      </c>
      <c r="G11" s="35" t="str">
        <f t="shared" si="9"/>
        <v>-</v>
      </c>
      <c r="H11" s="36" t="str">
        <f>IF(Preenchimento!$F$5="Online","Online",IF(Preenchimento!$F$5=1,F11,IF(Preenchimento!$F$5=2,(SUM(F11:G11)/2),"-")))</f>
        <v>-</v>
      </c>
    </row>
    <row r="12">
      <c r="A12" s="33">
        <v>10.0</v>
      </c>
      <c r="B12" s="37" t="str">
        <f>IF(Preenchimento!B19="","-",Preenchimento!B19)</f>
        <v>-</v>
      </c>
      <c r="C12" s="37" t="str">
        <f>IF(Preenchimento!D19="","-",Preenchimento!D19)</f>
        <v>-</v>
      </c>
      <c r="D12" s="38"/>
      <c r="E12" s="38"/>
      <c r="F12" s="37" t="str">
        <f t="shared" ref="F12:G12" si="10">IF(D12="P",10,IF(D12="F",0,"-"))</f>
        <v>-</v>
      </c>
      <c r="G12" s="39" t="str">
        <f t="shared" si="10"/>
        <v>-</v>
      </c>
      <c r="H12" s="40" t="str">
        <f>IF(Preenchimento!$F$5="Online","Online",IF(Preenchimento!$F$5=1,F12,IF(Preenchimento!$F$5=2,(SUM(F12:G12)/2),"-")))</f>
        <v>-</v>
      </c>
    </row>
    <row r="13">
      <c r="A13" s="33">
        <v>11.0</v>
      </c>
      <c r="B13" s="14" t="str">
        <f>IF(Preenchimento!B20="","-",Preenchimento!B20)</f>
        <v>-</v>
      </c>
      <c r="C13" s="14" t="str">
        <f>IF(Preenchimento!D20="","-",Preenchimento!D20)</f>
        <v>-</v>
      </c>
      <c r="D13" s="34"/>
      <c r="E13" s="34"/>
      <c r="F13" s="14" t="str">
        <f t="shared" ref="F13:G13" si="11">IF(D13="P",10,IF(D13="F",0,"-"))</f>
        <v>-</v>
      </c>
      <c r="G13" s="35" t="str">
        <f t="shared" si="11"/>
        <v>-</v>
      </c>
      <c r="H13" s="36" t="str">
        <f>IF(Preenchimento!$F$5="Online","Online",IF(Preenchimento!$F$5=1,F13,IF(Preenchimento!$F$5=2,(SUM(F13:G13)/2),"-")))</f>
        <v>-</v>
      </c>
    </row>
    <row r="14">
      <c r="A14" s="33">
        <v>12.0</v>
      </c>
      <c r="B14" s="37" t="str">
        <f>IF(Preenchimento!B21="","-",Preenchimento!B21)</f>
        <v>-</v>
      </c>
      <c r="C14" s="37" t="str">
        <f>IF(Preenchimento!D21="","-",Preenchimento!D21)</f>
        <v>-</v>
      </c>
      <c r="D14" s="38"/>
      <c r="E14" s="38"/>
      <c r="F14" s="37" t="str">
        <f t="shared" ref="F14:G14" si="12">IF(D14="P",10,IF(D14="F",0,"-"))</f>
        <v>-</v>
      </c>
      <c r="G14" s="39" t="str">
        <f t="shared" si="12"/>
        <v>-</v>
      </c>
      <c r="H14" s="40" t="str">
        <f>IF(Preenchimento!$F$5="Online","Online",IF(Preenchimento!$F$5=1,F14,IF(Preenchimento!$F$5=2,(SUM(F14:G14)/2),"-")))</f>
        <v>-</v>
      </c>
    </row>
    <row r="15">
      <c r="A15" s="33">
        <v>13.0</v>
      </c>
      <c r="B15" s="14" t="str">
        <f>IF(Preenchimento!B22="","-",Preenchimento!B22)</f>
        <v>-</v>
      </c>
      <c r="C15" s="14" t="str">
        <f>IF(Preenchimento!D22="","-",Preenchimento!D22)</f>
        <v>-</v>
      </c>
      <c r="D15" s="34"/>
      <c r="E15" s="34"/>
      <c r="F15" s="14" t="str">
        <f t="shared" ref="F15:G15" si="13">IF(D15="P",10,IF(D15="F",0,"-"))</f>
        <v>-</v>
      </c>
      <c r="G15" s="35" t="str">
        <f t="shared" si="13"/>
        <v>-</v>
      </c>
      <c r="H15" s="36" t="str">
        <f>IF(Preenchimento!$F$5="Online","Online",IF(Preenchimento!$F$5=1,F15,IF(Preenchimento!$F$5=2,(SUM(F15:G15)/2),"-")))</f>
        <v>-</v>
      </c>
    </row>
    <row r="16">
      <c r="A16" s="33">
        <v>14.0</v>
      </c>
      <c r="B16" s="37" t="str">
        <f>IF(Preenchimento!B23="","-",Preenchimento!B23)</f>
        <v>-</v>
      </c>
      <c r="C16" s="37" t="str">
        <f>IF(Preenchimento!D23="","-",Preenchimento!D23)</f>
        <v>-</v>
      </c>
      <c r="D16" s="38"/>
      <c r="E16" s="38"/>
      <c r="F16" s="37" t="str">
        <f t="shared" ref="F16:G16" si="14">IF(D16="P",10,IF(D16="F",0,"-"))</f>
        <v>-</v>
      </c>
      <c r="G16" s="39" t="str">
        <f t="shared" si="14"/>
        <v>-</v>
      </c>
      <c r="H16" s="40" t="str">
        <f>IF(Preenchimento!$F$5="Online","Online",IF(Preenchimento!$F$5=1,F16,IF(Preenchimento!$F$5=2,(SUM(F16:G16)/2),"-")))</f>
        <v>-</v>
      </c>
    </row>
    <row r="17">
      <c r="A17" s="33">
        <v>15.0</v>
      </c>
      <c r="B17" s="14" t="str">
        <f>IF(Preenchimento!B24="","-",Preenchimento!B24)</f>
        <v>-</v>
      </c>
      <c r="C17" s="14" t="str">
        <f>IF(Preenchimento!D24="","-",Preenchimento!D24)</f>
        <v>-</v>
      </c>
      <c r="D17" s="34"/>
      <c r="E17" s="34"/>
      <c r="F17" s="14" t="str">
        <f t="shared" ref="F17:G17" si="15">IF(D17="P",10,IF(D17="F",0,"-"))</f>
        <v>-</v>
      </c>
      <c r="G17" s="35" t="str">
        <f t="shared" si="15"/>
        <v>-</v>
      </c>
      <c r="H17" s="36" t="str">
        <f>IF(Preenchimento!$F$5="Online","Online",IF(Preenchimento!$F$5=1,F17,IF(Preenchimento!$F$5=2,(SUM(F17:G17)/2),"-")))</f>
        <v>-</v>
      </c>
    </row>
    <row r="18">
      <c r="A18" s="33">
        <v>16.0</v>
      </c>
      <c r="B18" s="37" t="str">
        <f>IF(Preenchimento!B25="","-",Preenchimento!B25)</f>
        <v>-</v>
      </c>
      <c r="C18" s="37" t="str">
        <f>IF(Preenchimento!D25="","-",Preenchimento!D25)</f>
        <v>-</v>
      </c>
      <c r="D18" s="38"/>
      <c r="E18" s="38"/>
      <c r="F18" s="37" t="str">
        <f t="shared" ref="F18:G18" si="16">IF(D18="P",10,IF(D18="F",0,"-"))</f>
        <v>-</v>
      </c>
      <c r="G18" s="39" t="str">
        <f t="shared" si="16"/>
        <v>-</v>
      </c>
      <c r="H18" s="40" t="str">
        <f>IF(Preenchimento!$F$5="Online","Online",IF(Preenchimento!$F$5=1,F18,IF(Preenchimento!$F$5=2,(SUM(F18:G18)/2),"-")))</f>
        <v>-</v>
      </c>
    </row>
    <row r="19">
      <c r="A19" s="33">
        <v>17.0</v>
      </c>
      <c r="B19" s="14" t="str">
        <f>IF(Preenchimento!B26="","-",Preenchimento!B26)</f>
        <v>-</v>
      </c>
      <c r="C19" s="14" t="str">
        <f>IF(Preenchimento!D26="","-",Preenchimento!D26)</f>
        <v>-</v>
      </c>
      <c r="D19" s="34"/>
      <c r="E19" s="34"/>
      <c r="F19" s="14" t="str">
        <f t="shared" ref="F19:G19" si="17">IF(D19="P",10,IF(D19="F",0,"-"))</f>
        <v>-</v>
      </c>
      <c r="G19" s="35" t="str">
        <f t="shared" si="17"/>
        <v>-</v>
      </c>
      <c r="H19" s="36" t="str">
        <f>IF(Preenchimento!$F$5="Online","Online",IF(Preenchimento!$F$5=1,F19,IF(Preenchimento!$F$5=2,(SUM(F19:G19)/2),"-")))</f>
        <v>-</v>
      </c>
    </row>
    <row r="20">
      <c r="A20" s="33">
        <v>18.0</v>
      </c>
      <c r="B20" s="37" t="str">
        <f>IF(Preenchimento!B27="","-",Preenchimento!B27)</f>
        <v>-</v>
      </c>
      <c r="C20" s="37" t="str">
        <f>IF(Preenchimento!D27="","-",Preenchimento!D27)</f>
        <v>-</v>
      </c>
      <c r="D20" s="38"/>
      <c r="E20" s="38"/>
      <c r="F20" s="37" t="str">
        <f t="shared" ref="F20:G20" si="18">IF(D20="P",10,IF(D20="F",0,"-"))</f>
        <v>-</v>
      </c>
      <c r="G20" s="39" t="str">
        <f t="shared" si="18"/>
        <v>-</v>
      </c>
      <c r="H20" s="40" t="str">
        <f>IF(Preenchimento!$F$5="Online","Online",IF(Preenchimento!$F$5=1,F20,IF(Preenchimento!$F$5=2,(SUM(F20:G20)/2),"-")))</f>
        <v>-</v>
      </c>
    </row>
    <row r="21" ht="15.75" customHeight="1">
      <c r="A21" s="33">
        <v>19.0</v>
      </c>
      <c r="B21" s="14" t="str">
        <f>IF(Preenchimento!B28="","-",Preenchimento!B28)</f>
        <v>-</v>
      </c>
      <c r="C21" s="14" t="str">
        <f>IF(Preenchimento!D28="","-",Preenchimento!D28)</f>
        <v>-</v>
      </c>
      <c r="D21" s="34"/>
      <c r="E21" s="34"/>
      <c r="F21" s="14" t="str">
        <f t="shared" ref="F21:G21" si="19">IF(D21="P",10,IF(D21="F",0,"-"))</f>
        <v>-</v>
      </c>
      <c r="G21" s="35" t="str">
        <f t="shared" si="19"/>
        <v>-</v>
      </c>
      <c r="H21" s="36" t="str">
        <f>IF(Preenchimento!$F$5="Online","Online",IF(Preenchimento!$F$5=1,F21,IF(Preenchimento!$F$5=2,(SUM(F21:G21)/2),"-")))</f>
        <v>-</v>
      </c>
    </row>
    <row r="22" ht="15.75" customHeight="1">
      <c r="A22" s="33">
        <v>20.0</v>
      </c>
      <c r="B22" s="37" t="str">
        <f>IF(Preenchimento!B29="","-",Preenchimento!B29)</f>
        <v>-</v>
      </c>
      <c r="C22" s="37" t="str">
        <f>IF(Preenchimento!D29="","-",Preenchimento!D29)</f>
        <v>-</v>
      </c>
      <c r="D22" s="38"/>
      <c r="E22" s="38"/>
      <c r="F22" s="37" t="str">
        <f t="shared" ref="F22:G22" si="20">IF(D22="P",10,IF(D22="F",0,"-"))</f>
        <v>-</v>
      </c>
      <c r="G22" s="39" t="str">
        <f t="shared" si="20"/>
        <v>-</v>
      </c>
      <c r="H22" s="40" t="str">
        <f>IF(Preenchimento!$F$5="Online","Online",IF(Preenchimento!$F$5=1,F22,IF(Preenchimento!$F$5=2,(SUM(F22:G22)/2),"-")))</f>
        <v>-</v>
      </c>
    </row>
    <row r="23" ht="15.75" customHeight="1">
      <c r="A23" s="33">
        <v>21.0</v>
      </c>
      <c r="B23" s="14" t="str">
        <f>IF(Preenchimento!B30="","-",Preenchimento!B30)</f>
        <v>-</v>
      </c>
      <c r="C23" s="14" t="str">
        <f>IF(Preenchimento!D30="","-",Preenchimento!D30)</f>
        <v>-</v>
      </c>
      <c r="D23" s="34"/>
      <c r="E23" s="34"/>
      <c r="F23" s="14" t="str">
        <f t="shared" ref="F23:G23" si="21">IF(D23="P",10,IF(D23="F",0,"-"))</f>
        <v>-</v>
      </c>
      <c r="G23" s="35" t="str">
        <f t="shared" si="21"/>
        <v>-</v>
      </c>
      <c r="H23" s="36" t="str">
        <f>IF(Preenchimento!$F$5="Online","Online",IF(Preenchimento!$F$5=1,F23,IF(Preenchimento!$F$5=2,(SUM(F23:G23)/2),"-")))</f>
        <v>-</v>
      </c>
    </row>
    <row r="24" ht="15.75" customHeight="1">
      <c r="A24" s="33">
        <v>22.0</v>
      </c>
      <c r="B24" s="37" t="str">
        <f>IF(Preenchimento!B31="","-",Preenchimento!B31)</f>
        <v>-</v>
      </c>
      <c r="C24" s="37" t="str">
        <f>IF(Preenchimento!D31="","-",Preenchimento!D31)</f>
        <v>-</v>
      </c>
      <c r="D24" s="38"/>
      <c r="E24" s="38"/>
      <c r="F24" s="37" t="str">
        <f t="shared" ref="F24:G24" si="22">IF(D24="P",10,IF(D24="F",0,"-"))</f>
        <v>-</v>
      </c>
      <c r="G24" s="39" t="str">
        <f t="shared" si="22"/>
        <v>-</v>
      </c>
      <c r="H24" s="40" t="str">
        <f>IF(Preenchimento!$F$5="Online","Online",IF(Preenchimento!$F$5=1,F24,IF(Preenchimento!$F$5=2,(SUM(F24:G24)/2),"-")))</f>
        <v>-</v>
      </c>
    </row>
    <row r="25" ht="15.75" customHeight="1">
      <c r="A25" s="33">
        <v>23.0</v>
      </c>
      <c r="B25" s="14" t="str">
        <f>IF(Preenchimento!B32="","-",Preenchimento!B32)</f>
        <v>-</v>
      </c>
      <c r="C25" s="14" t="str">
        <f>IF(Preenchimento!D32="","-",Preenchimento!D32)</f>
        <v>-</v>
      </c>
      <c r="D25" s="34"/>
      <c r="E25" s="34"/>
      <c r="F25" s="14" t="str">
        <f t="shared" ref="F25:G25" si="23">IF(D25="P",10,IF(D25="F",0,"-"))</f>
        <v>-</v>
      </c>
      <c r="G25" s="35" t="str">
        <f t="shared" si="23"/>
        <v>-</v>
      </c>
      <c r="H25" s="36" t="str">
        <f>IF(Preenchimento!$F$5="Online","Online",IF(Preenchimento!$F$5=1,F25,IF(Preenchimento!$F$5=2,(SUM(F25:G25)/2),"-")))</f>
        <v>-</v>
      </c>
    </row>
    <row r="26" ht="15.75" customHeight="1">
      <c r="A26" s="33">
        <v>24.0</v>
      </c>
      <c r="B26" s="37" t="str">
        <f>IF(Preenchimento!B33="","-",Preenchimento!B33)</f>
        <v>-</v>
      </c>
      <c r="C26" s="37" t="str">
        <f>IF(Preenchimento!D33="","-",Preenchimento!D33)</f>
        <v>-</v>
      </c>
      <c r="D26" s="38"/>
      <c r="E26" s="38"/>
      <c r="F26" s="37" t="str">
        <f t="shared" ref="F26:G26" si="24">IF(D26="P",10,IF(D26="F",0,"-"))</f>
        <v>-</v>
      </c>
      <c r="G26" s="39" t="str">
        <f t="shared" si="24"/>
        <v>-</v>
      </c>
      <c r="H26" s="40" t="str">
        <f>IF(Preenchimento!$F$5="Online","Online",IF(Preenchimento!$F$5=1,F26,IF(Preenchimento!$F$5=2,(SUM(F26:G26)/2),"-")))</f>
        <v>-</v>
      </c>
    </row>
    <row r="27" ht="15.75" customHeight="1">
      <c r="A27" s="33">
        <v>25.0</v>
      </c>
      <c r="B27" s="14" t="str">
        <f>IF(Preenchimento!B34="","-",Preenchimento!B34)</f>
        <v>-</v>
      </c>
      <c r="C27" s="14" t="str">
        <f>IF(Preenchimento!D34="","-",Preenchimento!D34)</f>
        <v>-</v>
      </c>
      <c r="D27" s="34"/>
      <c r="E27" s="34"/>
      <c r="F27" s="14" t="str">
        <f t="shared" ref="F27:G27" si="25">IF(D27="P",10,IF(D27="F",0,"-"))</f>
        <v>-</v>
      </c>
      <c r="G27" s="35" t="str">
        <f t="shared" si="25"/>
        <v>-</v>
      </c>
      <c r="H27" s="36" t="str">
        <f>IF(Preenchimento!$F$5="Online","Online",IF(Preenchimento!$F$5=1,F27,IF(Preenchimento!$F$5=2,(SUM(F27:G27)/2),"-")))</f>
        <v>-</v>
      </c>
    </row>
    <row r="28" ht="15.75" customHeight="1">
      <c r="A28" s="33">
        <v>26.0</v>
      </c>
      <c r="B28" s="37" t="str">
        <f>IF(Preenchimento!B35="","-",Preenchimento!B35)</f>
        <v>-</v>
      </c>
      <c r="C28" s="37" t="str">
        <f>IF(Preenchimento!D35="","-",Preenchimento!D35)</f>
        <v>-</v>
      </c>
      <c r="D28" s="38"/>
      <c r="E28" s="38"/>
      <c r="F28" s="37" t="str">
        <f t="shared" ref="F28:G28" si="26">IF(D28="P",10,IF(D28="F",0,"-"))</f>
        <v>-</v>
      </c>
      <c r="G28" s="39" t="str">
        <f t="shared" si="26"/>
        <v>-</v>
      </c>
      <c r="H28" s="40" t="str">
        <f>IF(Preenchimento!$F$5="Online","Online",IF(Preenchimento!$F$5=1,F28,IF(Preenchimento!$F$5=2,(SUM(F28:G28)/2),"-")))</f>
        <v>-</v>
      </c>
    </row>
    <row r="29" ht="15.75" customHeight="1">
      <c r="A29" s="33">
        <v>27.0</v>
      </c>
      <c r="B29" s="14" t="str">
        <f>IF(Preenchimento!B36="","-",Preenchimento!B36)</f>
        <v>-</v>
      </c>
      <c r="C29" s="14" t="str">
        <f>IF(Preenchimento!D36="","-",Preenchimento!D36)</f>
        <v>-</v>
      </c>
      <c r="D29" s="34"/>
      <c r="E29" s="34"/>
      <c r="F29" s="14" t="str">
        <f t="shared" ref="F29:G29" si="27">IF(D29="P",10,IF(D29="F",0,"-"))</f>
        <v>-</v>
      </c>
      <c r="G29" s="35" t="str">
        <f t="shared" si="27"/>
        <v>-</v>
      </c>
      <c r="H29" s="36" t="str">
        <f>IF(Preenchimento!$F$5="Online","Online",IF(Preenchimento!$F$5=1,F29,IF(Preenchimento!$F$5=2,(SUM(F29:G29)/2),"-")))</f>
        <v>-</v>
      </c>
    </row>
    <row r="30" ht="15.75" customHeight="1">
      <c r="A30" s="33">
        <v>28.0</v>
      </c>
      <c r="B30" s="37" t="str">
        <f>IF(Preenchimento!B37="","-",Preenchimento!B37)</f>
        <v>-</v>
      </c>
      <c r="C30" s="37" t="str">
        <f>IF(Preenchimento!D37="","-",Preenchimento!D37)</f>
        <v>-</v>
      </c>
      <c r="D30" s="38"/>
      <c r="E30" s="38"/>
      <c r="F30" s="37" t="str">
        <f t="shared" ref="F30:G30" si="28">IF(D30="P",10,IF(D30="F",0,"-"))</f>
        <v>-</v>
      </c>
      <c r="G30" s="39" t="str">
        <f t="shared" si="28"/>
        <v>-</v>
      </c>
      <c r="H30" s="40" t="str">
        <f>IF(Preenchimento!$F$5="Online","Online",IF(Preenchimento!$F$5=1,F30,IF(Preenchimento!$F$5=2,(SUM(F30:G30)/2),"-")))</f>
        <v>-</v>
      </c>
    </row>
    <row r="31" ht="15.75" customHeight="1">
      <c r="A31" s="33">
        <v>29.0</v>
      </c>
      <c r="B31" s="14" t="str">
        <f>IF(Preenchimento!B38="","-",Preenchimento!B38)</f>
        <v>-</v>
      </c>
      <c r="C31" s="14" t="str">
        <f>IF(Preenchimento!D38="","-",Preenchimento!D38)</f>
        <v>-</v>
      </c>
      <c r="D31" s="34"/>
      <c r="E31" s="34"/>
      <c r="F31" s="14" t="str">
        <f t="shared" ref="F31:G31" si="29">IF(D31="P",10,IF(D31="F",0,"-"))</f>
        <v>-</v>
      </c>
      <c r="G31" s="35" t="str">
        <f t="shared" si="29"/>
        <v>-</v>
      </c>
      <c r="H31" s="36" t="str">
        <f>IF(Preenchimento!$F$5="Online","Online",IF(Preenchimento!$F$5=1,F31,IF(Preenchimento!$F$5=2,(SUM(F31:G31)/2),"-")))</f>
        <v>-</v>
      </c>
    </row>
    <row r="32" ht="15.75" customHeight="1">
      <c r="A32" s="33">
        <v>30.0</v>
      </c>
      <c r="B32" s="37" t="str">
        <f>IF(Preenchimento!B39="","-",Preenchimento!B39)</f>
        <v>-</v>
      </c>
      <c r="C32" s="37" t="str">
        <f>IF(Preenchimento!D39="","-",Preenchimento!D39)</f>
        <v>-</v>
      </c>
      <c r="D32" s="38"/>
      <c r="E32" s="38"/>
      <c r="F32" s="37" t="str">
        <f t="shared" ref="F32:G32" si="30">IF(D32="P",10,IF(D32="F",0,"-"))</f>
        <v>-</v>
      </c>
      <c r="G32" s="39" t="str">
        <f t="shared" si="30"/>
        <v>-</v>
      </c>
      <c r="H32" s="40" t="str">
        <f>IF(Preenchimento!$F$5="Online","Online",IF(Preenchimento!$F$5=1,F32,IF(Preenchimento!$F$5=2,(SUM(F32:G32)/2),"-")))</f>
        <v>-</v>
      </c>
    </row>
    <row r="33" ht="15.75" customHeight="1">
      <c r="A33" s="33">
        <v>31.0</v>
      </c>
      <c r="B33" s="14" t="str">
        <f>IF(Preenchimento!B40="","-",Preenchimento!B40)</f>
        <v>-</v>
      </c>
      <c r="C33" s="14" t="str">
        <f>IF(Preenchimento!D40="","-",Preenchimento!D40)</f>
        <v>-</v>
      </c>
      <c r="D33" s="34"/>
      <c r="E33" s="34"/>
      <c r="F33" s="14" t="str">
        <f t="shared" ref="F33:G33" si="31">IF(D33="P",10,IF(D33="F",0,"-"))</f>
        <v>-</v>
      </c>
      <c r="G33" s="35" t="str">
        <f t="shared" si="31"/>
        <v>-</v>
      </c>
      <c r="H33" s="36" t="str">
        <f>IF(Preenchimento!$F$5="Online","Online",IF(Preenchimento!$F$5=1,F33,IF(Preenchimento!$F$5=2,(SUM(F33:G33)/2),"-")))</f>
        <v>-</v>
      </c>
    </row>
    <row r="34" ht="15.75" customHeight="1">
      <c r="A34" s="33">
        <v>32.0</v>
      </c>
      <c r="B34" s="37" t="str">
        <f>IF(Preenchimento!B41="","-",Preenchimento!B41)</f>
        <v>-</v>
      </c>
      <c r="C34" s="37" t="str">
        <f>IF(Preenchimento!D41="","-",Preenchimento!D41)</f>
        <v>-</v>
      </c>
      <c r="D34" s="38"/>
      <c r="E34" s="38"/>
      <c r="F34" s="37" t="str">
        <f t="shared" ref="F34:G34" si="32">IF(D34="P",10,IF(D34="F",0,"-"))</f>
        <v>-</v>
      </c>
      <c r="G34" s="39" t="str">
        <f t="shared" si="32"/>
        <v>-</v>
      </c>
      <c r="H34" s="40" t="str">
        <f>IF(Preenchimento!$F$5="Online","Online",IF(Preenchimento!$F$5=1,F34,IF(Preenchimento!$F$5=2,(SUM(F34:G34)/2),"-")))</f>
        <v>-</v>
      </c>
    </row>
    <row r="35" ht="15.75" customHeight="1">
      <c r="A35" s="33">
        <v>33.0</v>
      </c>
      <c r="B35" s="14" t="str">
        <f>IF(Preenchimento!B42="","-",Preenchimento!B42)</f>
        <v>-</v>
      </c>
      <c r="C35" s="14" t="str">
        <f>IF(Preenchimento!D42="","-",Preenchimento!D42)</f>
        <v>-</v>
      </c>
      <c r="D35" s="34"/>
      <c r="E35" s="34"/>
      <c r="F35" s="14" t="str">
        <f t="shared" ref="F35:G35" si="33">IF(D35="P",10,IF(D35="F",0,"-"))</f>
        <v>-</v>
      </c>
      <c r="G35" s="35" t="str">
        <f t="shared" si="33"/>
        <v>-</v>
      </c>
      <c r="H35" s="36" t="str">
        <f>IF(Preenchimento!$F$5="Online","Online",IF(Preenchimento!$F$5=1,F35,IF(Preenchimento!$F$5=2,(SUM(F35:G35)/2),"-")))</f>
        <v>-</v>
      </c>
    </row>
    <row r="36" ht="15.75" customHeight="1">
      <c r="A36" s="33">
        <v>34.0</v>
      </c>
      <c r="B36" s="37" t="str">
        <f>IF(Preenchimento!B43="","-",Preenchimento!B43)</f>
        <v>-</v>
      </c>
      <c r="C36" s="37" t="str">
        <f>IF(Preenchimento!D43="","-",Preenchimento!D43)</f>
        <v>-</v>
      </c>
      <c r="D36" s="38"/>
      <c r="E36" s="38"/>
      <c r="F36" s="37" t="str">
        <f t="shared" ref="F36:G36" si="34">IF(D36="P",10,IF(D36="F",0,"-"))</f>
        <v>-</v>
      </c>
      <c r="G36" s="39" t="str">
        <f t="shared" si="34"/>
        <v>-</v>
      </c>
      <c r="H36" s="40" t="str">
        <f>IF(Preenchimento!$F$5="Online","Online",IF(Preenchimento!$F$5=1,F36,IF(Preenchimento!$F$5=2,(SUM(F36:G36)/2),"-")))</f>
        <v>-</v>
      </c>
    </row>
    <row r="37" ht="15.75" customHeight="1">
      <c r="A37" s="33">
        <v>35.0</v>
      </c>
      <c r="B37" s="14" t="str">
        <f>IF(Preenchimento!B44="","-",Preenchimento!B44)</f>
        <v>-</v>
      </c>
      <c r="C37" s="14" t="str">
        <f>IF(Preenchimento!D44="","-",Preenchimento!D44)</f>
        <v>-</v>
      </c>
      <c r="D37" s="34"/>
      <c r="E37" s="34"/>
      <c r="F37" s="14" t="str">
        <f t="shared" ref="F37:G37" si="35">IF(D37="P",10,IF(D37="F",0,"-"))</f>
        <v>-</v>
      </c>
      <c r="G37" s="35" t="str">
        <f t="shared" si="35"/>
        <v>-</v>
      </c>
      <c r="H37" s="36" t="str">
        <f>IF(Preenchimento!$F$5="Online","Online",IF(Preenchimento!$F$5=1,F37,IF(Preenchimento!$F$5=2,(SUM(F37:G37)/2),"-")))</f>
        <v>-</v>
      </c>
    </row>
    <row r="38" ht="15.75" customHeight="1">
      <c r="A38" s="33">
        <v>36.0</v>
      </c>
      <c r="B38" s="37" t="str">
        <f>IF(Preenchimento!B45="","-",Preenchimento!B45)</f>
        <v>-</v>
      </c>
      <c r="C38" s="37" t="str">
        <f>IF(Preenchimento!D45="","-",Preenchimento!D45)</f>
        <v>-</v>
      </c>
      <c r="D38" s="38"/>
      <c r="E38" s="38"/>
      <c r="F38" s="37" t="str">
        <f t="shared" ref="F38:G38" si="36">IF(D38="P",10,IF(D38="F",0,"-"))</f>
        <v>-</v>
      </c>
      <c r="G38" s="39" t="str">
        <f t="shared" si="36"/>
        <v>-</v>
      </c>
      <c r="H38" s="40" t="str">
        <f>IF(Preenchimento!$F$5="Online","Online",IF(Preenchimento!$F$5=1,F38,IF(Preenchimento!$F$5=2,(SUM(F38:G38)/2),"-")))</f>
        <v>-</v>
      </c>
    </row>
    <row r="39" ht="15.75" customHeight="1">
      <c r="A39" s="33">
        <v>37.0</v>
      </c>
      <c r="B39" s="14" t="str">
        <f>IF(Preenchimento!B46="","-",Preenchimento!B46)</f>
        <v>-</v>
      </c>
      <c r="C39" s="14" t="str">
        <f>IF(Preenchimento!D46="","-",Preenchimento!D46)</f>
        <v>-</v>
      </c>
      <c r="D39" s="34"/>
      <c r="E39" s="34"/>
      <c r="F39" s="14" t="str">
        <f t="shared" ref="F39:G39" si="37">IF(D39="P",10,IF(D39="F",0,"-"))</f>
        <v>-</v>
      </c>
      <c r="G39" s="35" t="str">
        <f t="shared" si="37"/>
        <v>-</v>
      </c>
      <c r="H39" s="36" t="str">
        <f>IF(Preenchimento!$F$5="Online","Online",IF(Preenchimento!$F$5=1,F39,IF(Preenchimento!$F$5=2,(SUM(F39:G39)/2),"-")))</f>
        <v>-</v>
      </c>
    </row>
    <row r="40" ht="15.75" customHeight="1">
      <c r="A40" s="33">
        <v>38.0</v>
      </c>
      <c r="B40" s="37" t="str">
        <f>IF(Preenchimento!B47="","-",Preenchimento!B47)</f>
        <v>-</v>
      </c>
      <c r="C40" s="37" t="str">
        <f>IF(Preenchimento!D47="","-",Preenchimento!D47)</f>
        <v>-</v>
      </c>
      <c r="D40" s="38"/>
      <c r="E40" s="38"/>
      <c r="F40" s="37" t="str">
        <f t="shared" ref="F40:G40" si="38">IF(D40="P",10,IF(D40="F",0,"-"))</f>
        <v>-</v>
      </c>
      <c r="G40" s="39" t="str">
        <f t="shared" si="38"/>
        <v>-</v>
      </c>
      <c r="H40" s="40" t="str">
        <f>IF(Preenchimento!$F$5="Online","Online",IF(Preenchimento!$F$5=1,F40,IF(Preenchimento!$F$5=2,(SUM(F40:G40)/2),"-")))</f>
        <v>-</v>
      </c>
    </row>
    <row r="41" ht="15.75" customHeight="1">
      <c r="A41" s="33">
        <v>39.0</v>
      </c>
      <c r="B41" s="14" t="str">
        <f>IF(Preenchimento!B48="","-",Preenchimento!B48)</f>
        <v>-</v>
      </c>
      <c r="C41" s="14" t="str">
        <f>IF(Preenchimento!D48="","-",Preenchimento!D48)</f>
        <v>-</v>
      </c>
      <c r="D41" s="34"/>
      <c r="E41" s="34"/>
      <c r="F41" s="14" t="str">
        <f t="shared" ref="F41:G41" si="39">IF(D41="P",10,IF(D41="F",0,"-"))</f>
        <v>-</v>
      </c>
      <c r="G41" s="35" t="str">
        <f t="shared" si="39"/>
        <v>-</v>
      </c>
      <c r="H41" s="36" t="str">
        <f>IF(Preenchimento!$F$5="Online","Online",IF(Preenchimento!$F$5=1,F41,IF(Preenchimento!$F$5=2,(SUM(F41:G41)/2),"-")))</f>
        <v>-</v>
      </c>
    </row>
    <row r="42" ht="15.75" customHeight="1">
      <c r="A42" s="33">
        <v>40.0</v>
      </c>
      <c r="B42" s="37" t="str">
        <f>IF(Preenchimento!B49="","-",Preenchimento!B49)</f>
        <v>-</v>
      </c>
      <c r="C42" s="37" t="str">
        <f>IF(Preenchimento!D49="","-",Preenchimento!D49)</f>
        <v>-</v>
      </c>
      <c r="D42" s="38"/>
      <c r="E42" s="38"/>
      <c r="F42" s="37" t="str">
        <f t="shared" ref="F42:G42" si="40">IF(D42="P",10,IF(D42="F",0,"-"))</f>
        <v>-</v>
      </c>
      <c r="G42" s="39" t="str">
        <f t="shared" si="40"/>
        <v>-</v>
      </c>
      <c r="H42" s="40" t="str">
        <f>IF(Preenchimento!$F$5="Online","Online",IF(Preenchimento!$F$5=1,F42,IF(Preenchimento!$F$5=2,(SUM(F42:G42)/2),"-")))</f>
        <v>-</v>
      </c>
    </row>
    <row r="43" ht="15.75" customHeight="1">
      <c r="A43" s="33">
        <v>41.0</v>
      </c>
      <c r="B43" s="14" t="str">
        <f>IF(Preenchimento!B50="","-",Preenchimento!B50)</f>
        <v>-</v>
      </c>
      <c r="C43" s="14" t="str">
        <f>IF(Preenchimento!D50="","-",Preenchimento!D50)</f>
        <v>-</v>
      </c>
      <c r="D43" s="34"/>
      <c r="E43" s="34"/>
      <c r="F43" s="14" t="str">
        <f t="shared" ref="F43:G43" si="41">IF(D43="P",10,IF(D43="F",0,"-"))</f>
        <v>-</v>
      </c>
      <c r="G43" s="35" t="str">
        <f t="shared" si="41"/>
        <v>-</v>
      </c>
      <c r="H43" s="36" t="str">
        <f>IF(Preenchimento!$F$5="Online","Online",IF(Preenchimento!$F$5=1,F43,IF(Preenchimento!$F$5=2,(SUM(F43:G43)/2),"-")))</f>
        <v>-</v>
      </c>
    </row>
    <row r="44" ht="15.75" customHeight="1">
      <c r="A44" s="33">
        <v>42.0</v>
      </c>
      <c r="B44" s="37" t="str">
        <f>IF(Preenchimento!B51="","-",Preenchimento!B51)</f>
        <v>-</v>
      </c>
      <c r="C44" s="37" t="str">
        <f>IF(Preenchimento!D51="","-",Preenchimento!D51)</f>
        <v>-</v>
      </c>
      <c r="D44" s="38"/>
      <c r="E44" s="38"/>
      <c r="F44" s="37" t="str">
        <f t="shared" ref="F44:G44" si="42">IF(D44="P",10,IF(D44="F",0,"-"))</f>
        <v>-</v>
      </c>
      <c r="G44" s="39" t="str">
        <f t="shared" si="42"/>
        <v>-</v>
      </c>
      <c r="H44" s="40" t="str">
        <f>IF(Preenchimento!$F$5="Online","Online",IF(Preenchimento!$F$5=1,F44,IF(Preenchimento!$F$5=2,(SUM(F44:G44)/2),"-")))</f>
        <v>-</v>
      </c>
    </row>
    <row r="45" ht="15.75" customHeight="1">
      <c r="A45" s="33">
        <v>43.0</v>
      </c>
      <c r="B45" s="14" t="str">
        <f>IF(Preenchimento!B52="","-",Preenchimento!B52)</f>
        <v>-</v>
      </c>
      <c r="C45" s="14" t="str">
        <f>IF(Preenchimento!D52="","-",Preenchimento!D52)</f>
        <v>-</v>
      </c>
      <c r="D45" s="34"/>
      <c r="E45" s="34"/>
      <c r="F45" s="14" t="str">
        <f t="shared" ref="F45:G45" si="43">IF(D45="P",10,IF(D45="F",0,"-"))</f>
        <v>-</v>
      </c>
      <c r="G45" s="35" t="str">
        <f t="shared" si="43"/>
        <v>-</v>
      </c>
      <c r="H45" s="36" t="str">
        <f>IF(Preenchimento!$F$5="Online","Online",IF(Preenchimento!$F$5=1,F45,IF(Preenchimento!$F$5=2,(SUM(F45:G45)/2),"-")))</f>
        <v>-</v>
      </c>
    </row>
    <row r="46" ht="15.75" customHeight="1">
      <c r="A46" s="33">
        <v>44.0</v>
      </c>
      <c r="B46" s="37" t="str">
        <f>IF(Preenchimento!B53="","-",Preenchimento!B53)</f>
        <v>-</v>
      </c>
      <c r="C46" s="37" t="str">
        <f>IF(Preenchimento!D53="","-",Preenchimento!D53)</f>
        <v>-</v>
      </c>
      <c r="D46" s="38"/>
      <c r="E46" s="38"/>
      <c r="F46" s="37" t="str">
        <f t="shared" ref="F46:G46" si="44">IF(D46="P",10,IF(D46="F",0,"-"))</f>
        <v>-</v>
      </c>
      <c r="G46" s="39" t="str">
        <f t="shared" si="44"/>
        <v>-</v>
      </c>
      <c r="H46" s="40" t="str">
        <f>IF(Preenchimento!$F$5="Online","Online",IF(Preenchimento!$F$5=1,F46,IF(Preenchimento!$F$5=2,(SUM(F46:G46)/2),"-")))</f>
        <v>-</v>
      </c>
    </row>
    <row r="47" ht="15.75" customHeight="1">
      <c r="A47" s="33">
        <v>45.0</v>
      </c>
      <c r="B47" s="14" t="str">
        <f>IF(Preenchimento!B54="","-",Preenchimento!B54)</f>
        <v>-</v>
      </c>
      <c r="C47" s="14" t="str">
        <f>IF(Preenchimento!D54="","-",Preenchimento!D54)</f>
        <v>-</v>
      </c>
      <c r="D47" s="34"/>
      <c r="E47" s="34"/>
      <c r="F47" s="14" t="str">
        <f t="shared" ref="F47:G47" si="45">IF(D47="P",10,IF(D47="F",0,"-"))</f>
        <v>-</v>
      </c>
      <c r="G47" s="35" t="str">
        <f t="shared" si="45"/>
        <v>-</v>
      </c>
      <c r="H47" s="36" t="str">
        <f>IF(Preenchimento!$F$5="Online","Online",IF(Preenchimento!$F$5=1,F47,IF(Preenchimento!$F$5=2,(SUM(F47:G47)/2),"-")))</f>
        <v>-</v>
      </c>
    </row>
    <row r="48" ht="15.75" customHeight="1">
      <c r="A48" s="33">
        <v>46.0</v>
      </c>
      <c r="B48" s="37" t="str">
        <f>IF(Preenchimento!B55="","-",Preenchimento!B55)</f>
        <v>-</v>
      </c>
      <c r="C48" s="37" t="str">
        <f>IF(Preenchimento!D55="","-",Preenchimento!D55)</f>
        <v>-</v>
      </c>
      <c r="D48" s="38"/>
      <c r="E48" s="38"/>
      <c r="F48" s="37" t="str">
        <f t="shared" ref="F48:G48" si="46">IF(D48="P",10,IF(D48="F",0,"-"))</f>
        <v>-</v>
      </c>
      <c r="G48" s="39" t="str">
        <f t="shared" si="46"/>
        <v>-</v>
      </c>
      <c r="H48" s="40" t="str">
        <f>IF(Preenchimento!$F$5="Online","Online",IF(Preenchimento!$F$5=1,F48,IF(Preenchimento!$F$5=2,(SUM(F48:G48)/2),"-")))</f>
        <v>-</v>
      </c>
    </row>
    <row r="49" ht="15.75" customHeight="1">
      <c r="A49" s="33">
        <v>47.0</v>
      </c>
      <c r="B49" s="14" t="str">
        <f>IF(Preenchimento!B56="","-",Preenchimento!B56)</f>
        <v>-</v>
      </c>
      <c r="C49" s="14" t="str">
        <f>IF(Preenchimento!D56="","-",Preenchimento!D56)</f>
        <v>-</v>
      </c>
      <c r="D49" s="34"/>
      <c r="E49" s="34"/>
      <c r="F49" s="14" t="str">
        <f t="shared" ref="F49:G49" si="47">IF(D49="P",10,IF(D49="F",0,"-"))</f>
        <v>-</v>
      </c>
      <c r="G49" s="35" t="str">
        <f t="shared" si="47"/>
        <v>-</v>
      </c>
      <c r="H49" s="36" t="str">
        <f>IF(Preenchimento!$F$5="Online","Online",IF(Preenchimento!$F$5=1,F49,IF(Preenchimento!$F$5=2,(SUM(F49:G49)/2),"-")))</f>
        <v>-</v>
      </c>
    </row>
    <row r="50" ht="15.75" customHeight="1">
      <c r="A50" s="33">
        <v>48.0</v>
      </c>
      <c r="B50" s="37" t="str">
        <f>IF(Preenchimento!B57="","-",Preenchimento!B57)</f>
        <v>-</v>
      </c>
      <c r="C50" s="37" t="str">
        <f>IF(Preenchimento!D57="","-",Preenchimento!D57)</f>
        <v>-</v>
      </c>
      <c r="D50" s="38"/>
      <c r="E50" s="38"/>
      <c r="F50" s="37" t="str">
        <f t="shared" ref="F50:G50" si="48">IF(D50="P",10,IF(D50="F",0,"-"))</f>
        <v>-</v>
      </c>
      <c r="G50" s="39" t="str">
        <f t="shared" si="48"/>
        <v>-</v>
      </c>
      <c r="H50" s="40" t="str">
        <f>IF(Preenchimento!$F$5="Online","Online",IF(Preenchimento!$F$5=1,F50,IF(Preenchimento!$F$5=2,(SUM(F50:G50)/2),"-")))</f>
        <v>-</v>
      </c>
    </row>
    <row r="51" ht="15.75" customHeight="1">
      <c r="A51" s="33">
        <v>49.0</v>
      </c>
      <c r="B51" s="41" t="str">
        <f>IF(Preenchimento!B58="","-",Preenchimento!B58)</f>
        <v>-</v>
      </c>
      <c r="C51" s="41" t="str">
        <f>IF(Preenchimento!D58="","-",Preenchimento!D58)</f>
        <v>-</v>
      </c>
      <c r="D51" s="42"/>
      <c r="E51" s="42"/>
      <c r="F51" s="14" t="str">
        <f t="shared" ref="F51:G51" si="49">IF(D51="P",10,IF(D51="F",0,"-"))</f>
        <v>-</v>
      </c>
      <c r="G51" s="35" t="str">
        <f t="shared" si="49"/>
        <v>-</v>
      </c>
      <c r="H51" s="36" t="str">
        <f>IF(Preenchimento!$F$5="Online","Online",IF(Preenchimento!$F$5=1,F51,IF(Preenchimento!$F$5=2,(SUM(F51:G51)/2),"-")))</f>
        <v>-</v>
      </c>
    </row>
    <row r="52" ht="15.75" customHeight="1">
      <c r="A52" s="43">
        <v>50.0</v>
      </c>
      <c r="B52" s="44" t="str">
        <f>IF(Preenchimento!B59="","-",Preenchimento!B59)</f>
        <v>-</v>
      </c>
      <c r="C52" s="44" t="str">
        <f>IF(Preenchimento!D59="","-",Preenchimento!D59)</f>
        <v>-</v>
      </c>
      <c r="D52" s="45"/>
      <c r="E52" s="40"/>
      <c r="F52" s="46" t="str">
        <f t="shared" ref="F52:G52" si="50">IF(D52="P",10,IF(D52="F",0,"-"))</f>
        <v>-</v>
      </c>
      <c r="G52" s="47" t="str">
        <f t="shared" si="50"/>
        <v>-</v>
      </c>
      <c r="H52" s="40" t="str">
        <f>IF(Preenchimento!$F$5="Online","Online",IF(Preenchimento!$F$5=1,F52,IF(Preenchimento!$F$5=2,(SUM(F52:G52)/2),"-")))</f>
        <v>-</v>
      </c>
    </row>
    <row r="53" ht="15.75" customHeight="1">
      <c r="A53" s="33">
        <v>51.0</v>
      </c>
      <c r="B53" s="48" t="str">
        <f>IF(Preenchimento!B60="","-",Preenchimento!B60)</f>
        <v>-</v>
      </c>
      <c r="C53" s="48" t="str">
        <f>IF(Preenchimento!D60="","-",Preenchimento!D60)</f>
        <v>-</v>
      </c>
      <c r="D53" s="49"/>
      <c r="E53" s="49"/>
      <c r="F53" s="14" t="str">
        <f t="shared" ref="F53:G53" si="51">IF(D53="P",10,IF(D53="F",0,"-"))</f>
        <v>-</v>
      </c>
      <c r="G53" s="35" t="str">
        <f t="shared" si="51"/>
        <v>-</v>
      </c>
      <c r="H53" s="36" t="str">
        <f>IF(Preenchimento!$F$5="Online","Online",IF(Preenchimento!$F$5=1,F53,IF(Preenchimento!$F$5=2,(SUM(F53:G53)/2),"-")))</f>
        <v>-</v>
      </c>
    </row>
    <row r="54" ht="15.75" customHeight="1">
      <c r="A54" s="33">
        <v>52.0</v>
      </c>
      <c r="B54" s="37" t="str">
        <f>IF(Preenchimento!B61="","-",Preenchimento!B61)</f>
        <v>-</v>
      </c>
      <c r="C54" s="37" t="str">
        <f>IF(Preenchimento!D61="","-",Preenchimento!D61)</f>
        <v>-</v>
      </c>
      <c r="D54" s="38"/>
      <c r="E54" s="38"/>
      <c r="F54" s="37" t="str">
        <f t="shared" ref="F54:G54" si="52">IF(D54="P",10,IF(D54="F",0,"-"))</f>
        <v>-</v>
      </c>
      <c r="G54" s="39" t="str">
        <f t="shared" si="52"/>
        <v>-</v>
      </c>
      <c r="H54" s="40" t="str">
        <f>IF(Preenchimento!$F$5="Online","Online",IF(Preenchimento!$F$5=1,F54,IF(Preenchimento!$F$5=2,(SUM(F54:G54)/2),"-")))</f>
        <v>-</v>
      </c>
    </row>
    <row r="55" ht="15.75" customHeight="1">
      <c r="A55" s="33">
        <v>53.0</v>
      </c>
      <c r="B55" s="14" t="str">
        <f>IF(Preenchimento!B62="","-",Preenchimento!B62)</f>
        <v>-</v>
      </c>
      <c r="C55" s="14" t="str">
        <f>IF(Preenchimento!D62="","-",Preenchimento!D62)</f>
        <v>-</v>
      </c>
      <c r="D55" s="34"/>
      <c r="E55" s="34"/>
      <c r="F55" s="14" t="str">
        <f t="shared" ref="F55:G55" si="53">IF(D55="P",10,IF(D55="F",0,"-"))</f>
        <v>-</v>
      </c>
      <c r="G55" s="35" t="str">
        <f t="shared" si="53"/>
        <v>-</v>
      </c>
      <c r="H55" s="36" t="str">
        <f>IF(Preenchimento!$F$5="Online","Online",IF(Preenchimento!$F$5=1,F55,IF(Preenchimento!$F$5=2,(SUM(F55:G55)/2),"-")))</f>
        <v>-</v>
      </c>
    </row>
    <row r="56" ht="15.75" customHeight="1">
      <c r="A56" s="33">
        <v>54.0</v>
      </c>
      <c r="B56" s="37" t="str">
        <f>IF(Preenchimento!B63="","-",Preenchimento!B63)</f>
        <v>-</v>
      </c>
      <c r="C56" s="37" t="str">
        <f>IF(Preenchimento!D63="","-",Preenchimento!D63)</f>
        <v>-</v>
      </c>
      <c r="D56" s="38"/>
      <c r="E56" s="38"/>
      <c r="F56" s="37" t="str">
        <f t="shared" ref="F56:G56" si="54">IF(D56="P",10,IF(D56="F",0,"-"))</f>
        <v>-</v>
      </c>
      <c r="G56" s="39" t="str">
        <f t="shared" si="54"/>
        <v>-</v>
      </c>
      <c r="H56" s="40" t="str">
        <f>IF(Preenchimento!$F$5="Online","Online",IF(Preenchimento!$F$5=1,F56,IF(Preenchimento!$F$5=2,(SUM(F56:G56)/2),"-")))</f>
        <v>-</v>
      </c>
    </row>
    <row r="57" ht="15.75" customHeight="1">
      <c r="A57" s="33">
        <v>55.0</v>
      </c>
      <c r="B57" s="14" t="str">
        <f>IF(Preenchimento!B64="","-",Preenchimento!B64)</f>
        <v>-</v>
      </c>
      <c r="C57" s="14" t="str">
        <f>IF(Preenchimento!D64="","-",Preenchimento!D64)</f>
        <v>-</v>
      </c>
      <c r="D57" s="34"/>
      <c r="E57" s="34"/>
      <c r="F57" s="14" t="str">
        <f t="shared" ref="F57:G57" si="55">IF(D57="P",10,IF(D57="F",0,"-"))</f>
        <v>-</v>
      </c>
      <c r="G57" s="35" t="str">
        <f t="shared" si="55"/>
        <v>-</v>
      </c>
      <c r="H57" s="36" t="str">
        <f>IF(Preenchimento!$F$5="Online","Online",IF(Preenchimento!$F$5=1,F57,IF(Preenchimento!$F$5=2,(SUM(F57:G57)/2),"-")))</f>
        <v>-</v>
      </c>
    </row>
    <row r="58" ht="15.75" customHeight="1">
      <c r="A58" s="33">
        <v>56.0</v>
      </c>
      <c r="B58" s="37" t="str">
        <f>IF(Preenchimento!B65="","-",Preenchimento!B65)</f>
        <v>-</v>
      </c>
      <c r="C58" s="37" t="str">
        <f>IF(Preenchimento!D65="","-",Preenchimento!D65)</f>
        <v>-</v>
      </c>
      <c r="D58" s="38"/>
      <c r="E58" s="38"/>
      <c r="F58" s="37" t="str">
        <f t="shared" ref="F58:G58" si="56">IF(D58="P",10,IF(D58="F",0,"-"))</f>
        <v>-</v>
      </c>
      <c r="G58" s="39" t="str">
        <f t="shared" si="56"/>
        <v>-</v>
      </c>
      <c r="H58" s="40" t="str">
        <f>IF(Preenchimento!$F$5="Online","Online",IF(Preenchimento!$F$5=1,F58,IF(Preenchimento!$F$5=2,(SUM(F58:G58)/2),"-")))</f>
        <v>-</v>
      </c>
    </row>
    <row r="59" ht="15.75" customHeight="1">
      <c r="A59" s="33">
        <v>57.0</v>
      </c>
      <c r="B59" s="14" t="str">
        <f>IF(Preenchimento!B66="","-",Preenchimento!B66)</f>
        <v>-</v>
      </c>
      <c r="C59" s="14" t="str">
        <f>IF(Preenchimento!D66="","-",Preenchimento!D66)</f>
        <v>-</v>
      </c>
      <c r="D59" s="34"/>
      <c r="E59" s="34"/>
      <c r="F59" s="14" t="str">
        <f t="shared" ref="F59:G59" si="57">IF(D59="P",10,IF(D59="F",0,"-"))</f>
        <v>-</v>
      </c>
      <c r="G59" s="35" t="str">
        <f t="shared" si="57"/>
        <v>-</v>
      </c>
      <c r="H59" s="36" t="str">
        <f>IF(Preenchimento!$F$5="Online","Online",IF(Preenchimento!$F$5=1,F59,IF(Preenchimento!$F$5=2,(SUM(F59:G59)/2),"-")))</f>
        <v>-</v>
      </c>
    </row>
    <row r="60" ht="15.75" customHeight="1">
      <c r="A60" s="33">
        <v>58.0</v>
      </c>
      <c r="B60" s="37" t="str">
        <f>IF(Preenchimento!B67="","-",Preenchimento!B67)</f>
        <v>-</v>
      </c>
      <c r="C60" s="37" t="str">
        <f>IF(Preenchimento!D67="","-",Preenchimento!D67)</f>
        <v>-</v>
      </c>
      <c r="D60" s="38"/>
      <c r="E60" s="38"/>
      <c r="F60" s="37" t="str">
        <f t="shared" ref="F60:G60" si="58">IF(D60="P",10,IF(D60="F",0,"-"))</f>
        <v>-</v>
      </c>
      <c r="G60" s="39" t="str">
        <f t="shared" si="58"/>
        <v>-</v>
      </c>
      <c r="H60" s="40" t="str">
        <f>IF(Preenchimento!$F$5="Online","Online",IF(Preenchimento!$F$5=1,F60,IF(Preenchimento!$F$5=2,(SUM(F60:G60)/2),"-")))</f>
        <v>-</v>
      </c>
    </row>
    <row r="61" ht="15.75" customHeight="1">
      <c r="A61" s="33">
        <v>59.0</v>
      </c>
      <c r="B61" s="14" t="str">
        <f>IF(Preenchimento!B68="","-",Preenchimento!B68)</f>
        <v>-</v>
      </c>
      <c r="C61" s="14" t="str">
        <f>IF(Preenchimento!D68="","-",Preenchimento!D68)</f>
        <v>-</v>
      </c>
      <c r="D61" s="34"/>
      <c r="E61" s="34"/>
      <c r="F61" s="14" t="str">
        <f t="shared" ref="F61:G61" si="59">IF(D61="P",10,IF(D61="F",0,"-"))</f>
        <v>-</v>
      </c>
      <c r="G61" s="35" t="str">
        <f t="shared" si="59"/>
        <v>-</v>
      </c>
      <c r="H61" s="36" t="str">
        <f>IF(Preenchimento!$F$5="Online","Online",IF(Preenchimento!$F$5=1,F61,IF(Preenchimento!$F$5=2,(SUM(F61:G61)/2),"-")))</f>
        <v>-</v>
      </c>
    </row>
    <row r="62" ht="15.75" customHeight="1">
      <c r="A62" s="33">
        <v>60.0</v>
      </c>
      <c r="B62" s="37" t="str">
        <f>IF(Preenchimento!B69="","-",Preenchimento!B69)</f>
        <v>-</v>
      </c>
      <c r="C62" s="37" t="str">
        <f>IF(Preenchimento!D69="","-",Preenchimento!D69)</f>
        <v>-</v>
      </c>
      <c r="D62" s="38"/>
      <c r="E62" s="38"/>
      <c r="F62" s="37" t="str">
        <f t="shared" ref="F62:G62" si="60">IF(D62="P",10,IF(D62="F",0,"-"))</f>
        <v>-</v>
      </c>
      <c r="G62" s="39" t="str">
        <f t="shared" si="60"/>
        <v>-</v>
      </c>
      <c r="H62" s="40" t="str">
        <f>IF(Preenchimento!$F$5="Online","Online",IF(Preenchimento!$F$5=1,F62,IF(Preenchimento!$F$5=2,(SUM(F62:G62)/2),"-")))</f>
        <v>-</v>
      </c>
    </row>
    <row r="63" ht="15.75" customHeight="1">
      <c r="A63" s="33">
        <v>61.0</v>
      </c>
      <c r="B63" s="14" t="str">
        <f>IF(Preenchimento!B70="","-",Preenchimento!B70)</f>
        <v>-</v>
      </c>
      <c r="C63" s="14" t="str">
        <f>IF(Preenchimento!D70="","-",Preenchimento!D70)</f>
        <v>-</v>
      </c>
      <c r="D63" s="34"/>
      <c r="E63" s="34"/>
      <c r="F63" s="14" t="str">
        <f t="shared" ref="F63:G63" si="61">IF(D63="P",10,IF(D63="F",0,"-"))</f>
        <v>-</v>
      </c>
      <c r="G63" s="35" t="str">
        <f t="shared" si="61"/>
        <v>-</v>
      </c>
      <c r="H63" s="36" t="str">
        <f>IF(Preenchimento!$F$5="Online","Online",IF(Preenchimento!$F$5=1,F63,IF(Preenchimento!$F$5=2,(SUM(F63:G63)/2),"-")))</f>
        <v>-</v>
      </c>
    </row>
    <row r="64" ht="15.75" customHeight="1">
      <c r="A64" s="33">
        <v>62.0</v>
      </c>
      <c r="B64" s="37" t="str">
        <f>IF(Preenchimento!B71="","-",Preenchimento!B71)</f>
        <v>-</v>
      </c>
      <c r="C64" s="37" t="str">
        <f>IF(Preenchimento!D71="","-",Preenchimento!D71)</f>
        <v>-</v>
      </c>
      <c r="D64" s="38"/>
      <c r="E64" s="38"/>
      <c r="F64" s="37" t="str">
        <f t="shared" ref="F64:G64" si="62">IF(D64="P",10,IF(D64="F",0,"-"))</f>
        <v>-</v>
      </c>
      <c r="G64" s="39" t="str">
        <f t="shared" si="62"/>
        <v>-</v>
      </c>
      <c r="H64" s="40" t="str">
        <f>IF(Preenchimento!$F$5="Online","Online",IF(Preenchimento!$F$5=1,F64,IF(Preenchimento!$F$5=2,(SUM(F64:G64)/2),"-")))</f>
        <v>-</v>
      </c>
    </row>
    <row r="65" ht="15.75" customHeight="1">
      <c r="A65" s="33">
        <v>63.0</v>
      </c>
      <c r="B65" s="14" t="str">
        <f>IF(Preenchimento!B72="","-",Preenchimento!B72)</f>
        <v>-</v>
      </c>
      <c r="C65" s="14" t="str">
        <f>IF(Preenchimento!D72="","-",Preenchimento!D72)</f>
        <v>-</v>
      </c>
      <c r="D65" s="34"/>
      <c r="E65" s="34"/>
      <c r="F65" s="14" t="str">
        <f t="shared" ref="F65:G65" si="63">IF(D65="P",10,IF(D65="F",0,"-"))</f>
        <v>-</v>
      </c>
      <c r="G65" s="35" t="str">
        <f t="shared" si="63"/>
        <v>-</v>
      </c>
      <c r="H65" s="36" t="str">
        <f>IF(Preenchimento!$F$5="Online","Online",IF(Preenchimento!$F$5=1,F65,IF(Preenchimento!$F$5=2,(SUM(F65:G65)/2),"-")))</f>
        <v>-</v>
      </c>
    </row>
    <row r="66" ht="15.75" customHeight="1">
      <c r="A66" s="33">
        <v>64.0</v>
      </c>
      <c r="B66" s="37" t="str">
        <f>IF(Preenchimento!B73="","-",Preenchimento!B73)</f>
        <v>-</v>
      </c>
      <c r="C66" s="37" t="str">
        <f>IF(Preenchimento!D73="","-",Preenchimento!D73)</f>
        <v>-</v>
      </c>
      <c r="D66" s="38"/>
      <c r="E66" s="38"/>
      <c r="F66" s="37" t="str">
        <f t="shared" ref="F66:G66" si="64">IF(D66="P",10,IF(D66="F",0,"-"))</f>
        <v>-</v>
      </c>
      <c r="G66" s="39" t="str">
        <f t="shared" si="64"/>
        <v>-</v>
      </c>
      <c r="H66" s="40" t="str">
        <f>IF(Preenchimento!$F$5="Online","Online",IF(Preenchimento!$F$5=1,F66,IF(Preenchimento!$F$5=2,(SUM(F66:G66)/2),"-")))</f>
        <v>-</v>
      </c>
    </row>
    <row r="67" ht="15.75" customHeight="1">
      <c r="A67" s="33">
        <v>65.0</v>
      </c>
      <c r="B67" s="14" t="str">
        <f>IF(Preenchimento!B74="","-",Preenchimento!B74)</f>
        <v>-</v>
      </c>
      <c r="C67" s="14" t="str">
        <f>IF(Preenchimento!D74="","-",Preenchimento!D74)</f>
        <v>-</v>
      </c>
      <c r="D67" s="34"/>
      <c r="E67" s="34"/>
      <c r="F67" s="14" t="str">
        <f t="shared" ref="F67:G67" si="65">IF(D67="P",10,IF(D67="F",0,"-"))</f>
        <v>-</v>
      </c>
      <c r="G67" s="35" t="str">
        <f t="shared" si="65"/>
        <v>-</v>
      </c>
      <c r="H67" s="36" t="str">
        <f>IF(Preenchimento!$F$5="Online","Online",IF(Preenchimento!$F$5=1,F67,IF(Preenchimento!$F$5=2,(SUM(F67:G67)/2),"-")))</f>
        <v>-</v>
      </c>
    </row>
    <row r="68" ht="15.75" customHeight="1">
      <c r="A68" s="33">
        <v>66.0</v>
      </c>
      <c r="B68" s="37" t="str">
        <f>IF(Preenchimento!B75="","-",Preenchimento!B75)</f>
        <v>-</v>
      </c>
      <c r="C68" s="37" t="str">
        <f>IF(Preenchimento!D75="","-",Preenchimento!D75)</f>
        <v>-</v>
      </c>
      <c r="D68" s="38"/>
      <c r="E68" s="38"/>
      <c r="F68" s="37" t="str">
        <f t="shared" ref="F68:G68" si="66">IF(D68="P",10,IF(D68="F",0,"-"))</f>
        <v>-</v>
      </c>
      <c r="G68" s="39" t="str">
        <f t="shared" si="66"/>
        <v>-</v>
      </c>
      <c r="H68" s="40" t="str">
        <f>IF(Preenchimento!$F$5="Online","Online",IF(Preenchimento!$F$5=1,F68,IF(Preenchimento!$F$5=2,(SUM(F68:G68)/2),"-")))</f>
        <v>-</v>
      </c>
    </row>
    <row r="69" ht="15.75" customHeight="1">
      <c r="A69" s="33">
        <v>67.0</v>
      </c>
      <c r="B69" s="14" t="str">
        <f>IF(Preenchimento!B76="","-",Preenchimento!B76)</f>
        <v>-</v>
      </c>
      <c r="C69" s="14" t="str">
        <f>IF(Preenchimento!D76="","-",Preenchimento!D76)</f>
        <v>-</v>
      </c>
      <c r="D69" s="34"/>
      <c r="E69" s="34"/>
      <c r="F69" s="14" t="str">
        <f t="shared" ref="F69:G69" si="67">IF(D69="P",10,IF(D69="F",0,"-"))</f>
        <v>-</v>
      </c>
      <c r="G69" s="35" t="str">
        <f t="shared" si="67"/>
        <v>-</v>
      </c>
      <c r="H69" s="36" t="str">
        <f>IF(Preenchimento!$F$5="Online","Online",IF(Preenchimento!$F$5=1,F69,IF(Preenchimento!$F$5=2,(SUM(F69:G69)/2),"-")))</f>
        <v>-</v>
      </c>
    </row>
    <row r="70" ht="15.75" customHeight="1">
      <c r="A70" s="33">
        <v>68.0</v>
      </c>
      <c r="B70" s="37" t="str">
        <f>IF(Preenchimento!B77="","-",Preenchimento!B77)</f>
        <v>-</v>
      </c>
      <c r="C70" s="37" t="str">
        <f>IF(Preenchimento!D77="","-",Preenchimento!D77)</f>
        <v>-</v>
      </c>
      <c r="D70" s="38"/>
      <c r="E70" s="38"/>
      <c r="F70" s="37" t="str">
        <f t="shared" ref="F70:G70" si="68">IF(D70="P",10,IF(D70="F",0,"-"))</f>
        <v>-</v>
      </c>
      <c r="G70" s="39" t="str">
        <f t="shared" si="68"/>
        <v>-</v>
      </c>
      <c r="H70" s="40" t="str">
        <f>IF(Preenchimento!$F$5="Online","Online",IF(Preenchimento!$F$5=1,F70,IF(Preenchimento!$F$5=2,(SUM(F70:G70)/2),"-")))</f>
        <v>-</v>
      </c>
    </row>
    <row r="71" ht="15.75" customHeight="1">
      <c r="A71" s="33">
        <v>69.0</v>
      </c>
      <c r="B71" s="14" t="str">
        <f>IF(Preenchimento!B78="","-",Preenchimento!B78)</f>
        <v>-</v>
      </c>
      <c r="C71" s="14" t="str">
        <f>IF(Preenchimento!D78="","-",Preenchimento!D78)</f>
        <v>-</v>
      </c>
      <c r="D71" s="34"/>
      <c r="E71" s="34"/>
      <c r="F71" s="14" t="str">
        <f t="shared" ref="F71:G71" si="69">IF(D71="P",10,IF(D71="F",0,"-"))</f>
        <v>-</v>
      </c>
      <c r="G71" s="35" t="str">
        <f t="shared" si="69"/>
        <v>-</v>
      </c>
      <c r="H71" s="36" t="str">
        <f>IF(Preenchimento!$F$5="Online","Online",IF(Preenchimento!$F$5=1,F71,IF(Preenchimento!$F$5=2,(SUM(F71:G71)/2),"-")))</f>
        <v>-</v>
      </c>
    </row>
    <row r="72" ht="15.75" customHeight="1">
      <c r="A72" s="33">
        <v>70.0</v>
      </c>
      <c r="B72" s="37" t="str">
        <f>IF(Preenchimento!B79="","-",Preenchimento!B79)</f>
        <v>-</v>
      </c>
      <c r="C72" s="37" t="str">
        <f>IF(Preenchimento!D79="","-",Preenchimento!D79)</f>
        <v>-</v>
      </c>
      <c r="D72" s="38"/>
      <c r="E72" s="38"/>
      <c r="F72" s="37" t="str">
        <f t="shared" ref="F72:G72" si="70">IF(D72="P",10,IF(D72="F",0,"-"))</f>
        <v>-</v>
      </c>
      <c r="G72" s="39" t="str">
        <f t="shared" si="70"/>
        <v>-</v>
      </c>
      <c r="H72" s="40" t="str">
        <f>IF(Preenchimento!$F$5="Online","Online",IF(Preenchimento!$F$5=1,F72,IF(Preenchimento!$F$5=2,(SUM(F72:G72)/2),"-")))</f>
        <v>-</v>
      </c>
    </row>
    <row r="73" ht="15.75" customHeight="1">
      <c r="A73" s="33">
        <v>71.0</v>
      </c>
      <c r="B73" s="14" t="str">
        <f>IF(Preenchimento!B80="","-",Preenchimento!B80)</f>
        <v>-</v>
      </c>
      <c r="C73" s="14" t="str">
        <f>IF(Preenchimento!D80="","-",Preenchimento!D80)</f>
        <v>-</v>
      </c>
      <c r="D73" s="34"/>
      <c r="E73" s="34"/>
      <c r="F73" s="14" t="str">
        <f t="shared" ref="F73:G73" si="71">IF(D73="P",10,IF(D73="F",0,"-"))</f>
        <v>-</v>
      </c>
      <c r="G73" s="35" t="str">
        <f t="shared" si="71"/>
        <v>-</v>
      </c>
      <c r="H73" s="36" t="str">
        <f>IF(Preenchimento!$F$5="Online","Online",IF(Preenchimento!$F$5=1,F73,IF(Preenchimento!$F$5=2,(SUM(F73:G73)/2),"-")))</f>
        <v>-</v>
      </c>
    </row>
    <row r="74" ht="15.75" customHeight="1">
      <c r="A74" s="33">
        <v>72.0</v>
      </c>
      <c r="B74" s="37" t="str">
        <f>IF(Preenchimento!B81="","-",Preenchimento!B81)</f>
        <v>-</v>
      </c>
      <c r="C74" s="37" t="str">
        <f>IF(Preenchimento!D81="","-",Preenchimento!D81)</f>
        <v>-</v>
      </c>
      <c r="D74" s="38"/>
      <c r="E74" s="38"/>
      <c r="F74" s="37" t="str">
        <f t="shared" ref="F74:G74" si="72">IF(D74="P",10,IF(D74="F",0,"-"))</f>
        <v>-</v>
      </c>
      <c r="G74" s="39" t="str">
        <f t="shared" si="72"/>
        <v>-</v>
      </c>
      <c r="H74" s="40" t="str">
        <f>IF(Preenchimento!$F$5="Online","Online",IF(Preenchimento!$F$5=1,F74,IF(Preenchimento!$F$5=2,(SUM(F74:G74)/2),"-")))</f>
        <v>-</v>
      </c>
    </row>
    <row r="75" ht="15.75" customHeight="1">
      <c r="A75" s="33">
        <v>73.0</v>
      </c>
      <c r="B75" s="14" t="str">
        <f>IF(Preenchimento!B82="","-",Preenchimento!B82)</f>
        <v>-</v>
      </c>
      <c r="C75" s="14" t="str">
        <f>IF(Preenchimento!D82="","-",Preenchimento!D82)</f>
        <v>-</v>
      </c>
      <c r="D75" s="34"/>
      <c r="E75" s="34"/>
      <c r="F75" s="14" t="str">
        <f t="shared" ref="F75:G75" si="73">IF(D75="P",10,IF(D75="F",0,"-"))</f>
        <v>-</v>
      </c>
      <c r="G75" s="35" t="str">
        <f t="shared" si="73"/>
        <v>-</v>
      </c>
      <c r="H75" s="36" t="str">
        <f>IF(Preenchimento!$F$5="Online","Online",IF(Preenchimento!$F$5=1,F75,IF(Preenchimento!$F$5=2,(SUM(F75:G75)/2),"-")))</f>
        <v>-</v>
      </c>
    </row>
    <row r="76" ht="15.75" customHeight="1">
      <c r="A76" s="33">
        <v>74.0</v>
      </c>
      <c r="B76" s="37" t="str">
        <f>IF(Preenchimento!B83="","-",Preenchimento!B83)</f>
        <v>-</v>
      </c>
      <c r="C76" s="37" t="str">
        <f>IF(Preenchimento!D83="","-",Preenchimento!D83)</f>
        <v>-</v>
      </c>
      <c r="D76" s="38"/>
      <c r="E76" s="38"/>
      <c r="F76" s="37" t="str">
        <f t="shared" ref="F76:G76" si="74">IF(D76="P",10,IF(D76="F",0,"-"))</f>
        <v>-</v>
      </c>
      <c r="G76" s="39" t="str">
        <f t="shared" si="74"/>
        <v>-</v>
      </c>
      <c r="H76" s="40" t="str">
        <f>IF(Preenchimento!$F$5="Online","Online",IF(Preenchimento!$F$5=1,F76,IF(Preenchimento!$F$5=2,(SUM(F76:G76)/2),"-")))</f>
        <v>-</v>
      </c>
    </row>
    <row r="77" ht="15.75" customHeight="1">
      <c r="A77" s="33">
        <v>75.0</v>
      </c>
      <c r="B77" s="14" t="str">
        <f>IF(Preenchimento!B84="","-",Preenchimento!B84)</f>
        <v>-</v>
      </c>
      <c r="C77" s="14" t="str">
        <f>IF(Preenchimento!D84="","-",Preenchimento!D84)</f>
        <v>-</v>
      </c>
      <c r="D77" s="34"/>
      <c r="E77" s="34"/>
      <c r="F77" s="14" t="str">
        <f t="shared" ref="F77:G77" si="75">IF(D77="P",10,IF(D77="F",0,"-"))</f>
        <v>-</v>
      </c>
      <c r="G77" s="35" t="str">
        <f t="shared" si="75"/>
        <v>-</v>
      </c>
      <c r="H77" s="36" t="str">
        <f>IF(Preenchimento!$F$5="Online","Online",IF(Preenchimento!$F$5=1,F77,IF(Preenchimento!$F$5=2,(SUM(F77:G77)/2),"-")))</f>
        <v>-</v>
      </c>
    </row>
    <row r="78" ht="15.75" customHeight="1">
      <c r="A78" s="33">
        <v>81.0</v>
      </c>
      <c r="B78" s="37" t="str">
        <f>IF(Preenchimento!B85="","-",Preenchimento!B85)</f>
        <v>-</v>
      </c>
      <c r="C78" s="37" t="str">
        <f>IF(Preenchimento!D85="","-",Preenchimento!D85)</f>
        <v>-</v>
      </c>
      <c r="D78" s="38"/>
      <c r="E78" s="38"/>
      <c r="F78" s="37" t="str">
        <f t="shared" ref="F78:G78" si="76">IF(D78="P",10,IF(D78="F",0,"-"))</f>
        <v>-</v>
      </c>
      <c r="G78" s="39" t="str">
        <f t="shared" si="76"/>
        <v>-</v>
      </c>
      <c r="H78" s="40" t="str">
        <f>IF(Preenchimento!$F$5="Online","Online",IF(Preenchimento!$F$5=1,F78,IF(Preenchimento!$F$5=2,(SUM(F78:G78)/2),"-")))</f>
        <v>-</v>
      </c>
    </row>
    <row r="79" ht="15.75" customHeight="1">
      <c r="A79" s="33">
        <v>77.0</v>
      </c>
      <c r="B79" s="14" t="str">
        <f>IF(Preenchimento!B86="","-",Preenchimento!B86)</f>
        <v>-</v>
      </c>
      <c r="C79" s="14" t="str">
        <f>IF(Preenchimento!D86="","-",Preenchimento!D86)</f>
        <v>-</v>
      </c>
      <c r="D79" s="34"/>
      <c r="E79" s="34"/>
      <c r="F79" s="14" t="str">
        <f t="shared" ref="F79:G79" si="77">IF(D79="P",10,IF(D79="F",0,"-"))</f>
        <v>-</v>
      </c>
      <c r="G79" s="35" t="str">
        <f t="shared" si="77"/>
        <v>-</v>
      </c>
      <c r="H79" s="36" t="str">
        <f>IF(Preenchimento!$F$5="Online","Online",IF(Preenchimento!$F$5=1,F79,IF(Preenchimento!$F$5=2,(SUM(F79:G79)/2),"-")))</f>
        <v>-</v>
      </c>
    </row>
    <row r="80" ht="15.75" customHeight="1">
      <c r="A80" s="33">
        <v>78.0</v>
      </c>
      <c r="B80" s="37" t="str">
        <f>IF(Preenchimento!B87="","-",Preenchimento!B87)</f>
        <v>-</v>
      </c>
      <c r="C80" s="37" t="str">
        <f>IF(Preenchimento!D87="","-",Preenchimento!D87)</f>
        <v>-</v>
      </c>
      <c r="D80" s="38"/>
      <c r="E80" s="38"/>
      <c r="F80" s="37" t="str">
        <f t="shared" ref="F80:G80" si="78">IF(D80="P",10,IF(D80="F",0,"-"))</f>
        <v>-</v>
      </c>
      <c r="G80" s="39" t="str">
        <f t="shared" si="78"/>
        <v>-</v>
      </c>
      <c r="H80" s="40" t="str">
        <f>IF(Preenchimento!$F$5="Online","Online",IF(Preenchimento!$F$5=1,F80,IF(Preenchimento!$F$5=2,(SUM(F80:G80)/2),"-")))</f>
        <v>-</v>
      </c>
    </row>
    <row r="81" ht="15.75" customHeight="1">
      <c r="A81" s="33">
        <v>79.0</v>
      </c>
      <c r="B81" s="14" t="str">
        <f>IF(Preenchimento!B88="","-",Preenchimento!B88)</f>
        <v>-</v>
      </c>
      <c r="C81" s="14" t="str">
        <f>IF(Preenchimento!D88="","-",Preenchimento!D88)</f>
        <v>-</v>
      </c>
      <c r="D81" s="34"/>
      <c r="E81" s="34"/>
      <c r="F81" s="14" t="str">
        <f t="shared" ref="F81:G81" si="79">IF(D81="P",10,IF(D81="F",0,"-"))</f>
        <v>-</v>
      </c>
      <c r="G81" s="35" t="str">
        <f t="shared" si="79"/>
        <v>-</v>
      </c>
      <c r="H81" s="36" t="str">
        <f>IF(Preenchimento!$F$5="Online","Online",IF(Preenchimento!$F$5=1,F81,IF(Preenchimento!$F$5=2,(SUM(F81:G81)/2),"-")))</f>
        <v>-</v>
      </c>
    </row>
    <row r="82" ht="15.75" customHeight="1">
      <c r="A82" s="33">
        <v>80.0</v>
      </c>
      <c r="B82" s="37" t="str">
        <f>IF(Preenchimento!B89="","-",Preenchimento!B89)</f>
        <v>-</v>
      </c>
      <c r="C82" s="37" t="str">
        <f>IF(Preenchimento!D89="","-",Preenchimento!D89)</f>
        <v>-</v>
      </c>
      <c r="D82" s="38"/>
      <c r="E82" s="38"/>
      <c r="F82" s="37" t="str">
        <f t="shared" ref="F82:G82" si="80">IF(D82="P",10,IF(D82="F",0,"-"))</f>
        <v>-</v>
      </c>
      <c r="G82" s="39" t="str">
        <f t="shared" si="80"/>
        <v>-</v>
      </c>
      <c r="H82" s="40" t="str">
        <f>IF(Preenchimento!$F$5="Online","Online",IF(Preenchimento!$F$5=1,F82,IF(Preenchimento!$F$5=2,(SUM(F82:G82)/2),"-")))</f>
        <v>-</v>
      </c>
    </row>
    <row r="83" ht="15.75" customHeight="1">
      <c r="A83" s="33">
        <v>81.0</v>
      </c>
      <c r="B83" s="14" t="str">
        <f>IF(Preenchimento!B90="","-",Preenchimento!B90)</f>
        <v>-</v>
      </c>
      <c r="C83" s="14" t="str">
        <f>IF(Preenchimento!D90="","-",Preenchimento!D90)</f>
        <v>-</v>
      </c>
      <c r="D83" s="34"/>
      <c r="E83" s="34"/>
      <c r="F83" s="14" t="str">
        <f t="shared" ref="F83:G83" si="81">IF(D83="P",10,IF(D83="F",0,"-"))</f>
        <v>-</v>
      </c>
      <c r="G83" s="35" t="str">
        <f t="shared" si="81"/>
        <v>-</v>
      </c>
      <c r="H83" s="36" t="str">
        <f>IF(Preenchimento!$F$5="Online","Online",IF(Preenchimento!$F$5=1,F83,IF(Preenchimento!$F$5=2,(SUM(F83:G83)/2),"-")))</f>
        <v>-</v>
      </c>
    </row>
    <row r="84" ht="15.75" customHeight="1">
      <c r="A84" s="33">
        <v>82.0</v>
      </c>
      <c r="B84" s="37" t="str">
        <f>IF(Preenchimento!B91="","-",Preenchimento!B91)</f>
        <v>-</v>
      </c>
      <c r="C84" s="37" t="str">
        <f>IF(Preenchimento!D91="","-",Preenchimento!D91)</f>
        <v>-</v>
      </c>
      <c r="D84" s="38"/>
      <c r="E84" s="38"/>
      <c r="F84" s="37" t="str">
        <f t="shared" ref="F84:G84" si="82">IF(D84="P",10,IF(D84="F",0,"-"))</f>
        <v>-</v>
      </c>
      <c r="G84" s="39" t="str">
        <f t="shared" si="82"/>
        <v>-</v>
      </c>
      <c r="H84" s="40" t="str">
        <f>IF(Preenchimento!$F$5="Online","Online",IF(Preenchimento!$F$5=1,F84,IF(Preenchimento!$F$5=2,(SUM(F84:G84)/2),"-")))</f>
        <v>-</v>
      </c>
    </row>
    <row r="85" ht="15.75" customHeight="1">
      <c r="A85" s="33">
        <v>83.0</v>
      </c>
      <c r="B85" s="14" t="str">
        <f>IF(Preenchimento!B92="","-",Preenchimento!B92)</f>
        <v>-</v>
      </c>
      <c r="C85" s="14" t="str">
        <f>IF(Preenchimento!D92="","-",Preenchimento!D92)</f>
        <v>-</v>
      </c>
      <c r="D85" s="34"/>
      <c r="E85" s="34"/>
      <c r="F85" s="14" t="str">
        <f t="shared" ref="F85:G85" si="83">IF(D85="P",10,IF(D85="F",0,"-"))</f>
        <v>-</v>
      </c>
      <c r="G85" s="35" t="str">
        <f t="shared" si="83"/>
        <v>-</v>
      </c>
      <c r="H85" s="36" t="str">
        <f>IF(Preenchimento!$F$5="Online","Online",IF(Preenchimento!$F$5=1,F85,IF(Preenchimento!$F$5=2,(SUM(F85:G85)/2),"-")))</f>
        <v>-</v>
      </c>
    </row>
    <row r="86" ht="15.75" customHeight="1">
      <c r="A86" s="33">
        <v>84.0</v>
      </c>
      <c r="B86" s="37" t="str">
        <f>IF(Preenchimento!B93="","-",Preenchimento!B93)</f>
        <v>-</v>
      </c>
      <c r="C86" s="37" t="str">
        <f>IF(Preenchimento!D93="","-",Preenchimento!D93)</f>
        <v>-</v>
      </c>
      <c r="D86" s="38"/>
      <c r="E86" s="38"/>
      <c r="F86" s="37" t="str">
        <f t="shared" ref="F86:G86" si="84">IF(D86="P",10,IF(D86="F",0,"-"))</f>
        <v>-</v>
      </c>
      <c r="G86" s="39" t="str">
        <f t="shared" si="84"/>
        <v>-</v>
      </c>
      <c r="H86" s="40" t="str">
        <f>IF(Preenchimento!$F$5="Online","Online",IF(Preenchimento!$F$5=1,F86,IF(Preenchimento!$F$5=2,(SUM(F86:G86)/2),"-")))</f>
        <v>-</v>
      </c>
    </row>
    <row r="87" ht="15.75" customHeight="1">
      <c r="A87" s="33">
        <v>85.0</v>
      </c>
      <c r="B87" s="14" t="str">
        <f>IF(Preenchimento!B94="","-",Preenchimento!B94)</f>
        <v>-</v>
      </c>
      <c r="C87" s="14" t="str">
        <f>IF(Preenchimento!D94="","-",Preenchimento!D94)</f>
        <v>-</v>
      </c>
      <c r="D87" s="34"/>
      <c r="E87" s="34"/>
      <c r="F87" s="14" t="str">
        <f t="shared" ref="F87:G87" si="85">IF(D87="P",10,IF(D87="F",0,"-"))</f>
        <v>-</v>
      </c>
      <c r="G87" s="35" t="str">
        <f t="shared" si="85"/>
        <v>-</v>
      </c>
      <c r="H87" s="36" t="str">
        <f>IF(Preenchimento!$F$5="Online","Online",IF(Preenchimento!$F$5=1,F87,IF(Preenchimento!$F$5=2,(SUM(F87:G87)/2),"-")))</f>
        <v>-</v>
      </c>
    </row>
    <row r="88" ht="15.75" customHeight="1">
      <c r="A88" s="33">
        <v>86.0</v>
      </c>
      <c r="B88" s="37" t="str">
        <f>IF(Preenchimento!B95="","-",Preenchimento!B95)</f>
        <v>-</v>
      </c>
      <c r="C88" s="37" t="str">
        <f>IF(Preenchimento!D95="","-",Preenchimento!D95)</f>
        <v>-</v>
      </c>
      <c r="D88" s="38"/>
      <c r="E88" s="38"/>
      <c r="F88" s="37" t="str">
        <f t="shared" ref="F88:G88" si="86">IF(D88="P",10,IF(D88="F",0,"-"))</f>
        <v>-</v>
      </c>
      <c r="G88" s="39" t="str">
        <f t="shared" si="86"/>
        <v>-</v>
      </c>
      <c r="H88" s="40" t="str">
        <f>IF(Preenchimento!$F$5="Online","Online",IF(Preenchimento!$F$5=1,F88,IF(Preenchimento!$F$5=2,(SUM(F88:G88)/2),"-")))</f>
        <v>-</v>
      </c>
    </row>
    <row r="89" ht="15.75" customHeight="1">
      <c r="A89" s="33">
        <v>87.0</v>
      </c>
      <c r="B89" s="14" t="str">
        <f>IF(Preenchimento!B96="","-",Preenchimento!B96)</f>
        <v>-</v>
      </c>
      <c r="C89" s="14" t="str">
        <f>IF(Preenchimento!D96="","-",Preenchimento!D96)</f>
        <v>-</v>
      </c>
      <c r="D89" s="34"/>
      <c r="E89" s="34"/>
      <c r="F89" s="14" t="str">
        <f t="shared" ref="F89:G89" si="87">IF(D89="P",10,IF(D89="F",0,"-"))</f>
        <v>-</v>
      </c>
      <c r="G89" s="35" t="str">
        <f t="shared" si="87"/>
        <v>-</v>
      </c>
      <c r="H89" s="36" t="str">
        <f>IF(Preenchimento!$F$5="Online","Online",IF(Preenchimento!$F$5=1,F89,IF(Preenchimento!$F$5=2,(SUM(F89:G89)/2),"-")))</f>
        <v>-</v>
      </c>
    </row>
    <row r="90" ht="15.75" customHeight="1">
      <c r="A90" s="33">
        <v>88.0</v>
      </c>
      <c r="B90" s="37" t="str">
        <f>IF(Preenchimento!B97="","-",Preenchimento!B97)</f>
        <v>-</v>
      </c>
      <c r="C90" s="37" t="str">
        <f>IF(Preenchimento!D97="","-",Preenchimento!D97)</f>
        <v>-</v>
      </c>
      <c r="D90" s="38"/>
      <c r="E90" s="38"/>
      <c r="F90" s="37" t="str">
        <f t="shared" ref="F90:G90" si="88">IF(D90="P",10,IF(D90="F",0,"-"))</f>
        <v>-</v>
      </c>
      <c r="G90" s="39" t="str">
        <f t="shared" si="88"/>
        <v>-</v>
      </c>
      <c r="H90" s="40" t="str">
        <f>IF(Preenchimento!$F$5="Online","Online",IF(Preenchimento!$F$5=1,F90,IF(Preenchimento!$F$5=2,(SUM(F90:G90)/2),"-")))</f>
        <v>-</v>
      </c>
    </row>
    <row r="91" ht="15.75" customHeight="1">
      <c r="A91" s="33">
        <v>89.0</v>
      </c>
      <c r="B91" s="14" t="str">
        <f>IF(Preenchimento!B98="","-",Preenchimento!B98)</f>
        <v>-</v>
      </c>
      <c r="C91" s="14" t="str">
        <f>IF(Preenchimento!D98="","-",Preenchimento!D98)</f>
        <v>-</v>
      </c>
      <c r="D91" s="34"/>
      <c r="E91" s="34"/>
      <c r="F91" s="14" t="str">
        <f t="shared" ref="F91:G91" si="89">IF(D91="P",10,IF(D91="F",0,"-"))</f>
        <v>-</v>
      </c>
      <c r="G91" s="35" t="str">
        <f t="shared" si="89"/>
        <v>-</v>
      </c>
      <c r="H91" s="36" t="str">
        <f>IF(Preenchimento!$F$5="Online","Online",IF(Preenchimento!$F$5=1,F91,IF(Preenchimento!$F$5=2,(SUM(F91:G91)/2),"-")))</f>
        <v>-</v>
      </c>
    </row>
    <row r="92" ht="15.75" customHeight="1">
      <c r="A92" s="33">
        <v>90.0</v>
      </c>
      <c r="B92" s="37" t="str">
        <f>IF(Preenchimento!B99="","-",Preenchimento!B99)</f>
        <v>-</v>
      </c>
      <c r="C92" s="37" t="str">
        <f>IF(Preenchimento!D99="","-",Preenchimento!D99)</f>
        <v>-</v>
      </c>
      <c r="D92" s="38"/>
      <c r="E92" s="38"/>
      <c r="F92" s="37" t="str">
        <f t="shared" ref="F92:G92" si="90">IF(D92="P",10,IF(D92="F",0,"-"))</f>
        <v>-</v>
      </c>
      <c r="G92" s="39" t="str">
        <f t="shared" si="90"/>
        <v>-</v>
      </c>
      <c r="H92" s="40" t="str">
        <f>IF(Preenchimento!$F$5="Online","Online",IF(Preenchimento!$F$5=1,F92,IF(Preenchimento!$F$5=2,(SUM(F92:G92)/2),"-")))</f>
        <v>-</v>
      </c>
    </row>
    <row r="93" ht="15.75" customHeight="1">
      <c r="A93" s="33">
        <v>91.0</v>
      </c>
      <c r="B93" s="14" t="str">
        <f>IF(Preenchimento!B100="","-",Preenchimento!B100)</f>
        <v>-</v>
      </c>
      <c r="C93" s="14" t="str">
        <f>IF(Preenchimento!D100="","-",Preenchimento!D100)</f>
        <v>-</v>
      </c>
      <c r="D93" s="34"/>
      <c r="E93" s="34"/>
      <c r="F93" s="14" t="str">
        <f t="shared" ref="F93:G93" si="91">IF(D93="P",10,IF(D93="F",0,"-"))</f>
        <v>-</v>
      </c>
      <c r="G93" s="35" t="str">
        <f t="shared" si="91"/>
        <v>-</v>
      </c>
      <c r="H93" s="36" t="str">
        <f>IF(Preenchimento!$F$5="Online","Online",IF(Preenchimento!$F$5=1,F93,IF(Preenchimento!$F$5=2,(SUM(F93:G93)/2),"-")))</f>
        <v>-</v>
      </c>
    </row>
    <row r="94" ht="15.75" customHeight="1">
      <c r="A94" s="33">
        <v>92.0</v>
      </c>
      <c r="B94" s="37" t="str">
        <f>IF(Preenchimento!B101="","-",Preenchimento!B101)</f>
        <v>-</v>
      </c>
      <c r="C94" s="37" t="str">
        <f>IF(Preenchimento!D101="","-",Preenchimento!D101)</f>
        <v>-</v>
      </c>
      <c r="D94" s="38"/>
      <c r="E94" s="38"/>
      <c r="F94" s="37" t="str">
        <f t="shared" ref="F94:G94" si="92">IF(D94="P",10,IF(D94="F",0,"-"))</f>
        <v>-</v>
      </c>
      <c r="G94" s="39" t="str">
        <f t="shared" si="92"/>
        <v>-</v>
      </c>
      <c r="H94" s="40" t="str">
        <f>IF(Preenchimento!$F$5="Online","Online",IF(Preenchimento!$F$5=1,F94,IF(Preenchimento!$F$5=2,(SUM(F94:G94)/2),"-")))</f>
        <v>-</v>
      </c>
    </row>
    <row r="95" ht="15.75" customHeight="1">
      <c r="A95" s="33">
        <v>93.0</v>
      </c>
      <c r="B95" s="14" t="str">
        <f>IF(Preenchimento!B102="","-",Preenchimento!B102)</f>
        <v>-</v>
      </c>
      <c r="C95" s="14" t="str">
        <f>IF(Preenchimento!D102="","-",Preenchimento!D102)</f>
        <v>-</v>
      </c>
      <c r="D95" s="34"/>
      <c r="E95" s="34"/>
      <c r="F95" s="14" t="str">
        <f t="shared" ref="F95:G95" si="93">IF(D95="P",10,IF(D95="F",0,"-"))</f>
        <v>-</v>
      </c>
      <c r="G95" s="35" t="str">
        <f t="shared" si="93"/>
        <v>-</v>
      </c>
      <c r="H95" s="36" t="str">
        <f>IF(Preenchimento!$F$5="Online","Online",IF(Preenchimento!$F$5=1,F95,IF(Preenchimento!$F$5=2,(SUM(F95:G95)/2),"-")))</f>
        <v>-</v>
      </c>
    </row>
    <row r="96" ht="15.75" customHeight="1">
      <c r="A96" s="33">
        <v>94.0</v>
      </c>
      <c r="B96" s="37" t="str">
        <f>IF(Preenchimento!B103="","-",Preenchimento!B103)</f>
        <v>-</v>
      </c>
      <c r="C96" s="37" t="str">
        <f>IF(Preenchimento!D103="","-",Preenchimento!D103)</f>
        <v>-</v>
      </c>
      <c r="D96" s="38"/>
      <c r="E96" s="38"/>
      <c r="F96" s="37" t="str">
        <f t="shared" ref="F96:G96" si="94">IF(D96="P",10,IF(D96="F",0,"-"))</f>
        <v>-</v>
      </c>
      <c r="G96" s="39" t="str">
        <f t="shared" si="94"/>
        <v>-</v>
      </c>
      <c r="H96" s="40" t="str">
        <f>IF(Preenchimento!$F$5="Online","Online",IF(Preenchimento!$F$5=1,F96,IF(Preenchimento!$F$5=2,(SUM(F96:G96)/2),"-")))</f>
        <v>-</v>
      </c>
    </row>
    <row r="97" ht="15.75" customHeight="1">
      <c r="A97" s="33">
        <v>95.0</v>
      </c>
      <c r="B97" s="14" t="str">
        <f>IF(Preenchimento!B104="","-",Preenchimento!B104)</f>
        <v>-</v>
      </c>
      <c r="C97" s="14" t="str">
        <f>IF(Preenchimento!D104="","-",Preenchimento!D104)</f>
        <v>-</v>
      </c>
      <c r="D97" s="34"/>
      <c r="E97" s="34"/>
      <c r="F97" s="14" t="str">
        <f t="shared" ref="F97:G97" si="95">IF(D97="P",10,IF(D97="F",0,"-"))</f>
        <v>-</v>
      </c>
      <c r="G97" s="35" t="str">
        <f t="shared" si="95"/>
        <v>-</v>
      </c>
      <c r="H97" s="36" t="str">
        <f>IF(Preenchimento!$F$5="Online","Online",IF(Preenchimento!$F$5=1,F97,IF(Preenchimento!$F$5=2,(SUM(F97:G97)/2),"-")))</f>
        <v>-</v>
      </c>
    </row>
    <row r="98" ht="15.75" customHeight="1">
      <c r="A98" s="33">
        <v>96.0</v>
      </c>
      <c r="B98" s="37" t="str">
        <f>IF(Preenchimento!B105="","-",Preenchimento!B105)</f>
        <v>-</v>
      </c>
      <c r="C98" s="37" t="str">
        <f>IF(Preenchimento!D105="","-",Preenchimento!D105)</f>
        <v>-</v>
      </c>
      <c r="D98" s="38"/>
      <c r="E98" s="38"/>
      <c r="F98" s="37" t="str">
        <f t="shared" ref="F98:G98" si="96">IF(D98="P",10,IF(D98="F",0,"-"))</f>
        <v>-</v>
      </c>
      <c r="G98" s="39" t="str">
        <f t="shared" si="96"/>
        <v>-</v>
      </c>
      <c r="H98" s="40" t="str">
        <f>IF(Preenchimento!$F$5="Online","Online",IF(Preenchimento!$F$5=1,F98,IF(Preenchimento!$F$5=2,(SUM(F98:G98)/2),"-")))</f>
        <v>-</v>
      </c>
    </row>
    <row r="99" ht="15.75" customHeight="1">
      <c r="A99" s="33">
        <v>97.0</v>
      </c>
      <c r="B99" s="14" t="str">
        <f>IF(Preenchimento!B106="","-",Preenchimento!B106)</f>
        <v>-</v>
      </c>
      <c r="C99" s="14" t="str">
        <f>IF(Preenchimento!D106="","-",Preenchimento!D106)</f>
        <v>-</v>
      </c>
      <c r="D99" s="34"/>
      <c r="E99" s="34"/>
      <c r="F99" s="14" t="str">
        <f t="shared" ref="F99:G99" si="97">IF(D99="P",10,IF(D99="F",0,"-"))</f>
        <v>-</v>
      </c>
      <c r="G99" s="35" t="str">
        <f t="shared" si="97"/>
        <v>-</v>
      </c>
      <c r="H99" s="36" t="str">
        <f>IF(Preenchimento!$F$5="Online","Online",IF(Preenchimento!$F$5=1,F99,IF(Preenchimento!$F$5=2,(SUM(F99:G99)/2),"-")))</f>
        <v>-</v>
      </c>
    </row>
    <row r="100" ht="15.75" customHeight="1">
      <c r="A100" s="33">
        <v>98.0</v>
      </c>
      <c r="B100" s="37" t="str">
        <f>IF(Preenchimento!B107="","-",Preenchimento!B107)</f>
        <v>-</v>
      </c>
      <c r="C100" s="37" t="str">
        <f>IF(Preenchimento!D107="","-",Preenchimento!D107)</f>
        <v>-</v>
      </c>
      <c r="D100" s="38"/>
      <c r="E100" s="38"/>
      <c r="F100" s="37" t="str">
        <f t="shared" ref="F100:G100" si="98">IF(D100="P",10,IF(D100="F",0,"-"))</f>
        <v>-</v>
      </c>
      <c r="G100" s="39" t="str">
        <f t="shared" si="98"/>
        <v>-</v>
      </c>
      <c r="H100" s="40" t="str">
        <f>IF(Preenchimento!$F$5="Online","Online",IF(Preenchimento!$F$5=1,F100,IF(Preenchimento!$F$5=2,(SUM(F100:G100)/2),"-")))</f>
        <v>-</v>
      </c>
    </row>
    <row r="101" ht="15.75" customHeight="1">
      <c r="A101" s="33">
        <v>99.0</v>
      </c>
      <c r="B101" s="14" t="str">
        <f>IF(Preenchimento!B108="","-",Preenchimento!B108)</f>
        <v>-</v>
      </c>
      <c r="C101" s="14" t="str">
        <f>IF(Preenchimento!D108="","-",Preenchimento!D108)</f>
        <v>-</v>
      </c>
      <c r="D101" s="34"/>
      <c r="E101" s="34"/>
      <c r="F101" s="14" t="str">
        <f t="shared" ref="F101:G101" si="99">IF(D101="P",10,IF(D101="F",0,"-"))</f>
        <v>-</v>
      </c>
      <c r="G101" s="35" t="str">
        <f t="shared" si="99"/>
        <v>-</v>
      </c>
      <c r="H101" s="36" t="str">
        <f>IF(Preenchimento!$F$5="Online","Online",IF(Preenchimento!$F$5=1,F101,IF(Preenchimento!$F$5=2,(SUM(F101:G101)/2),"-")))</f>
        <v>-</v>
      </c>
    </row>
    <row r="102" ht="15.75" customHeight="1">
      <c r="A102" s="50">
        <v>100.0</v>
      </c>
      <c r="B102" s="51" t="str">
        <f>IF(Preenchimento!B109="","-",Preenchimento!B109)</f>
        <v>-</v>
      </c>
      <c r="C102" s="52" t="str">
        <f>IF(Preenchimento!D109="","-",Preenchimento!D109)</f>
        <v>-</v>
      </c>
      <c r="D102" s="53"/>
      <c r="E102" s="53"/>
      <c r="F102" s="54" t="str">
        <f t="shared" ref="F102:G102" si="100">IF(D102="P",10,IF(D102="F",0,"-"))</f>
        <v>-</v>
      </c>
      <c r="G102" s="47" t="str">
        <f t="shared" si="100"/>
        <v>-</v>
      </c>
      <c r="H102" s="55" t="str">
        <f>IF(Preenchimento!$F$5="Online","Online",IF(Preenchimento!$F$5=1,F102,IF(Preenchimento!$F$5=2,(SUM(F102:G102)/2),"-")))</f>
        <v>-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3:E102">
      <formula1>"P,F"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86"/>
    <col customWidth="1" min="2" max="2" width="34.0"/>
    <col customWidth="1" min="3" max="3" width="27.0"/>
    <col customWidth="1" min="4" max="4" width="12.14"/>
    <col customWidth="1" min="5" max="24" width="9.29"/>
    <col customWidth="1" min="25" max="25" width="7.14"/>
  </cols>
  <sheetData>
    <row r="1" ht="23.25" customHeight="1">
      <c r="A1" s="56"/>
      <c r="B1" s="56"/>
      <c r="C1" s="57"/>
      <c r="D1" s="57"/>
      <c r="E1" s="57" t="s">
        <v>15</v>
      </c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9"/>
    </row>
    <row r="2" ht="26.25" customHeight="1">
      <c r="A2" s="60"/>
      <c r="B2" s="61"/>
      <c r="C2" s="62"/>
      <c r="D2" s="63" t="s">
        <v>16</v>
      </c>
      <c r="E2" s="64"/>
      <c r="F2" s="65"/>
      <c r="G2" s="64" t="s">
        <v>17</v>
      </c>
      <c r="H2" s="65"/>
      <c r="I2" s="66"/>
      <c r="J2" s="65" t="s">
        <v>18</v>
      </c>
      <c r="K2" s="67"/>
      <c r="L2" s="67"/>
      <c r="M2" s="67"/>
      <c r="N2" s="68"/>
      <c r="O2" s="64" t="s">
        <v>19</v>
      </c>
      <c r="P2" s="67"/>
      <c r="Q2" s="67"/>
      <c r="R2" s="67"/>
      <c r="S2" s="68"/>
      <c r="T2" s="64" t="s">
        <v>20</v>
      </c>
      <c r="U2" s="67"/>
      <c r="V2" s="67"/>
      <c r="W2" s="67"/>
      <c r="X2" s="68"/>
      <c r="Y2" s="69"/>
    </row>
    <row r="3">
      <c r="A3" s="70"/>
      <c r="B3" s="71" t="s">
        <v>6</v>
      </c>
      <c r="C3" s="72" t="s">
        <v>11</v>
      </c>
      <c r="D3" s="73"/>
      <c r="E3" s="74" t="s">
        <v>21</v>
      </c>
      <c r="F3" s="74" t="s">
        <v>22</v>
      </c>
      <c r="G3" s="74" t="s">
        <v>23</v>
      </c>
      <c r="H3" s="74" t="s">
        <v>24</v>
      </c>
      <c r="I3" s="74" t="s">
        <v>25</v>
      </c>
      <c r="J3" s="75" t="s">
        <v>21</v>
      </c>
      <c r="K3" s="76" t="s">
        <v>22</v>
      </c>
      <c r="L3" s="76" t="s">
        <v>23</v>
      </c>
      <c r="M3" s="76" t="s">
        <v>24</v>
      </c>
      <c r="N3" s="75" t="s">
        <v>25</v>
      </c>
      <c r="O3" s="75" t="s">
        <v>21</v>
      </c>
      <c r="P3" s="75" t="s">
        <v>22</v>
      </c>
      <c r="Q3" s="76" t="s">
        <v>23</v>
      </c>
      <c r="R3" s="76" t="s">
        <v>24</v>
      </c>
      <c r="S3" s="75" t="s">
        <v>25</v>
      </c>
      <c r="T3" s="75" t="s">
        <v>21</v>
      </c>
      <c r="U3" s="76" t="s">
        <v>22</v>
      </c>
      <c r="V3" s="76" t="s">
        <v>23</v>
      </c>
      <c r="W3" s="75" t="s">
        <v>24</v>
      </c>
      <c r="X3" s="75" t="s">
        <v>25</v>
      </c>
      <c r="Y3" s="77" t="s">
        <v>14</v>
      </c>
    </row>
    <row r="4">
      <c r="A4" s="78">
        <v>1.0</v>
      </c>
      <c r="B4" s="14" t="str">
        <f>IF(Preenchimento!B10="","-",Preenchimento!B10)</f>
        <v>-</v>
      </c>
      <c r="C4" s="79" t="str">
        <f>IF(Preenchimento!D10="","-",Preenchimento!D10)</f>
        <v>-</v>
      </c>
      <c r="D4" s="80" t="s">
        <v>26</v>
      </c>
      <c r="E4" s="81"/>
      <c r="F4" s="82"/>
      <c r="G4" s="82"/>
      <c r="H4" s="82"/>
      <c r="I4" s="82"/>
      <c r="J4" s="81"/>
      <c r="K4" s="82"/>
      <c r="L4" s="82"/>
      <c r="M4" s="82"/>
      <c r="N4" s="83"/>
      <c r="O4" s="81"/>
      <c r="P4" s="82"/>
      <c r="Q4" s="82"/>
      <c r="R4" s="82"/>
      <c r="S4" s="83"/>
      <c r="T4" s="81"/>
      <c r="U4" s="82"/>
      <c r="V4" s="82"/>
      <c r="W4" s="82"/>
      <c r="X4" s="83"/>
      <c r="Y4" s="84" t="str">
        <f t="shared" ref="Y4:Y53" si="1">if(or(D4="falta",D4=""),"-",if(D4="presente", IF(SUM(E4:X4)/20=0,"-",SUM(E4:X4)/20),"-"))</f>
        <v>-</v>
      </c>
    </row>
    <row r="5">
      <c r="A5" s="78">
        <v>2.0</v>
      </c>
      <c r="B5" s="37" t="str">
        <f>IF(Preenchimento!B11="","-",Preenchimento!B11)</f>
        <v>-</v>
      </c>
      <c r="C5" s="85" t="str">
        <f>IF(Preenchimento!D11="","-",Preenchimento!D11)</f>
        <v>-</v>
      </c>
      <c r="D5" s="86"/>
      <c r="E5" s="87"/>
      <c r="F5" s="88"/>
      <c r="G5" s="88"/>
      <c r="H5" s="88"/>
      <c r="I5" s="89"/>
      <c r="J5" s="87"/>
      <c r="K5" s="88"/>
      <c r="L5" s="88"/>
      <c r="M5" s="88"/>
      <c r="N5" s="90"/>
      <c r="O5" s="87"/>
      <c r="P5" s="88"/>
      <c r="Q5" s="88"/>
      <c r="R5" s="88"/>
      <c r="S5" s="90"/>
      <c r="T5" s="87"/>
      <c r="U5" s="88"/>
      <c r="V5" s="88"/>
      <c r="W5" s="88"/>
      <c r="X5" s="90"/>
      <c r="Y5" s="91" t="str">
        <f t="shared" si="1"/>
        <v>-</v>
      </c>
    </row>
    <row r="6">
      <c r="A6" s="78">
        <v>3.0</v>
      </c>
      <c r="B6" s="14" t="str">
        <f>IF(Preenchimento!B12="","-",Preenchimento!B12)</f>
        <v>-</v>
      </c>
      <c r="C6" s="92" t="str">
        <f>IF(Preenchimento!D12="","-",Preenchimento!D12)</f>
        <v>-</v>
      </c>
      <c r="D6" s="93"/>
      <c r="E6" s="81"/>
      <c r="F6" s="82"/>
      <c r="G6" s="82"/>
      <c r="H6" s="82"/>
      <c r="I6" s="82"/>
      <c r="J6" s="94"/>
      <c r="K6" s="95"/>
      <c r="L6" s="95"/>
      <c r="M6" s="95"/>
      <c r="N6" s="96"/>
      <c r="O6" s="94"/>
      <c r="P6" s="95"/>
      <c r="Q6" s="95"/>
      <c r="R6" s="95"/>
      <c r="S6" s="96"/>
      <c r="T6" s="94"/>
      <c r="U6" s="95"/>
      <c r="V6" s="95"/>
      <c r="W6" s="95"/>
      <c r="X6" s="96"/>
      <c r="Y6" s="97" t="str">
        <f t="shared" si="1"/>
        <v>-</v>
      </c>
    </row>
    <row r="7">
      <c r="A7" s="78">
        <v>4.0</v>
      </c>
      <c r="B7" s="37" t="str">
        <f>IF(Preenchimento!B13="","-",Preenchimento!B13)</f>
        <v>-</v>
      </c>
      <c r="C7" s="98" t="str">
        <f>IF(Preenchimento!D13="","-",Preenchimento!D13)</f>
        <v>-</v>
      </c>
      <c r="D7" s="86"/>
      <c r="E7" s="87"/>
      <c r="F7" s="88"/>
      <c r="G7" s="88"/>
      <c r="H7" s="88"/>
      <c r="I7" s="89"/>
      <c r="J7" s="87"/>
      <c r="K7" s="99"/>
      <c r="L7" s="99"/>
      <c r="M7" s="99"/>
      <c r="N7" s="90"/>
      <c r="O7" s="87"/>
      <c r="P7" s="99"/>
      <c r="Q7" s="99"/>
      <c r="R7" s="99"/>
      <c r="S7" s="90"/>
      <c r="T7" s="87"/>
      <c r="U7" s="99"/>
      <c r="V7" s="99"/>
      <c r="W7" s="99"/>
      <c r="X7" s="90"/>
      <c r="Y7" s="91" t="str">
        <f t="shared" si="1"/>
        <v>-</v>
      </c>
    </row>
    <row r="8">
      <c r="A8" s="78">
        <v>5.0</v>
      </c>
      <c r="B8" s="14" t="str">
        <f>IF(Preenchimento!B14="","-",Preenchimento!B14)</f>
        <v>-</v>
      </c>
      <c r="C8" s="100" t="str">
        <f>IF(Preenchimento!D14="","-",Preenchimento!D14)</f>
        <v>-</v>
      </c>
      <c r="D8" s="101"/>
      <c r="E8" s="94"/>
      <c r="F8" s="95"/>
      <c r="G8" s="95"/>
      <c r="H8" s="95"/>
      <c r="I8" s="96"/>
      <c r="J8" s="94"/>
      <c r="K8" s="95"/>
      <c r="L8" s="95"/>
      <c r="M8" s="95"/>
      <c r="N8" s="96"/>
      <c r="O8" s="94"/>
      <c r="P8" s="95"/>
      <c r="Q8" s="95"/>
      <c r="R8" s="95"/>
      <c r="S8" s="96"/>
      <c r="T8" s="94"/>
      <c r="U8" s="95"/>
      <c r="V8" s="95"/>
      <c r="W8" s="95"/>
      <c r="X8" s="102"/>
      <c r="Y8" s="103" t="str">
        <f t="shared" si="1"/>
        <v>-</v>
      </c>
    </row>
    <row r="9">
      <c r="A9" s="78">
        <v>6.0</v>
      </c>
      <c r="B9" s="37" t="str">
        <f>IF(Preenchimento!B15="","-",Preenchimento!B15)</f>
        <v>-</v>
      </c>
      <c r="C9" s="104" t="str">
        <f>IF(Preenchimento!D15="","-",Preenchimento!D15)</f>
        <v>-</v>
      </c>
      <c r="D9" s="105"/>
      <c r="E9" s="106"/>
      <c r="F9" s="107"/>
      <c r="G9" s="107"/>
      <c r="H9" s="107"/>
      <c r="I9" s="108"/>
      <c r="J9" s="106"/>
      <c r="K9" s="107"/>
      <c r="L9" s="107"/>
      <c r="M9" s="107"/>
      <c r="N9" s="108"/>
      <c r="O9" s="106"/>
      <c r="P9" s="107"/>
      <c r="Q9" s="107"/>
      <c r="R9" s="107"/>
      <c r="S9" s="108"/>
      <c r="T9" s="106"/>
      <c r="U9" s="107"/>
      <c r="V9" s="107"/>
      <c r="W9" s="107"/>
      <c r="X9" s="109"/>
      <c r="Y9" s="110" t="str">
        <f t="shared" si="1"/>
        <v>-</v>
      </c>
    </row>
    <row r="10">
      <c r="A10" s="78">
        <v>7.0</v>
      </c>
      <c r="B10" s="14" t="str">
        <f>IF(Preenchimento!B16="","-",Preenchimento!B16)</f>
        <v>-</v>
      </c>
      <c r="C10" s="111" t="str">
        <f>IF(Preenchimento!D16="","-",Preenchimento!D16)</f>
        <v>-</v>
      </c>
      <c r="D10" s="112"/>
      <c r="E10" s="113"/>
      <c r="F10" s="114"/>
      <c r="G10" s="114"/>
      <c r="H10" s="114"/>
      <c r="I10" s="115"/>
      <c r="J10" s="113"/>
      <c r="K10" s="114"/>
      <c r="L10" s="114"/>
      <c r="M10" s="114"/>
      <c r="N10" s="115"/>
      <c r="O10" s="113"/>
      <c r="P10" s="114"/>
      <c r="Q10" s="114"/>
      <c r="R10" s="114"/>
      <c r="S10" s="115"/>
      <c r="T10" s="113"/>
      <c r="U10" s="114"/>
      <c r="V10" s="114"/>
      <c r="W10" s="114"/>
      <c r="X10" s="116"/>
      <c r="Y10" s="117" t="str">
        <f t="shared" si="1"/>
        <v>-</v>
      </c>
    </row>
    <row r="11">
      <c r="A11" s="78">
        <v>8.0</v>
      </c>
      <c r="B11" s="37" t="str">
        <f>IF(Preenchimento!B17="","-",Preenchimento!B17)</f>
        <v>-</v>
      </c>
      <c r="C11" s="104" t="str">
        <f>IF(Preenchimento!D17="","-",Preenchimento!D17)</f>
        <v>-</v>
      </c>
      <c r="D11" s="105"/>
      <c r="E11" s="106"/>
      <c r="F11" s="107"/>
      <c r="G11" s="107"/>
      <c r="H11" s="107"/>
      <c r="I11" s="108"/>
      <c r="J11" s="106"/>
      <c r="K11" s="107"/>
      <c r="L11" s="107"/>
      <c r="M11" s="107"/>
      <c r="N11" s="108"/>
      <c r="O11" s="106"/>
      <c r="P11" s="107"/>
      <c r="Q11" s="107"/>
      <c r="R11" s="107"/>
      <c r="S11" s="108"/>
      <c r="T11" s="106"/>
      <c r="U11" s="107"/>
      <c r="V11" s="107"/>
      <c r="W11" s="107"/>
      <c r="X11" s="109"/>
      <c r="Y11" s="110" t="str">
        <f t="shared" si="1"/>
        <v>-</v>
      </c>
    </row>
    <row r="12">
      <c r="A12" s="78">
        <v>9.0</v>
      </c>
      <c r="B12" s="14" t="str">
        <f>IF(Preenchimento!B18="","-",Preenchimento!B18)</f>
        <v>-</v>
      </c>
      <c r="C12" s="111" t="str">
        <f>IF(Preenchimento!D18="","-",Preenchimento!D18)</f>
        <v>-</v>
      </c>
      <c r="D12" s="112"/>
      <c r="E12" s="113"/>
      <c r="F12" s="114"/>
      <c r="G12" s="114"/>
      <c r="H12" s="114"/>
      <c r="I12" s="115"/>
      <c r="J12" s="113"/>
      <c r="K12" s="114"/>
      <c r="L12" s="114"/>
      <c r="M12" s="114"/>
      <c r="N12" s="115"/>
      <c r="O12" s="113"/>
      <c r="P12" s="114"/>
      <c r="Q12" s="114"/>
      <c r="R12" s="114"/>
      <c r="S12" s="115"/>
      <c r="T12" s="113"/>
      <c r="U12" s="114"/>
      <c r="V12" s="114"/>
      <c r="W12" s="114"/>
      <c r="X12" s="116"/>
      <c r="Y12" s="117" t="str">
        <f t="shared" si="1"/>
        <v>-</v>
      </c>
    </row>
    <row r="13">
      <c r="A13" s="78">
        <v>10.0</v>
      </c>
      <c r="B13" s="37" t="str">
        <f>IF(Preenchimento!B19="","-",Preenchimento!B19)</f>
        <v>-</v>
      </c>
      <c r="C13" s="104" t="str">
        <f>IF(Preenchimento!D19="","-",Preenchimento!D19)</f>
        <v>-</v>
      </c>
      <c r="D13" s="105"/>
      <c r="E13" s="106"/>
      <c r="F13" s="107"/>
      <c r="G13" s="107"/>
      <c r="H13" s="107"/>
      <c r="I13" s="108"/>
      <c r="J13" s="106"/>
      <c r="K13" s="107"/>
      <c r="L13" s="107"/>
      <c r="M13" s="107"/>
      <c r="N13" s="108"/>
      <c r="O13" s="106"/>
      <c r="P13" s="107"/>
      <c r="Q13" s="107"/>
      <c r="R13" s="107"/>
      <c r="S13" s="108"/>
      <c r="T13" s="106"/>
      <c r="U13" s="107"/>
      <c r="V13" s="107"/>
      <c r="W13" s="107"/>
      <c r="X13" s="109"/>
      <c r="Y13" s="110" t="str">
        <f t="shared" si="1"/>
        <v>-</v>
      </c>
    </row>
    <row r="14">
      <c r="A14" s="78">
        <v>11.0</v>
      </c>
      <c r="B14" s="14" t="str">
        <f>IF(Preenchimento!B20="","-",Preenchimento!B20)</f>
        <v>-</v>
      </c>
      <c r="C14" s="111" t="str">
        <f>IF(Preenchimento!D20="","-",Preenchimento!D20)</f>
        <v>-</v>
      </c>
      <c r="D14" s="112"/>
      <c r="E14" s="113"/>
      <c r="F14" s="114"/>
      <c r="G14" s="114"/>
      <c r="H14" s="114"/>
      <c r="I14" s="115"/>
      <c r="J14" s="113"/>
      <c r="K14" s="114"/>
      <c r="L14" s="114"/>
      <c r="M14" s="114"/>
      <c r="N14" s="115"/>
      <c r="O14" s="113"/>
      <c r="P14" s="114"/>
      <c r="Q14" s="114"/>
      <c r="R14" s="114"/>
      <c r="S14" s="115"/>
      <c r="T14" s="113"/>
      <c r="U14" s="114"/>
      <c r="V14" s="114"/>
      <c r="W14" s="114"/>
      <c r="X14" s="116"/>
      <c r="Y14" s="117" t="str">
        <f t="shared" si="1"/>
        <v>-</v>
      </c>
    </row>
    <row r="15">
      <c r="A15" s="78">
        <v>12.0</v>
      </c>
      <c r="B15" s="37" t="str">
        <f>IF(Preenchimento!B21="","-",Preenchimento!B21)</f>
        <v>-</v>
      </c>
      <c r="C15" s="104" t="str">
        <f>IF(Preenchimento!D21="","-",Preenchimento!D21)</f>
        <v>-</v>
      </c>
      <c r="D15" s="105"/>
      <c r="E15" s="106"/>
      <c r="F15" s="107"/>
      <c r="G15" s="107"/>
      <c r="H15" s="107"/>
      <c r="I15" s="108"/>
      <c r="J15" s="106"/>
      <c r="K15" s="107"/>
      <c r="L15" s="107"/>
      <c r="M15" s="107"/>
      <c r="N15" s="108"/>
      <c r="O15" s="106"/>
      <c r="P15" s="107"/>
      <c r="Q15" s="107"/>
      <c r="R15" s="107"/>
      <c r="S15" s="108"/>
      <c r="T15" s="106"/>
      <c r="U15" s="107"/>
      <c r="V15" s="107"/>
      <c r="W15" s="107"/>
      <c r="X15" s="109"/>
      <c r="Y15" s="110" t="str">
        <f t="shared" si="1"/>
        <v>-</v>
      </c>
    </row>
    <row r="16">
      <c r="A16" s="78">
        <v>13.0</v>
      </c>
      <c r="B16" s="14" t="str">
        <f>IF(Preenchimento!B22="","-",Preenchimento!B22)</f>
        <v>-</v>
      </c>
      <c r="C16" s="111" t="str">
        <f>IF(Preenchimento!D22="","-",Preenchimento!D22)</f>
        <v>-</v>
      </c>
      <c r="D16" s="112"/>
      <c r="E16" s="113"/>
      <c r="F16" s="114"/>
      <c r="G16" s="114"/>
      <c r="H16" s="114"/>
      <c r="I16" s="115"/>
      <c r="J16" s="113"/>
      <c r="K16" s="114"/>
      <c r="L16" s="114"/>
      <c r="M16" s="114"/>
      <c r="N16" s="115"/>
      <c r="O16" s="113"/>
      <c r="P16" s="114"/>
      <c r="Q16" s="114"/>
      <c r="R16" s="114"/>
      <c r="S16" s="115"/>
      <c r="T16" s="113"/>
      <c r="U16" s="114"/>
      <c r="V16" s="114"/>
      <c r="W16" s="114"/>
      <c r="X16" s="116"/>
      <c r="Y16" s="117" t="str">
        <f t="shared" si="1"/>
        <v>-</v>
      </c>
    </row>
    <row r="17">
      <c r="A17" s="78">
        <v>14.0</v>
      </c>
      <c r="B17" s="37" t="str">
        <f>IF(Preenchimento!B23="","-",Preenchimento!B23)</f>
        <v>-</v>
      </c>
      <c r="C17" s="104" t="str">
        <f>IF(Preenchimento!D23="","-",Preenchimento!D23)</f>
        <v>-</v>
      </c>
      <c r="D17" s="105"/>
      <c r="E17" s="106"/>
      <c r="F17" s="107"/>
      <c r="G17" s="107"/>
      <c r="H17" s="107"/>
      <c r="I17" s="108"/>
      <c r="J17" s="106"/>
      <c r="K17" s="107"/>
      <c r="L17" s="107"/>
      <c r="M17" s="107"/>
      <c r="N17" s="108"/>
      <c r="O17" s="106"/>
      <c r="P17" s="107"/>
      <c r="Q17" s="107"/>
      <c r="R17" s="107"/>
      <c r="S17" s="108"/>
      <c r="T17" s="106"/>
      <c r="U17" s="107"/>
      <c r="V17" s="107"/>
      <c r="W17" s="107"/>
      <c r="X17" s="109"/>
      <c r="Y17" s="110" t="str">
        <f t="shared" si="1"/>
        <v>-</v>
      </c>
    </row>
    <row r="18">
      <c r="A18" s="78">
        <v>15.0</v>
      </c>
      <c r="B18" s="14" t="str">
        <f>IF(Preenchimento!B24="","-",Preenchimento!B24)</f>
        <v>-</v>
      </c>
      <c r="C18" s="111" t="str">
        <f>IF(Preenchimento!D24="","-",Preenchimento!D24)</f>
        <v>-</v>
      </c>
      <c r="D18" s="112"/>
      <c r="E18" s="113"/>
      <c r="F18" s="114"/>
      <c r="G18" s="114"/>
      <c r="H18" s="114"/>
      <c r="I18" s="115"/>
      <c r="J18" s="113"/>
      <c r="K18" s="114"/>
      <c r="L18" s="114"/>
      <c r="M18" s="114"/>
      <c r="N18" s="115"/>
      <c r="O18" s="113"/>
      <c r="P18" s="114"/>
      <c r="Q18" s="114"/>
      <c r="R18" s="114"/>
      <c r="S18" s="115"/>
      <c r="T18" s="113"/>
      <c r="U18" s="114"/>
      <c r="V18" s="114"/>
      <c r="W18" s="114"/>
      <c r="X18" s="116"/>
      <c r="Y18" s="117" t="str">
        <f t="shared" si="1"/>
        <v>-</v>
      </c>
    </row>
    <row r="19">
      <c r="A19" s="78">
        <v>16.0</v>
      </c>
      <c r="B19" s="37" t="str">
        <f>IF(Preenchimento!B25="","-",Preenchimento!B25)</f>
        <v>-</v>
      </c>
      <c r="C19" s="104" t="str">
        <f>IF(Preenchimento!D25="","-",Preenchimento!D25)</f>
        <v>-</v>
      </c>
      <c r="D19" s="105"/>
      <c r="E19" s="106"/>
      <c r="F19" s="107"/>
      <c r="G19" s="107"/>
      <c r="H19" s="107"/>
      <c r="I19" s="108"/>
      <c r="J19" s="106"/>
      <c r="K19" s="107"/>
      <c r="L19" s="107"/>
      <c r="M19" s="107"/>
      <c r="N19" s="108"/>
      <c r="O19" s="106"/>
      <c r="P19" s="107"/>
      <c r="Q19" s="107"/>
      <c r="R19" s="107"/>
      <c r="S19" s="108"/>
      <c r="T19" s="106"/>
      <c r="U19" s="107"/>
      <c r="V19" s="107"/>
      <c r="W19" s="107"/>
      <c r="X19" s="109"/>
      <c r="Y19" s="110" t="str">
        <f t="shared" si="1"/>
        <v>-</v>
      </c>
    </row>
    <row r="20">
      <c r="A20" s="78">
        <v>17.0</v>
      </c>
      <c r="B20" s="14" t="str">
        <f>IF(Preenchimento!B26="","-",Preenchimento!B26)</f>
        <v>-</v>
      </c>
      <c r="C20" s="111" t="str">
        <f>IF(Preenchimento!D26="","-",Preenchimento!D26)</f>
        <v>-</v>
      </c>
      <c r="D20" s="112"/>
      <c r="E20" s="113"/>
      <c r="F20" s="114"/>
      <c r="G20" s="114"/>
      <c r="H20" s="114"/>
      <c r="I20" s="115"/>
      <c r="J20" s="113"/>
      <c r="K20" s="114"/>
      <c r="L20" s="114"/>
      <c r="M20" s="114"/>
      <c r="N20" s="115"/>
      <c r="O20" s="113"/>
      <c r="P20" s="114"/>
      <c r="Q20" s="114"/>
      <c r="R20" s="114"/>
      <c r="S20" s="115"/>
      <c r="T20" s="113"/>
      <c r="U20" s="114"/>
      <c r="V20" s="114"/>
      <c r="W20" s="114"/>
      <c r="X20" s="116"/>
      <c r="Y20" s="117" t="str">
        <f t="shared" si="1"/>
        <v>-</v>
      </c>
    </row>
    <row r="21" ht="15.75" customHeight="1">
      <c r="A21" s="78">
        <v>18.0</v>
      </c>
      <c r="B21" s="37" t="str">
        <f>IF(Preenchimento!B27="","-",Preenchimento!B27)</f>
        <v>-</v>
      </c>
      <c r="C21" s="104" t="str">
        <f>IF(Preenchimento!D27="","-",Preenchimento!D27)</f>
        <v>-</v>
      </c>
      <c r="D21" s="105"/>
      <c r="E21" s="106"/>
      <c r="F21" s="107"/>
      <c r="G21" s="107"/>
      <c r="H21" s="107"/>
      <c r="I21" s="108"/>
      <c r="J21" s="106"/>
      <c r="K21" s="107"/>
      <c r="L21" s="107"/>
      <c r="M21" s="107"/>
      <c r="N21" s="108"/>
      <c r="O21" s="106"/>
      <c r="P21" s="107"/>
      <c r="Q21" s="107"/>
      <c r="R21" s="107"/>
      <c r="S21" s="108"/>
      <c r="T21" s="106"/>
      <c r="U21" s="107"/>
      <c r="V21" s="107"/>
      <c r="W21" s="107"/>
      <c r="X21" s="109"/>
      <c r="Y21" s="110" t="str">
        <f t="shared" si="1"/>
        <v>-</v>
      </c>
    </row>
    <row r="22" ht="15.75" customHeight="1">
      <c r="A22" s="78">
        <v>19.0</v>
      </c>
      <c r="B22" s="14" t="str">
        <f>IF(Preenchimento!B28="","-",Preenchimento!B28)</f>
        <v>-</v>
      </c>
      <c r="C22" s="111" t="str">
        <f>IF(Preenchimento!D28="","-",Preenchimento!D28)</f>
        <v>-</v>
      </c>
      <c r="D22" s="112"/>
      <c r="E22" s="113"/>
      <c r="F22" s="114"/>
      <c r="G22" s="114"/>
      <c r="H22" s="114"/>
      <c r="I22" s="115"/>
      <c r="J22" s="113"/>
      <c r="K22" s="114"/>
      <c r="L22" s="114"/>
      <c r="M22" s="114"/>
      <c r="N22" s="115"/>
      <c r="O22" s="113"/>
      <c r="P22" s="114"/>
      <c r="Q22" s="114"/>
      <c r="R22" s="114"/>
      <c r="S22" s="115"/>
      <c r="T22" s="113"/>
      <c r="U22" s="114"/>
      <c r="V22" s="114"/>
      <c r="W22" s="114"/>
      <c r="X22" s="116"/>
      <c r="Y22" s="117" t="str">
        <f t="shared" si="1"/>
        <v>-</v>
      </c>
    </row>
    <row r="23" ht="15.75" customHeight="1">
      <c r="A23" s="78">
        <v>20.0</v>
      </c>
      <c r="B23" s="37" t="str">
        <f>IF(Preenchimento!B29="","-",Preenchimento!B29)</f>
        <v>-</v>
      </c>
      <c r="C23" s="104" t="str">
        <f>IF(Preenchimento!D29="","-",Preenchimento!D29)</f>
        <v>-</v>
      </c>
      <c r="D23" s="105"/>
      <c r="E23" s="106"/>
      <c r="F23" s="107"/>
      <c r="G23" s="107"/>
      <c r="H23" s="107"/>
      <c r="I23" s="108"/>
      <c r="J23" s="106"/>
      <c r="K23" s="107"/>
      <c r="L23" s="107"/>
      <c r="M23" s="107"/>
      <c r="N23" s="108"/>
      <c r="O23" s="106"/>
      <c r="P23" s="107"/>
      <c r="Q23" s="107"/>
      <c r="R23" s="107"/>
      <c r="S23" s="108"/>
      <c r="T23" s="106"/>
      <c r="U23" s="107"/>
      <c r="V23" s="107"/>
      <c r="W23" s="107"/>
      <c r="X23" s="109"/>
      <c r="Y23" s="110" t="str">
        <f t="shared" si="1"/>
        <v>-</v>
      </c>
    </row>
    <row r="24" ht="15.75" customHeight="1">
      <c r="A24" s="78">
        <v>21.0</v>
      </c>
      <c r="B24" s="14" t="str">
        <f>IF(Preenchimento!B30="","-",Preenchimento!B30)</f>
        <v>-</v>
      </c>
      <c r="C24" s="111" t="str">
        <f>IF(Preenchimento!D30="","-",Preenchimento!D30)</f>
        <v>-</v>
      </c>
      <c r="D24" s="112"/>
      <c r="E24" s="113"/>
      <c r="F24" s="114"/>
      <c r="G24" s="114"/>
      <c r="H24" s="114"/>
      <c r="I24" s="115"/>
      <c r="J24" s="113"/>
      <c r="K24" s="114"/>
      <c r="L24" s="114"/>
      <c r="M24" s="114"/>
      <c r="N24" s="115"/>
      <c r="O24" s="113"/>
      <c r="P24" s="114"/>
      <c r="Q24" s="114"/>
      <c r="R24" s="114"/>
      <c r="S24" s="115"/>
      <c r="T24" s="113"/>
      <c r="U24" s="114"/>
      <c r="V24" s="114"/>
      <c r="W24" s="114"/>
      <c r="X24" s="116"/>
      <c r="Y24" s="117" t="str">
        <f t="shared" si="1"/>
        <v>-</v>
      </c>
    </row>
    <row r="25" ht="15.75" customHeight="1">
      <c r="A25" s="78">
        <v>22.0</v>
      </c>
      <c r="B25" s="37" t="str">
        <f>IF(Preenchimento!B31="","-",Preenchimento!B31)</f>
        <v>-</v>
      </c>
      <c r="C25" s="104" t="str">
        <f>IF(Preenchimento!D31="","-",Preenchimento!D31)</f>
        <v>-</v>
      </c>
      <c r="D25" s="105"/>
      <c r="E25" s="106"/>
      <c r="F25" s="107"/>
      <c r="G25" s="107"/>
      <c r="H25" s="107"/>
      <c r="I25" s="108"/>
      <c r="J25" s="106"/>
      <c r="K25" s="107"/>
      <c r="L25" s="107"/>
      <c r="M25" s="107"/>
      <c r="N25" s="108"/>
      <c r="O25" s="106"/>
      <c r="P25" s="107"/>
      <c r="Q25" s="107"/>
      <c r="R25" s="107"/>
      <c r="S25" s="108"/>
      <c r="T25" s="106"/>
      <c r="U25" s="107"/>
      <c r="V25" s="107"/>
      <c r="W25" s="107"/>
      <c r="X25" s="109"/>
      <c r="Y25" s="110" t="str">
        <f t="shared" si="1"/>
        <v>-</v>
      </c>
    </row>
    <row r="26" ht="15.75" customHeight="1">
      <c r="A26" s="78">
        <v>23.0</v>
      </c>
      <c r="B26" s="14" t="str">
        <f>IF(Preenchimento!B32="","-",Preenchimento!B32)</f>
        <v>-</v>
      </c>
      <c r="C26" s="111" t="str">
        <f>IF(Preenchimento!D32="","-",Preenchimento!D32)</f>
        <v>-</v>
      </c>
      <c r="D26" s="112"/>
      <c r="E26" s="113"/>
      <c r="F26" s="114"/>
      <c r="G26" s="114"/>
      <c r="H26" s="114"/>
      <c r="I26" s="115"/>
      <c r="J26" s="113"/>
      <c r="K26" s="114"/>
      <c r="L26" s="114"/>
      <c r="M26" s="114"/>
      <c r="N26" s="115"/>
      <c r="O26" s="113"/>
      <c r="P26" s="114"/>
      <c r="Q26" s="114"/>
      <c r="R26" s="114"/>
      <c r="S26" s="115"/>
      <c r="T26" s="113"/>
      <c r="U26" s="114"/>
      <c r="V26" s="114"/>
      <c r="W26" s="114"/>
      <c r="X26" s="116"/>
      <c r="Y26" s="117" t="str">
        <f t="shared" si="1"/>
        <v>-</v>
      </c>
    </row>
    <row r="27" ht="15.75" customHeight="1">
      <c r="A27" s="78">
        <v>24.0</v>
      </c>
      <c r="B27" s="37" t="str">
        <f>IF(Preenchimento!B33="","-",Preenchimento!B33)</f>
        <v>-</v>
      </c>
      <c r="C27" s="104" t="str">
        <f>IF(Preenchimento!D33="","-",Preenchimento!D33)</f>
        <v>-</v>
      </c>
      <c r="D27" s="105"/>
      <c r="E27" s="106"/>
      <c r="F27" s="107"/>
      <c r="G27" s="107"/>
      <c r="H27" s="107"/>
      <c r="I27" s="108"/>
      <c r="J27" s="106"/>
      <c r="K27" s="107"/>
      <c r="L27" s="107"/>
      <c r="M27" s="107"/>
      <c r="N27" s="108"/>
      <c r="O27" s="106"/>
      <c r="P27" s="107"/>
      <c r="Q27" s="107"/>
      <c r="R27" s="107"/>
      <c r="S27" s="108"/>
      <c r="T27" s="106"/>
      <c r="U27" s="107"/>
      <c r="V27" s="107"/>
      <c r="W27" s="107"/>
      <c r="X27" s="109"/>
      <c r="Y27" s="110" t="str">
        <f t="shared" si="1"/>
        <v>-</v>
      </c>
    </row>
    <row r="28" ht="15.75" customHeight="1">
      <c r="A28" s="78">
        <v>25.0</v>
      </c>
      <c r="B28" s="14" t="str">
        <f>IF(Preenchimento!B34="","-",Preenchimento!B34)</f>
        <v>-</v>
      </c>
      <c r="C28" s="111" t="str">
        <f>IF(Preenchimento!D34="","-",Preenchimento!D34)</f>
        <v>-</v>
      </c>
      <c r="D28" s="112"/>
      <c r="E28" s="113"/>
      <c r="F28" s="114"/>
      <c r="G28" s="114"/>
      <c r="H28" s="114"/>
      <c r="I28" s="115"/>
      <c r="J28" s="113"/>
      <c r="K28" s="114"/>
      <c r="L28" s="114"/>
      <c r="M28" s="114"/>
      <c r="N28" s="115"/>
      <c r="O28" s="113"/>
      <c r="P28" s="114"/>
      <c r="Q28" s="114"/>
      <c r="R28" s="114"/>
      <c r="S28" s="115"/>
      <c r="T28" s="113"/>
      <c r="U28" s="114"/>
      <c r="V28" s="114"/>
      <c r="W28" s="114"/>
      <c r="X28" s="116"/>
      <c r="Y28" s="117" t="str">
        <f t="shared" si="1"/>
        <v>-</v>
      </c>
    </row>
    <row r="29" ht="15.75" customHeight="1">
      <c r="A29" s="78">
        <v>26.0</v>
      </c>
      <c r="B29" s="37" t="str">
        <f>IF(Preenchimento!B35="","-",Preenchimento!B35)</f>
        <v>-</v>
      </c>
      <c r="C29" s="104" t="str">
        <f>IF(Preenchimento!D35="","-",Preenchimento!D35)</f>
        <v>-</v>
      </c>
      <c r="D29" s="105"/>
      <c r="E29" s="106"/>
      <c r="F29" s="107"/>
      <c r="G29" s="107"/>
      <c r="H29" s="107"/>
      <c r="I29" s="108"/>
      <c r="J29" s="106"/>
      <c r="K29" s="107"/>
      <c r="L29" s="107"/>
      <c r="M29" s="107"/>
      <c r="N29" s="108"/>
      <c r="O29" s="106"/>
      <c r="P29" s="107"/>
      <c r="Q29" s="107"/>
      <c r="R29" s="107"/>
      <c r="S29" s="108"/>
      <c r="T29" s="106"/>
      <c r="U29" s="107"/>
      <c r="V29" s="107"/>
      <c r="W29" s="107"/>
      <c r="X29" s="109"/>
      <c r="Y29" s="110" t="str">
        <f t="shared" si="1"/>
        <v>-</v>
      </c>
    </row>
    <row r="30" ht="15.75" customHeight="1">
      <c r="A30" s="78">
        <v>27.0</v>
      </c>
      <c r="B30" s="14" t="str">
        <f>IF(Preenchimento!B36="","-",Preenchimento!B36)</f>
        <v>-</v>
      </c>
      <c r="C30" s="111" t="str">
        <f>IF(Preenchimento!D36="","-",Preenchimento!D36)</f>
        <v>-</v>
      </c>
      <c r="D30" s="112"/>
      <c r="E30" s="113"/>
      <c r="F30" s="114"/>
      <c r="G30" s="114"/>
      <c r="H30" s="114"/>
      <c r="I30" s="115"/>
      <c r="J30" s="113"/>
      <c r="K30" s="114"/>
      <c r="L30" s="114"/>
      <c r="M30" s="114"/>
      <c r="N30" s="115"/>
      <c r="O30" s="113"/>
      <c r="P30" s="114"/>
      <c r="Q30" s="114"/>
      <c r="R30" s="114"/>
      <c r="S30" s="115"/>
      <c r="T30" s="113"/>
      <c r="U30" s="114"/>
      <c r="V30" s="114"/>
      <c r="W30" s="114"/>
      <c r="X30" s="116"/>
      <c r="Y30" s="117" t="str">
        <f t="shared" si="1"/>
        <v>-</v>
      </c>
    </row>
    <row r="31" ht="15.75" customHeight="1">
      <c r="A31" s="78">
        <v>28.0</v>
      </c>
      <c r="B31" s="37" t="str">
        <f>IF(Preenchimento!B37="","-",Preenchimento!B37)</f>
        <v>-</v>
      </c>
      <c r="C31" s="104" t="str">
        <f>IF(Preenchimento!D37="","-",Preenchimento!D37)</f>
        <v>-</v>
      </c>
      <c r="D31" s="105"/>
      <c r="E31" s="106"/>
      <c r="F31" s="107"/>
      <c r="G31" s="107"/>
      <c r="H31" s="107"/>
      <c r="I31" s="108"/>
      <c r="J31" s="106"/>
      <c r="K31" s="107"/>
      <c r="L31" s="107"/>
      <c r="M31" s="107"/>
      <c r="N31" s="108"/>
      <c r="O31" s="106"/>
      <c r="P31" s="107"/>
      <c r="Q31" s="107"/>
      <c r="R31" s="107"/>
      <c r="S31" s="108"/>
      <c r="T31" s="106"/>
      <c r="U31" s="107"/>
      <c r="V31" s="107"/>
      <c r="W31" s="107"/>
      <c r="X31" s="109"/>
      <c r="Y31" s="110" t="str">
        <f t="shared" si="1"/>
        <v>-</v>
      </c>
    </row>
    <row r="32" ht="15.75" customHeight="1">
      <c r="A32" s="78">
        <v>29.0</v>
      </c>
      <c r="B32" s="14" t="str">
        <f>IF(Preenchimento!B38="","-",Preenchimento!B38)</f>
        <v>-</v>
      </c>
      <c r="C32" s="111" t="str">
        <f>IF(Preenchimento!D38="","-",Preenchimento!D38)</f>
        <v>-</v>
      </c>
      <c r="D32" s="112"/>
      <c r="E32" s="113"/>
      <c r="F32" s="114"/>
      <c r="G32" s="114"/>
      <c r="H32" s="114"/>
      <c r="I32" s="115"/>
      <c r="J32" s="113"/>
      <c r="K32" s="114"/>
      <c r="L32" s="114"/>
      <c r="M32" s="114"/>
      <c r="N32" s="115"/>
      <c r="O32" s="113"/>
      <c r="P32" s="114"/>
      <c r="Q32" s="114"/>
      <c r="R32" s="114"/>
      <c r="S32" s="115"/>
      <c r="T32" s="113"/>
      <c r="U32" s="114"/>
      <c r="V32" s="114"/>
      <c r="W32" s="114"/>
      <c r="X32" s="116"/>
      <c r="Y32" s="117" t="str">
        <f t="shared" si="1"/>
        <v>-</v>
      </c>
    </row>
    <row r="33" ht="15.75" customHeight="1">
      <c r="A33" s="78">
        <v>30.0</v>
      </c>
      <c r="B33" s="37" t="str">
        <f>IF(Preenchimento!B39="","-",Preenchimento!B39)</f>
        <v>-</v>
      </c>
      <c r="C33" s="104" t="str">
        <f>IF(Preenchimento!D39="","-",Preenchimento!D39)</f>
        <v>-</v>
      </c>
      <c r="D33" s="105"/>
      <c r="E33" s="106"/>
      <c r="F33" s="107"/>
      <c r="G33" s="107"/>
      <c r="H33" s="107"/>
      <c r="I33" s="108"/>
      <c r="J33" s="106"/>
      <c r="K33" s="107"/>
      <c r="L33" s="107"/>
      <c r="M33" s="107"/>
      <c r="N33" s="108"/>
      <c r="O33" s="106"/>
      <c r="P33" s="107"/>
      <c r="Q33" s="107"/>
      <c r="R33" s="107"/>
      <c r="S33" s="108"/>
      <c r="T33" s="106"/>
      <c r="U33" s="107"/>
      <c r="V33" s="107"/>
      <c r="W33" s="107"/>
      <c r="X33" s="109"/>
      <c r="Y33" s="110" t="str">
        <f t="shared" si="1"/>
        <v>-</v>
      </c>
    </row>
    <row r="34" ht="15.75" customHeight="1">
      <c r="A34" s="78">
        <v>31.0</v>
      </c>
      <c r="B34" s="14" t="str">
        <f>IF(Preenchimento!B40="","-",Preenchimento!B40)</f>
        <v>-</v>
      </c>
      <c r="C34" s="111" t="str">
        <f>IF(Preenchimento!D40="","-",Preenchimento!D40)</f>
        <v>-</v>
      </c>
      <c r="D34" s="112"/>
      <c r="E34" s="113"/>
      <c r="F34" s="114"/>
      <c r="G34" s="114"/>
      <c r="H34" s="114"/>
      <c r="I34" s="115"/>
      <c r="J34" s="113"/>
      <c r="K34" s="114"/>
      <c r="L34" s="114"/>
      <c r="M34" s="114"/>
      <c r="N34" s="115"/>
      <c r="O34" s="113"/>
      <c r="P34" s="114"/>
      <c r="Q34" s="114"/>
      <c r="R34" s="114"/>
      <c r="S34" s="115"/>
      <c r="T34" s="113"/>
      <c r="U34" s="114"/>
      <c r="V34" s="114"/>
      <c r="W34" s="114"/>
      <c r="X34" s="116"/>
      <c r="Y34" s="117" t="str">
        <f t="shared" si="1"/>
        <v>-</v>
      </c>
    </row>
    <row r="35" ht="15.75" customHeight="1">
      <c r="A35" s="78">
        <v>32.0</v>
      </c>
      <c r="B35" s="37" t="str">
        <f>IF(Preenchimento!B41="","-",Preenchimento!B41)</f>
        <v>-</v>
      </c>
      <c r="C35" s="104" t="str">
        <f>IF(Preenchimento!D41="","-",Preenchimento!D41)</f>
        <v>-</v>
      </c>
      <c r="D35" s="105"/>
      <c r="E35" s="106"/>
      <c r="F35" s="107"/>
      <c r="G35" s="107"/>
      <c r="H35" s="107"/>
      <c r="I35" s="108"/>
      <c r="J35" s="106"/>
      <c r="K35" s="107"/>
      <c r="L35" s="107"/>
      <c r="M35" s="107"/>
      <c r="N35" s="108"/>
      <c r="O35" s="106"/>
      <c r="P35" s="107"/>
      <c r="Q35" s="107"/>
      <c r="R35" s="107"/>
      <c r="S35" s="108"/>
      <c r="T35" s="106"/>
      <c r="U35" s="107"/>
      <c r="V35" s="107"/>
      <c r="W35" s="107"/>
      <c r="X35" s="109"/>
      <c r="Y35" s="110" t="str">
        <f t="shared" si="1"/>
        <v>-</v>
      </c>
    </row>
    <row r="36" ht="15.75" customHeight="1">
      <c r="A36" s="78">
        <v>33.0</v>
      </c>
      <c r="B36" s="14" t="str">
        <f>IF(Preenchimento!B42="","-",Preenchimento!B42)</f>
        <v>-</v>
      </c>
      <c r="C36" s="111" t="str">
        <f>IF(Preenchimento!D42="","-",Preenchimento!D42)</f>
        <v>-</v>
      </c>
      <c r="D36" s="112"/>
      <c r="E36" s="113"/>
      <c r="F36" s="114"/>
      <c r="G36" s="114"/>
      <c r="H36" s="114"/>
      <c r="I36" s="115"/>
      <c r="J36" s="113"/>
      <c r="K36" s="114"/>
      <c r="L36" s="114"/>
      <c r="M36" s="114"/>
      <c r="N36" s="115"/>
      <c r="O36" s="113"/>
      <c r="P36" s="114"/>
      <c r="Q36" s="114"/>
      <c r="R36" s="114"/>
      <c r="S36" s="115"/>
      <c r="T36" s="113"/>
      <c r="U36" s="114"/>
      <c r="V36" s="114"/>
      <c r="W36" s="114"/>
      <c r="X36" s="116"/>
      <c r="Y36" s="117" t="str">
        <f t="shared" si="1"/>
        <v>-</v>
      </c>
    </row>
    <row r="37" ht="15.75" customHeight="1">
      <c r="A37" s="78">
        <v>34.0</v>
      </c>
      <c r="B37" s="37" t="str">
        <f>IF(Preenchimento!B43="","-",Preenchimento!B43)</f>
        <v>-</v>
      </c>
      <c r="C37" s="104" t="str">
        <f>IF(Preenchimento!D43="","-",Preenchimento!D43)</f>
        <v>-</v>
      </c>
      <c r="D37" s="105"/>
      <c r="E37" s="106"/>
      <c r="F37" s="107"/>
      <c r="G37" s="107"/>
      <c r="H37" s="107"/>
      <c r="I37" s="108"/>
      <c r="J37" s="106"/>
      <c r="K37" s="107"/>
      <c r="L37" s="107"/>
      <c r="M37" s="107"/>
      <c r="N37" s="108"/>
      <c r="O37" s="106"/>
      <c r="P37" s="107"/>
      <c r="Q37" s="107"/>
      <c r="R37" s="107"/>
      <c r="S37" s="108"/>
      <c r="T37" s="106"/>
      <c r="U37" s="107"/>
      <c r="V37" s="107"/>
      <c r="W37" s="107"/>
      <c r="X37" s="109"/>
      <c r="Y37" s="110" t="str">
        <f t="shared" si="1"/>
        <v>-</v>
      </c>
    </row>
    <row r="38" ht="15.75" customHeight="1">
      <c r="A38" s="78">
        <v>35.0</v>
      </c>
      <c r="B38" s="14" t="str">
        <f>IF(Preenchimento!B44="","-",Preenchimento!B44)</f>
        <v>-</v>
      </c>
      <c r="C38" s="111" t="str">
        <f>IF(Preenchimento!D44="","-",Preenchimento!D44)</f>
        <v>-</v>
      </c>
      <c r="D38" s="112"/>
      <c r="E38" s="113"/>
      <c r="F38" s="114"/>
      <c r="G38" s="114"/>
      <c r="H38" s="114"/>
      <c r="I38" s="115"/>
      <c r="J38" s="113"/>
      <c r="K38" s="114"/>
      <c r="L38" s="114"/>
      <c r="M38" s="114"/>
      <c r="N38" s="115"/>
      <c r="O38" s="113"/>
      <c r="P38" s="114"/>
      <c r="Q38" s="114"/>
      <c r="R38" s="114"/>
      <c r="S38" s="115"/>
      <c r="T38" s="113"/>
      <c r="U38" s="114"/>
      <c r="V38" s="114"/>
      <c r="W38" s="114"/>
      <c r="X38" s="116"/>
      <c r="Y38" s="117" t="str">
        <f t="shared" si="1"/>
        <v>-</v>
      </c>
    </row>
    <row r="39" ht="15.75" customHeight="1">
      <c r="A39" s="78">
        <v>36.0</v>
      </c>
      <c r="B39" s="37" t="str">
        <f>IF(Preenchimento!B45="","-",Preenchimento!B45)</f>
        <v>-</v>
      </c>
      <c r="C39" s="104" t="str">
        <f>IF(Preenchimento!D45="","-",Preenchimento!D45)</f>
        <v>-</v>
      </c>
      <c r="D39" s="105"/>
      <c r="E39" s="106"/>
      <c r="F39" s="107"/>
      <c r="G39" s="107"/>
      <c r="H39" s="107"/>
      <c r="I39" s="108"/>
      <c r="J39" s="106"/>
      <c r="K39" s="107"/>
      <c r="L39" s="107"/>
      <c r="M39" s="107"/>
      <c r="N39" s="108"/>
      <c r="O39" s="106"/>
      <c r="P39" s="107"/>
      <c r="Q39" s="107"/>
      <c r="R39" s="107"/>
      <c r="S39" s="108"/>
      <c r="T39" s="106"/>
      <c r="U39" s="107"/>
      <c r="V39" s="107"/>
      <c r="W39" s="107"/>
      <c r="X39" s="109"/>
      <c r="Y39" s="110" t="str">
        <f t="shared" si="1"/>
        <v>-</v>
      </c>
    </row>
    <row r="40" ht="15.75" customHeight="1">
      <c r="A40" s="78">
        <v>37.0</v>
      </c>
      <c r="B40" s="14" t="str">
        <f>IF(Preenchimento!B46="","-",Preenchimento!B46)</f>
        <v>-</v>
      </c>
      <c r="C40" s="111" t="str">
        <f>IF(Preenchimento!D46="","-",Preenchimento!D46)</f>
        <v>-</v>
      </c>
      <c r="D40" s="112"/>
      <c r="E40" s="113"/>
      <c r="F40" s="114"/>
      <c r="G40" s="114"/>
      <c r="H40" s="114"/>
      <c r="I40" s="115"/>
      <c r="J40" s="113"/>
      <c r="K40" s="114"/>
      <c r="L40" s="114"/>
      <c r="M40" s="114"/>
      <c r="N40" s="115"/>
      <c r="O40" s="113"/>
      <c r="P40" s="114"/>
      <c r="Q40" s="114"/>
      <c r="R40" s="114"/>
      <c r="S40" s="115"/>
      <c r="T40" s="113"/>
      <c r="U40" s="114"/>
      <c r="V40" s="114"/>
      <c r="W40" s="114"/>
      <c r="X40" s="116"/>
      <c r="Y40" s="117" t="str">
        <f t="shared" si="1"/>
        <v>-</v>
      </c>
    </row>
    <row r="41" ht="15.75" customHeight="1">
      <c r="A41" s="78">
        <v>38.0</v>
      </c>
      <c r="B41" s="37" t="str">
        <f>IF(Preenchimento!B47="","-",Preenchimento!B47)</f>
        <v>-</v>
      </c>
      <c r="C41" s="104" t="str">
        <f>IF(Preenchimento!D47="","-",Preenchimento!D47)</f>
        <v>-</v>
      </c>
      <c r="D41" s="105"/>
      <c r="E41" s="106"/>
      <c r="F41" s="107"/>
      <c r="G41" s="107"/>
      <c r="H41" s="107"/>
      <c r="I41" s="108"/>
      <c r="J41" s="106"/>
      <c r="K41" s="107"/>
      <c r="L41" s="107"/>
      <c r="M41" s="107"/>
      <c r="N41" s="108"/>
      <c r="O41" s="106"/>
      <c r="P41" s="107"/>
      <c r="Q41" s="107"/>
      <c r="R41" s="107"/>
      <c r="S41" s="108"/>
      <c r="T41" s="106"/>
      <c r="U41" s="107"/>
      <c r="V41" s="107"/>
      <c r="W41" s="107"/>
      <c r="X41" s="109"/>
      <c r="Y41" s="110" t="str">
        <f t="shared" si="1"/>
        <v>-</v>
      </c>
    </row>
    <row r="42" ht="15.75" customHeight="1">
      <c r="A42" s="78">
        <v>39.0</v>
      </c>
      <c r="B42" s="14" t="str">
        <f>IF(Preenchimento!B48="","-",Preenchimento!B48)</f>
        <v>-</v>
      </c>
      <c r="C42" s="111" t="str">
        <f>IF(Preenchimento!D48="","-",Preenchimento!D48)</f>
        <v>-</v>
      </c>
      <c r="D42" s="112"/>
      <c r="E42" s="113"/>
      <c r="F42" s="114"/>
      <c r="G42" s="114"/>
      <c r="H42" s="114"/>
      <c r="I42" s="115"/>
      <c r="J42" s="113"/>
      <c r="K42" s="114"/>
      <c r="L42" s="114"/>
      <c r="M42" s="114"/>
      <c r="N42" s="115"/>
      <c r="O42" s="113"/>
      <c r="P42" s="114"/>
      <c r="Q42" s="114"/>
      <c r="R42" s="114"/>
      <c r="S42" s="115"/>
      <c r="T42" s="113"/>
      <c r="U42" s="114"/>
      <c r="V42" s="114"/>
      <c r="W42" s="114"/>
      <c r="X42" s="116"/>
      <c r="Y42" s="117" t="str">
        <f t="shared" si="1"/>
        <v>-</v>
      </c>
    </row>
    <row r="43" ht="15.75" customHeight="1">
      <c r="A43" s="78">
        <v>40.0</v>
      </c>
      <c r="B43" s="37" t="str">
        <f>IF(Preenchimento!B49="","-",Preenchimento!B49)</f>
        <v>-</v>
      </c>
      <c r="C43" s="104" t="str">
        <f>IF(Preenchimento!D49="","-",Preenchimento!D49)</f>
        <v>-</v>
      </c>
      <c r="D43" s="105"/>
      <c r="E43" s="106"/>
      <c r="F43" s="107"/>
      <c r="G43" s="107"/>
      <c r="H43" s="107"/>
      <c r="I43" s="108"/>
      <c r="J43" s="106"/>
      <c r="K43" s="107"/>
      <c r="L43" s="107"/>
      <c r="M43" s="107"/>
      <c r="N43" s="108"/>
      <c r="O43" s="106"/>
      <c r="P43" s="107"/>
      <c r="Q43" s="107"/>
      <c r="R43" s="107"/>
      <c r="S43" s="108"/>
      <c r="T43" s="106"/>
      <c r="U43" s="107"/>
      <c r="V43" s="107"/>
      <c r="W43" s="107"/>
      <c r="X43" s="109"/>
      <c r="Y43" s="110" t="str">
        <f t="shared" si="1"/>
        <v>-</v>
      </c>
    </row>
    <row r="44" ht="15.75" customHeight="1">
      <c r="A44" s="78">
        <v>41.0</v>
      </c>
      <c r="B44" s="14" t="str">
        <f>IF(Preenchimento!B50="","-",Preenchimento!B50)</f>
        <v>-</v>
      </c>
      <c r="C44" s="111" t="str">
        <f>IF(Preenchimento!D50="","-",Preenchimento!D50)</f>
        <v>-</v>
      </c>
      <c r="D44" s="112"/>
      <c r="E44" s="113"/>
      <c r="F44" s="114"/>
      <c r="G44" s="114"/>
      <c r="H44" s="114"/>
      <c r="I44" s="115"/>
      <c r="J44" s="113"/>
      <c r="K44" s="114"/>
      <c r="L44" s="114"/>
      <c r="M44" s="114"/>
      <c r="N44" s="115"/>
      <c r="O44" s="113"/>
      <c r="P44" s="114"/>
      <c r="Q44" s="114"/>
      <c r="R44" s="114"/>
      <c r="S44" s="115"/>
      <c r="T44" s="113"/>
      <c r="U44" s="114"/>
      <c r="V44" s="114"/>
      <c r="W44" s="114"/>
      <c r="X44" s="116"/>
      <c r="Y44" s="117" t="str">
        <f t="shared" si="1"/>
        <v>-</v>
      </c>
    </row>
    <row r="45" ht="15.75" customHeight="1">
      <c r="A45" s="78">
        <v>42.0</v>
      </c>
      <c r="B45" s="37" t="str">
        <f>IF(Preenchimento!B51="","-",Preenchimento!B51)</f>
        <v>-</v>
      </c>
      <c r="C45" s="104" t="str">
        <f>IF(Preenchimento!D51="","-",Preenchimento!D51)</f>
        <v>-</v>
      </c>
      <c r="D45" s="105"/>
      <c r="E45" s="106"/>
      <c r="F45" s="107"/>
      <c r="G45" s="107"/>
      <c r="H45" s="107"/>
      <c r="I45" s="108"/>
      <c r="J45" s="106"/>
      <c r="K45" s="107"/>
      <c r="L45" s="107"/>
      <c r="M45" s="107"/>
      <c r="N45" s="108"/>
      <c r="O45" s="106"/>
      <c r="P45" s="107"/>
      <c r="Q45" s="107"/>
      <c r="R45" s="107"/>
      <c r="S45" s="108"/>
      <c r="T45" s="106"/>
      <c r="U45" s="107"/>
      <c r="V45" s="107"/>
      <c r="W45" s="107"/>
      <c r="X45" s="109"/>
      <c r="Y45" s="110" t="str">
        <f t="shared" si="1"/>
        <v>-</v>
      </c>
    </row>
    <row r="46" ht="15.75" customHeight="1">
      <c r="A46" s="78">
        <v>43.0</v>
      </c>
      <c r="B46" s="14" t="str">
        <f>IF(Preenchimento!B52="","-",Preenchimento!B52)</f>
        <v>-</v>
      </c>
      <c r="C46" s="111" t="str">
        <f>IF(Preenchimento!D52="","-",Preenchimento!D52)</f>
        <v>-</v>
      </c>
      <c r="D46" s="112"/>
      <c r="E46" s="113"/>
      <c r="F46" s="114"/>
      <c r="G46" s="114"/>
      <c r="H46" s="114"/>
      <c r="I46" s="115"/>
      <c r="J46" s="113"/>
      <c r="K46" s="114"/>
      <c r="L46" s="114"/>
      <c r="M46" s="114"/>
      <c r="N46" s="115"/>
      <c r="O46" s="113"/>
      <c r="P46" s="114"/>
      <c r="Q46" s="114"/>
      <c r="R46" s="114"/>
      <c r="S46" s="115"/>
      <c r="T46" s="113"/>
      <c r="U46" s="114"/>
      <c r="V46" s="114"/>
      <c r="W46" s="114"/>
      <c r="X46" s="116"/>
      <c r="Y46" s="117" t="str">
        <f t="shared" si="1"/>
        <v>-</v>
      </c>
    </row>
    <row r="47" ht="15.75" customHeight="1">
      <c r="A47" s="78">
        <v>44.0</v>
      </c>
      <c r="B47" s="37" t="str">
        <f>IF(Preenchimento!B53="","-",Preenchimento!B53)</f>
        <v>-</v>
      </c>
      <c r="C47" s="104" t="str">
        <f>IF(Preenchimento!D53="","-",Preenchimento!D53)</f>
        <v>-</v>
      </c>
      <c r="D47" s="105"/>
      <c r="E47" s="106"/>
      <c r="F47" s="107"/>
      <c r="G47" s="107"/>
      <c r="H47" s="107"/>
      <c r="I47" s="108"/>
      <c r="J47" s="106"/>
      <c r="K47" s="107"/>
      <c r="L47" s="107"/>
      <c r="M47" s="107"/>
      <c r="N47" s="108"/>
      <c r="O47" s="106"/>
      <c r="P47" s="107"/>
      <c r="Q47" s="107"/>
      <c r="R47" s="107"/>
      <c r="S47" s="108"/>
      <c r="T47" s="106"/>
      <c r="U47" s="107"/>
      <c r="V47" s="107"/>
      <c r="W47" s="107"/>
      <c r="X47" s="109"/>
      <c r="Y47" s="110" t="str">
        <f t="shared" si="1"/>
        <v>-</v>
      </c>
    </row>
    <row r="48" ht="15.75" customHeight="1">
      <c r="A48" s="78">
        <v>45.0</v>
      </c>
      <c r="B48" s="14" t="str">
        <f>IF(Preenchimento!B54="","-",Preenchimento!B54)</f>
        <v>-</v>
      </c>
      <c r="C48" s="111" t="str">
        <f>IF(Preenchimento!D54="","-",Preenchimento!D54)</f>
        <v>-</v>
      </c>
      <c r="D48" s="112"/>
      <c r="E48" s="113"/>
      <c r="F48" s="114"/>
      <c r="G48" s="114"/>
      <c r="H48" s="114"/>
      <c r="I48" s="115"/>
      <c r="J48" s="113"/>
      <c r="K48" s="114"/>
      <c r="L48" s="114"/>
      <c r="M48" s="114"/>
      <c r="N48" s="115"/>
      <c r="O48" s="113"/>
      <c r="P48" s="114"/>
      <c r="Q48" s="114"/>
      <c r="R48" s="114"/>
      <c r="S48" s="115"/>
      <c r="T48" s="113"/>
      <c r="U48" s="114"/>
      <c r="V48" s="114"/>
      <c r="W48" s="114"/>
      <c r="X48" s="116"/>
      <c r="Y48" s="117" t="str">
        <f t="shared" si="1"/>
        <v>-</v>
      </c>
    </row>
    <row r="49" ht="15.75" customHeight="1">
      <c r="A49" s="78">
        <v>46.0</v>
      </c>
      <c r="B49" s="37" t="str">
        <f>IF(Preenchimento!B55="","-",Preenchimento!B55)</f>
        <v>-</v>
      </c>
      <c r="C49" s="104" t="str">
        <f>IF(Preenchimento!D55="","-",Preenchimento!D55)</f>
        <v>-</v>
      </c>
      <c r="D49" s="105"/>
      <c r="E49" s="106"/>
      <c r="F49" s="107"/>
      <c r="G49" s="107"/>
      <c r="H49" s="107"/>
      <c r="I49" s="108"/>
      <c r="J49" s="106"/>
      <c r="K49" s="107"/>
      <c r="L49" s="107"/>
      <c r="M49" s="107"/>
      <c r="N49" s="108"/>
      <c r="O49" s="106"/>
      <c r="P49" s="107"/>
      <c r="Q49" s="107"/>
      <c r="R49" s="107"/>
      <c r="S49" s="108"/>
      <c r="T49" s="106"/>
      <c r="U49" s="107"/>
      <c r="V49" s="107"/>
      <c r="W49" s="107"/>
      <c r="X49" s="109"/>
      <c r="Y49" s="110" t="str">
        <f t="shared" si="1"/>
        <v>-</v>
      </c>
    </row>
    <row r="50" ht="15.75" customHeight="1">
      <c r="A50" s="78">
        <v>47.0</v>
      </c>
      <c r="B50" s="14" t="str">
        <f>IF(Preenchimento!B56="","-",Preenchimento!B56)</f>
        <v>-</v>
      </c>
      <c r="C50" s="111" t="str">
        <f>IF(Preenchimento!D56="","-",Preenchimento!D56)</f>
        <v>-</v>
      </c>
      <c r="D50" s="112"/>
      <c r="E50" s="113"/>
      <c r="F50" s="114"/>
      <c r="G50" s="114"/>
      <c r="H50" s="114"/>
      <c r="I50" s="115"/>
      <c r="J50" s="113"/>
      <c r="K50" s="114"/>
      <c r="L50" s="114"/>
      <c r="M50" s="114"/>
      <c r="N50" s="115"/>
      <c r="O50" s="113"/>
      <c r="P50" s="114"/>
      <c r="Q50" s="114"/>
      <c r="R50" s="114"/>
      <c r="S50" s="115"/>
      <c r="T50" s="113"/>
      <c r="U50" s="114"/>
      <c r="V50" s="114"/>
      <c r="W50" s="114"/>
      <c r="X50" s="116"/>
      <c r="Y50" s="117" t="str">
        <f t="shared" si="1"/>
        <v>-</v>
      </c>
    </row>
    <row r="51" ht="15.75" customHeight="1">
      <c r="A51" s="78">
        <v>48.0</v>
      </c>
      <c r="B51" s="37" t="str">
        <f>IF(Preenchimento!B57="","-",Preenchimento!B57)</f>
        <v>-</v>
      </c>
      <c r="C51" s="104" t="str">
        <f>IF(Preenchimento!D57="","-",Preenchimento!D57)</f>
        <v>-</v>
      </c>
      <c r="D51" s="105"/>
      <c r="E51" s="106"/>
      <c r="F51" s="107"/>
      <c r="G51" s="107"/>
      <c r="H51" s="107"/>
      <c r="I51" s="108"/>
      <c r="J51" s="106"/>
      <c r="K51" s="107"/>
      <c r="L51" s="107"/>
      <c r="M51" s="107"/>
      <c r="N51" s="108"/>
      <c r="O51" s="106"/>
      <c r="P51" s="107"/>
      <c r="Q51" s="107"/>
      <c r="R51" s="107"/>
      <c r="S51" s="108"/>
      <c r="T51" s="106"/>
      <c r="U51" s="107"/>
      <c r="V51" s="107"/>
      <c r="W51" s="107"/>
      <c r="X51" s="109"/>
      <c r="Y51" s="110" t="str">
        <f t="shared" si="1"/>
        <v>-</v>
      </c>
    </row>
    <row r="52" ht="15.75" customHeight="1">
      <c r="A52" s="78">
        <v>49.0</v>
      </c>
      <c r="B52" s="14" t="str">
        <f>IF(Preenchimento!B58="","-",Preenchimento!B58)</f>
        <v>-</v>
      </c>
      <c r="C52" s="111" t="str">
        <f>IF(Preenchimento!D58="","-",Preenchimento!D58)</f>
        <v>-</v>
      </c>
      <c r="D52" s="112"/>
      <c r="E52" s="113"/>
      <c r="F52" s="114"/>
      <c r="G52" s="114"/>
      <c r="H52" s="114"/>
      <c r="I52" s="115"/>
      <c r="J52" s="113"/>
      <c r="K52" s="114"/>
      <c r="L52" s="114"/>
      <c r="M52" s="114"/>
      <c r="N52" s="115"/>
      <c r="O52" s="113"/>
      <c r="P52" s="114"/>
      <c r="Q52" s="114"/>
      <c r="R52" s="114"/>
      <c r="S52" s="115"/>
      <c r="T52" s="113"/>
      <c r="U52" s="114"/>
      <c r="V52" s="114"/>
      <c r="W52" s="114"/>
      <c r="X52" s="116"/>
      <c r="Y52" s="117" t="str">
        <f t="shared" si="1"/>
        <v>-</v>
      </c>
    </row>
    <row r="53" ht="15.75" customHeight="1">
      <c r="A53" s="78">
        <v>50.0</v>
      </c>
      <c r="B53" s="51" t="str">
        <f>IF(Preenchimento!B59="","-",Preenchimento!B59)</f>
        <v>-</v>
      </c>
      <c r="C53" s="118" t="str">
        <f>IF(Preenchimento!D59="","-",Preenchimento!D59)</f>
        <v>-</v>
      </c>
      <c r="D53" s="119"/>
      <c r="E53" s="120"/>
      <c r="F53" s="107"/>
      <c r="G53" s="107"/>
      <c r="H53" s="107"/>
      <c r="I53" s="121"/>
      <c r="J53" s="120"/>
      <c r="K53" s="122"/>
      <c r="L53" s="122"/>
      <c r="M53" s="122"/>
      <c r="N53" s="121"/>
      <c r="O53" s="120"/>
      <c r="P53" s="122"/>
      <c r="Q53" s="122"/>
      <c r="R53" s="122"/>
      <c r="S53" s="121"/>
      <c r="T53" s="120"/>
      <c r="U53" s="122"/>
      <c r="V53" s="122"/>
      <c r="W53" s="122"/>
      <c r="X53" s="123"/>
      <c r="Y53" s="124" t="str">
        <f t="shared" si="1"/>
        <v>-</v>
      </c>
    </row>
    <row r="54" ht="15.75" customHeight="1">
      <c r="A54" s="78">
        <v>51.0</v>
      </c>
      <c r="B54" s="14" t="str">
        <f>IF(Preenchimento!B60="","-",Preenchimento!B60)</f>
        <v>-</v>
      </c>
      <c r="C54" s="92" t="str">
        <f>IF(Preenchimento!D60="","-",Preenchimento!D60)</f>
        <v>-</v>
      </c>
      <c r="D54" s="93"/>
      <c r="E54" s="125"/>
      <c r="F54" s="125"/>
      <c r="G54" s="125"/>
      <c r="H54" s="125"/>
      <c r="I54" s="125"/>
      <c r="J54" s="125"/>
      <c r="K54" s="125"/>
      <c r="L54" s="126"/>
      <c r="M54" s="126"/>
      <c r="N54" s="127"/>
      <c r="O54" s="125"/>
      <c r="P54" s="126"/>
      <c r="Q54" s="126"/>
      <c r="R54" s="126"/>
      <c r="S54" s="127"/>
      <c r="T54" s="125"/>
      <c r="U54" s="126"/>
      <c r="V54" s="126"/>
      <c r="W54" s="126"/>
      <c r="X54" s="127"/>
      <c r="Y54" s="84" t="str">
        <f t="shared" ref="Y54:Y103" si="2">IF(OR(D54="falta",D54=""),"-",IF(D54="presente", IF(SUM(E54:X54)/20=0,"-",SUM(E54:X54)/20),"-"))</f>
        <v>-</v>
      </c>
    </row>
    <row r="55" ht="15.75" customHeight="1">
      <c r="A55" s="78">
        <v>52.0</v>
      </c>
      <c r="B55" s="37" t="str">
        <f>IF(Preenchimento!B61="","-",Preenchimento!B61)</f>
        <v>-</v>
      </c>
      <c r="C55" s="98" t="str">
        <f>IF(Preenchimento!D61="","-",Preenchimento!D61)</f>
        <v>-</v>
      </c>
      <c r="D55" s="86"/>
      <c r="E55" s="87"/>
      <c r="F55" s="99"/>
      <c r="G55" s="99"/>
      <c r="H55" s="99"/>
      <c r="I55" s="90"/>
      <c r="J55" s="87"/>
      <c r="K55" s="99"/>
      <c r="L55" s="99"/>
      <c r="M55" s="99"/>
      <c r="N55" s="90"/>
      <c r="O55" s="87"/>
      <c r="P55" s="99"/>
      <c r="Q55" s="99"/>
      <c r="R55" s="99"/>
      <c r="S55" s="90"/>
      <c r="T55" s="87"/>
      <c r="U55" s="99"/>
      <c r="V55" s="99"/>
      <c r="W55" s="99"/>
      <c r="X55" s="128"/>
      <c r="Y55" s="91" t="str">
        <f t="shared" si="2"/>
        <v>-</v>
      </c>
    </row>
    <row r="56" ht="15.75" customHeight="1">
      <c r="A56" s="78">
        <v>53.0</v>
      </c>
      <c r="B56" s="14" t="str">
        <f>IF(Preenchimento!B62="","-",Preenchimento!B62)</f>
        <v>-</v>
      </c>
      <c r="C56" s="92" t="str">
        <f>IF(Preenchimento!D62="","-",Preenchimento!D62)</f>
        <v>-</v>
      </c>
      <c r="D56" s="93"/>
      <c r="E56" s="125"/>
      <c r="F56" s="126"/>
      <c r="G56" s="126"/>
      <c r="H56" s="126"/>
      <c r="I56" s="127"/>
      <c r="J56" s="125"/>
      <c r="K56" s="126"/>
      <c r="L56" s="126"/>
      <c r="M56" s="126"/>
      <c r="N56" s="127"/>
      <c r="O56" s="125"/>
      <c r="P56" s="126"/>
      <c r="Q56" s="126"/>
      <c r="R56" s="126"/>
      <c r="S56" s="127"/>
      <c r="T56" s="125"/>
      <c r="U56" s="126"/>
      <c r="V56" s="126"/>
      <c r="W56" s="126"/>
      <c r="X56" s="79"/>
      <c r="Y56" s="97" t="str">
        <f t="shared" si="2"/>
        <v>-</v>
      </c>
    </row>
    <row r="57" ht="15.75" customHeight="1">
      <c r="A57" s="78">
        <v>54.0</v>
      </c>
      <c r="B57" s="37" t="str">
        <f>IF(Preenchimento!B63="","-",Preenchimento!B63)</f>
        <v>-</v>
      </c>
      <c r="C57" s="98" t="str">
        <f>IF(Preenchimento!D63="","-",Preenchimento!D63)</f>
        <v>-</v>
      </c>
      <c r="D57" s="86"/>
      <c r="E57" s="87"/>
      <c r="F57" s="99"/>
      <c r="G57" s="99"/>
      <c r="H57" s="99"/>
      <c r="I57" s="90"/>
      <c r="J57" s="87"/>
      <c r="K57" s="99"/>
      <c r="L57" s="99"/>
      <c r="M57" s="99"/>
      <c r="N57" s="90"/>
      <c r="O57" s="87"/>
      <c r="P57" s="99"/>
      <c r="Q57" s="99"/>
      <c r="R57" s="99"/>
      <c r="S57" s="90"/>
      <c r="T57" s="87"/>
      <c r="U57" s="99"/>
      <c r="V57" s="99"/>
      <c r="W57" s="99"/>
      <c r="X57" s="85"/>
      <c r="Y57" s="91" t="str">
        <f t="shared" si="2"/>
        <v>-</v>
      </c>
    </row>
    <row r="58" ht="15.75" customHeight="1">
      <c r="A58" s="78">
        <v>55.0</v>
      </c>
      <c r="B58" s="14" t="str">
        <f>IF(Preenchimento!B64="","-",Preenchimento!B64)</f>
        <v>-</v>
      </c>
      <c r="C58" s="100" t="str">
        <f>IF(Preenchimento!D64="","-",Preenchimento!D64)</f>
        <v>-</v>
      </c>
      <c r="D58" s="101"/>
      <c r="E58" s="94"/>
      <c r="F58" s="95"/>
      <c r="G58" s="95"/>
      <c r="H58" s="95"/>
      <c r="I58" s="96"/>
      <c r="J58" s="94"/>
      <c r="K58" s="95"/>
      <c r="L58" s="95"/>
      <c r="M58" s="95"/>
      <c r="N58" s="96"/>
      <c r="O58" s="94"/>
      <c r="P58" s="95"/>
      <c r="Q58" s="95"/>
      <c r="R58" s="95"/>
      <c r="S58" s="96"/>
      <c r="T58" s="94"/>
      <c r="U58" s="95"/>
      <c r="V58" s="95"/>
      <c r="W58" s="95"/>
      <c r="X58" s="102"/>
      <c r="Y58" s="103" t="str">
        <f t="shared" si="2"/>
        <v>-</v>
      </c>
    </row>
    <row r="59" ht="15.75" customHeight="1">
      <c r="A59" s="78">
        <v>56.0</v>
      </c>
      <c r="B59" s="37" t="str">
        <f>IF(Preenchimento!B65="","-",Preenchimento!B65)</f>
        <v>-</v>
      </c>
      <c r="C59" s="104" t="str">
        <f>IF(Preenchimento!D65="","-",Preenchimento!D65)</f>
        <v>-</v>
      </c>
      <c r="D59" s="105"/>
      <c r="E59" s="106"/>
      <c r="F59" s="107"/>
      <c r="G59" s="107"/>
      <c r="H59" s="107"/>
      <c r="I59" s="108"/>
      <c r="J59" s="106"/>
      <c r="K59" s="107"/>
      <c r="L59" s="107"/>
      <c r="M59" s="107"/>
      <c r="N59" s="108"/>
      <c r="O59" s="106"/>
      <c r="P59" s="107"/>
      <c r="Q59" s="107"/>
      <c r="R59" s="107"/>
      <c r="S59" s="108"/>
      <c r="T59" s="106"/>
      <c r="U59" s="107"/>
      <c r="V59" s="107"/>
      <c r="W59" s="107"/>
      <c r="X59" s="109"/>
      <c r="Y59" s="110" t="str">
        <f t="shared" si="2"/>
        <v>-</v>
      </c>
    </row>
    <row r="60" ht="15.75" customHeight="1">
      <c r="A60" s="78">
        <v>57.0</v>
      </c>
      <c r="B60" s="14" t="str">
        <f>IF(Preenchimento!B66="","-",Preenchimento!B66)</f>
        <v>-</v>
      </c>
      <c r="C60" s="111" t="str">
        <f>IF(Preenchimento!D66="","-",Preenchimento!D66)</f>
        <v>-</v>
      </c>
      <c r="D60" s="112"/>
      <c r="E60" s="113"/>
      <c r="F60" s="114"/>
      <c r="G60" s="114"/>
      <c r="H60" s="114"/>
      <c r="I60" s="115"/>
      <c r="J60" s="113"/>
      <c r="K60" s="114"/>
      <c r="L60" s="114"/>
      <c r="M60" s="114"/>
      <c r="N60" s="115"/>
      <c r="O60" s="113"/>
      <c r="P60" s="114"/>
      <c r="Q60" s="114"/>
      <c r="R60" s="114"/>
      <c r="S60" s="115"/>
      <c r="T60" s="113"/>
      <c r="U60" s="114"/>
      <c r="V60" s="114"/>
      <c r="W60" s="114"/>
      <c r="X60" s="116"/>
      <c r="Y60" s="117" t="str">
        <f t="shared" si="2"/>
        <v>-</v>
      </c>
    </row>
    <row r="61" ht="15.75" customHeight="1">
      <c r="A61" s="78">
        <v>58.0</v>
      </c>
      <c r="B61" s="37" t="str">
        <f>IF(Preenchimento!B67="","-",Preenchimento!B67)</f>
        <v>-</v>
      </c>
      <c r="C61" s="104" t="str">
        <f>IF(Preenchimento!D67="","-",Preenchimento!D67)</f>
        <v>-</v>
      </c>
      <c r="D61" s="105"/>
      <c r="E61" s="106"/>
      <c r="F61" s="107"/>
      <c r="G61" s="107"/>
      <c r="H61" s="107"/>
      <c r="I61" s="108"/>
      <c r="J61" s="106"/>
      <c r="K61" s="107"/>
      <c r="L61" s="107"/>
      <c r="M61" s="107"/>
      <c r="N61" s="108"/>
      <c r="O61" s="106"/>
      <c r="P61" s="107"/>
      <c r="Q61" s="107"/>
      <c r="R61" s="107"/>
      <c r="S61" s="108"/>
      <c r="T61" s="106"/>
      <c r="U61" s="107"/>
      <c r="V61" s="107"/>
      <c r="W61" s="107"/>
      <c r="X61" s="109"/>
      <c r="Y61" s="110" t="str">
        <f t="shared" si="2"/>
        <v>-</v>
      </c>
    </row>
    <row r="62" ht="15.75" customHeight="1">
      <c r="A62" s="78">
        <v>59.0</v>
      </c>
      <c r="B62" s="14" t="str">
        <f>IF(Preenchimento!B68="","-",Preenchimento!B68)</f>
        <v>-</v>
      </c>
      <c r="C62" s="111" t="str">
        <f>IF(Preenchimento!D68="","-",Preenchimento!D68)</f>
        <v>-</v>
      </c>
      <c r="D62" s="112"/>
      <c r="E62" s="113"/>
      <c r="F62" s="114"/>
      <c r="G62" s="114"/>
      <c r="H62" s="114"/>
      <c r="I62" s="115"/>
      <c r="J62" s="113"/>
      <c r="K62" s="114"/>
      <c r="L62" s="114"/>
      <c r="M62" s="114"/>
      <c r="N62" s="115"/>
      <c r="O62" s="113"/>
      <c r="P62" s="114"/>
      <c r="Q62" s="114"/>
      <c r="R62" s="114"/>
      <c r="S62" s="115"/>
      <c r="T62" s="113"/>
      <c r="U62" s="114"/>
      <c r="V62" s="114"/>
      <c r="W62" s="114"/>
      <c r="X62" s="116"/>
      <c r="Y62" s="117" t="str">
        <f t="shared" si="2"/>
        <v>-</v>
      </c>
    </row>
    <row r="63" ht="15.75" customHeight="1">
      <c r="A63" s="78">
        <v>60.0</v>
      </c>
      <c r="B63" s="37" t="str">
        <f>IF(Preenchimento!B69="","-",Preenchimento!B69)</f>
        <v>-</v>
      </c>
      <c r="C63" s="104" t="str">
        <f>IF(Preenchimento!D69="","-",Preenchimento!D69)</f>
        <v>-</v>
      </c>
      <c r="D63" s="105"/>
      <c r="E63" s="106"/>
      <c r="F63" s="107"/>
      <c r="G63" s="107"/>
      <c r="H63" s="107"/>
      <c r="I63" s="108"/>
      <c r="J63" s="106"/>
      <c r="K63" s="107"/>
      <c r="L63" s="107"/>
      <c r="M63" s="107"/>
      <c r="N63" s="108"/>
      <c r="O63" s="106"/>
      <c r="P63" s="107"/>
      <c r="Q63" s="107"/>
      <c r="R63" s="107"/>
      <c r="S63" s="108"/>
      <c r="T63" s="106"/>
      <c r="U63" s="107"/>
      <c r="V63" s="107"/>
      <c r="W63" s="107"/>
      <c r="X63" s="109"/>
      <c r="Y63" s="110" t="str">
        <f t="shared" si="2"/>
        <v>-</v>
      </c>
    </row>
    <row r="64" ht="15.75" customHeight="1">
      <c r="A64" s="78">
        <v>61.0</v>
      </c>
      <c r="B64" s="14" t="str">
        <f>IF(Preenchimento!B70="","-",Preenchimento!B70)</f>
        <v>-</v>
      </c>
      <c r="C64" s="111" t="str">
        <f>IF(Preenchimento!D70="","-",Preenchimento!D70)</f>
        <v>-</v>
      </c>
      <c r="D64" s="112"/>
      <c r="E64" s="113"/>
      <c r="F64" s="114"/>
      <c r="G64" s="114"/>
      <c r="H64" s="114"/>
      <c r="I64" s="115"/>
      <c r="J64" s="113"/>
      <c r="K64" s="114"/>
      <c r="L64" s="114"/>
      <c r="M64" s="114"/>
      <c r="N64" s="115"/>
      <c r="O64" s="113"/>
      <c r="P64" s="114"/>
      <c r="Q64" s="114"/>
      <c r="R64" s="114"/>
      <c r="S64" s="115"/>
      <c r="T64" s="113"/>
      <c r="U64" s="114"/>
      <c r="V64" s="114"/>
      <c r="W64" s="114"/>
      <c r="X64" s="116"/>
      <c r="Y64" s="117" t="str">
        <f t="shared" si="2"/>
        <v>-</v>
      </c>
    </row>
    <row r="65" ht="15.75" customHeight="1">
      <c r="A65" s="78">
        <v>62.0</v>
      </c>
      <c r="B65" s="37" t="str">
        <f>IF(Preenchimento!B71="","-",Preenchimento!B71)</f>
        <v>-</v>
      </c>
      <c r="C65" s="104" t="str">
        <f>IF(Preenchimento!D71="","-",Preenchimento!D71)</f>
        <v>-</v>
      </c>
      <c r="D65" s="105"/>
      <c r="E65" s="106"/>
      <c r="F65" s="107"/>
      <c r="G65" s="107"/>
      <c r="H65" s="107"/>
      <c r="I65" s="108"/>
      <c r="J65" s="106"/>
      <c r="K65" s="107"/>
      <c r="L65" s="107"/>
      <c r="M65" s="107"/>
      <c r="N65" s="108"/>
      <c r="O65" s="106"/>
      <c r="P65" s="107"/>
      <c r="Q65" s="107"/>
      <c r="R65" s="107"/>
      <c r="S65" s="108"/>
      <c r="T65" s="106"/>
      <c r="U65" s="107"/>
      <c r="V65" s="107"/>
      <c r="W65" s="107"/>
      <c r="X65" s="109"/>
      <c r="Y65" s="110" t="str">
        <f t="shared" si="2"/>
        <v>-</v>
      </c>
    </row>
    <row r="66" ht="15.75" customHeight="1">
      <c r="A66" s="78">
        <v>63.0</v>
      </c>
      <c r="B66" s="14" t="str">
        <f>IF(Preenchimento!B72="","-",Preenchimento!B72)</f>
        <v>-</v>
      </c>
      <c r="C66" s="111" t="str">
        <f>IF(Preenchimento!D72="","-",Preenchimento!D72)</f>
        <v>-</v>
      </c>
      <c r="D66" s="112"/>
      <c r="E66" s="113"/>
      <c r="F66" s="114"/>
      <c r="G66" s="114"/>
      <c r="H66" s="114"/>
      <c r="I66" s="115"/>
      <c r="J66" s="113"/>
      <c r="K66" s="114"/>
      <c r="L66" s="114"/>
      <c r="M66" s="114"/>
      <c r="N66" s="115"/>
      <c r="O66" s="113"/>
      <c r="P66" s="114"/>
      <c r="Q66" s="114"/>
      <c r="R66" s="114"/>
      <c r="S66" s="115"/>
      <c r="T66" s="113"/>
      <c r="U66" s="114"/>
      <c r="V66" s="114"/>
      <c r="W66" s="114"/>
      <c r="X66" s="116"/>
      <c r="Y66" s="117" t="str">
        <f t="shared" si="2"/>
        <v>-</v>
      </c>
    </row>
    <row r="67" ht="15.75" customHeight="1">
      <c r="A67" s="78">
        <v>64.0</v>
      </c>
      <c r="B67" s="37" t="str">
        <f>IF(Preenchimento!B73="","-",Preenchimento!B73)</f>
        <v>-</v>
      </c>
      <c r="C67" s="104" t="str">
        <f>IF(Preenchimento!D73="","-",Preenchimento!D73)</f>
        <v>-</v>
      </c>
      <c r="D67" s="105"/>
      <c r="E67" s="106"/>
      <c r="F67" s="107"/>
      <c r="G67" s="107"/>
      <c r="H67" s="107"/>
      <c r="I67" s="108"/>
      <c r="J67" s="106"/>
      <c r="K67" s="107"/>
      <c r="L67" s="107"/>
      <c r="M67" s="107"/>
      <c r="N67" s="108"/>
      <c r="O67" s="106"/>
      <c r="P67" s="107"/>
      <c r="Q67" s="107"/>
      <c r="R67" s="107"/>
      <c r="S67" s="108"/>
      <c r="T67" s="106"/>
      <c r="U67" s="107"/>
      <c r="V67" s="107"/>
      <c r="W67" s="107"/>
      <c r="X67" s="109"/>
      <c r="Y67" s="110" t="str">
        <f t="shared" si="2"/>
        <v>-</v>
      </c>
    </row>
    <row r="68" ht="15.75" customHeight="1">
      <c r="A68" s="78">
        <v>65.0</v>
      </c>
      <c r="B68" s="14" t="str">
        <f>IF(Preenchimento!B74="","-",Preenchimento!B74)</f>
        <v>-</v>
      </c>
      <c r="C68" s="111" t="str">
        <f>IF(Preenchimento!D74="","-",Preenchimento!D74)</f>
        <v>-</v>
      </c>
      <c r="D68" s="112"/>
      <c r="E68" s="113"/>
      <c r="F68" s="114"/>
      <c r="G68" s="114"/>
      <c r="H68" s="114"/>
      <c r="I68" s="115"/>
      <c r="J68" s="113"/>
      <c r="K68" s="114"/>
      <c r="L68" s="114"/>
      <c r="M68" s="114"/>
      <c r="N68" s="115"/>
      <c r="O68" s="113"/>
      <c r="P68" s="114"/>
      <c r="Q68" s="114"/>
      <c r="R68" s="114"/>
      <c r="S68" s="115"/>
      <c r="T68" s="113"/>
      <c r="U68" s="114"/>
      <c r="V68" s="114"/>
      <c r="W68" s="114"/>
      <c r="X68" s="116"/>
      <c r="Y68" s="117" t="str">
        <f t="shared" si="2"/>
        <v>-</v>
      </c>
    </row>
    <row r="69" ht="15.75" customHeight="1">
      <c r="A69" s="78">
        <v>66.0</v>
      </c>
      <c r="B69" s="37" t="str">
        <f>IF(Preenchimento!B75="","-",Preenchimento!B75)</f>
        <v>-</v>
      </c>
      <c r="C69" s="104" t="str">
        <f>IF(Preenchimento!D75="","-",Preenchimento!D75)</f>
        <v>-</v>
      </c>
      <c r="D69" s="105"/>
      <c r="E69" s="106"/>
      <c r="F69" s="107"/>
      <c r="G69" s="107"/>
      <c r="H69" s="107"/>
      <c r="I69" s="108"/>
      <c r="J69" s="106"/>
      <c r="K69" s="107"/>
      <c r="L69" s="107"/>
      <c r="M69" s="107"/>
      <c r="N69" s="108"/>
      <c r="O69" s="106"/>
      <c r="P69" s="107"/>
      <c r="Q69" s="107"/>
      <c r="R69" s="107"/>
      <c r="S69" s="108"/>
      <c r="T69" s="106"/>
      <c r="U69" s="107"/>
      <c r="V69" s="107"/>
      <c r="W69" s="107"/>
      <c r="X69" s="109"/>
      <c r="Y69" s="110" t="str">
        <f t="shared" si="2"/>
        <v>-</v>
      </c>
    </row>
    <row r="70" ht="15.75" customHeight="1">
      <c r="A70" s="78">
        <v>67.0</v>
      </c>
      <c r="B70" s="14" t="str">
        <f>IF(Preenchimento!B76="","-",Preenchimento!B76)</f>
        <v>-</v>
      </c>
      <c r="C70" s="111" t="str">
        <f>IF(Preenchimento!D76="","-",Preenchimento!D76)</f>
        <v>-</v>
      </c>
      <c r="D70" s="112"/>
      <c r="E70" s="113"/>
      <c r="F70" s="114"/>
      <c r="G70" s="114"/>
      <c r="H70" s="114"/>
      <c r="I70" s="115"/>
      <c r="J70" s="113"/>
      <c r="K70" s="114"/>
      <c r="L70" s="114"/>
      <c r="M70" s="114"/>
      <c r="N70" s="115"/>
      <c r="O70" s="113"/>
      <c r="P70" s="114"/>
      <c r="Q70" s="114"/>
      <c r="R70" s="114"/>
      <c r="S70" s="115"/>
      <c r="T70" s="113"/>
      <c r="U70" s="114"/>
      <c r="V70" s="114"/>
      <c r="W70" s="114"/>
      <c r="X70" s="116"/>
      <c r="Y70" s="117" t="str">
        <f t="shared" si="2"/>
        <v>-</v>
      </c>
    </row>
    <row r="71" ht="15.75" customHeight="1">
      <c r="A71" s="78">
        <v>68.0</v>
      </c>
      <c r="B71" s="37" t="str">
        <f>IF(Preenchimento!B77="","-",Preenchimento!B77)</f>
        <v>-</v>
      </c>
      <c r="C71" s="104" t="str">
        <f>IF(Preenchimento!D77="","-",Preenchimento!D77)</f>
        <v>-</v>
      </c>
      <c r="D71" s="105"/>
      <c r="E71" s="106"/>
      <c r="F71" s="107"/>
      <c r="G71" s="107"/>
      <c r="H71" s="107"/>
      <c r="I71" s="108"/>
      <c r="J71" s="106"/>
      <c r="K71" s="107"/>
      <c r="L71" s="107"/>
      <c r="M71" s="107"/>
      <c r="N71" s="108"/>
      <c r="O71" s="106"/>
      <c r="P71" s="107"/>
      <c r="Q71" s="107"/>
      <c r="R71" s="107"/>
      <c r="S71" s="108"/>
      <c r="T71" s="106"/>
      <c r="U71" s="107"/>
      <c r="V71" s="107"/>
      <c r="W71" s="107"/>
      <c r="X71" s="109"/>
      <c r="Y71" s="110" t="str">
        <f t="shared" si="2"/>
        <v>-</v>
      </c>
    </row>
    <row r="72" ht="15.75" customHeight="1">
      <c r="A72" s="78">
        <v>69.0</v>
      </c>
      <c r="B72" s="14" t="str">
        <f>IF(Preenchimento!B78="","-",Preenchimento!B78)</f>
        <v>-</v>
      </c>
      <c r="C72" s="111" t="str">
        <f>IF(Preenchimento!D78="","-",Preenchimento!D78)</f>
        <v>-</v>
      </c>
      <c r="D72" s="112"/>
      <c r="E72" s="113"/>
      <c r="F72" s="114"/>
      <c r="G72" s="114"/>
      <c r="H72" s="114"/>
      <c r="I72" s="115"/>
      <c r="J72" s="113"/>
      <c r="K72" s="114"/>
      <c r="L72" s="114"/>
      <c r="M72" s="114"/>
      <c r="N72" s="115"/>
      <c r="O72" s="113"/>
      <c r="P72" s="114"/>
      <c r="Q72" s="114"/>
      <c r="R72" s="114"/>
      <c r="S72" s="115"/>
      <c r="T72" s="113"/>
      <c r="U72" s="114"/>
      <c r="V72" s="114"/>
      <c r="W72" s="114"/>
      <c r="X72" s="116"/>
      <c r="Y72" s="117" t="str">
        <f t="shared" si="2"/>
        <v>-</v>
      </c>
    </row>
    <row r="73" ht="15.75" customHeight="1">
      <c r="A73" s="78">
        <v>70.0</v>
      </c>
      <c r="B73" s="37" t="str">
        <f>IF(Preenchimento!B79="","-",Preenchimento!B79)</f>
        <v>-</v>
      </c>
      <c r="C73" s="104" t="str">
        <f>IF(Preenchimento!D79="","-",Preenchimento!D79)</f>
        <v>-</v>
      </c>
      <c r="D73" s="105"/>
      <c r="E73" s="106"/>
      <c r="F73" s="107"/>
      <c r="G73" s="107"/>
      <c r="H73" s="107"/>
      <c r="I73" s="108"/>
      <c r="J73" s="106"/>
      <c r="K73" s="107"/>
      <c r="L73" s="107"/>
      <c r="M73" s="107"/>
      <c r="N73" s="108"/>
      <c r="O73" s="106"/>
      <c r="P73" s="107"/>
      <c r="Q73" s="107"/>
      <c r="R73" s="107"/>
      <c r="S73" s="108"/>
      <c r="T73" s="106"/>
      <c r="U73" s="107"/>
      <c r="V73" s="107"/>
      <c r="W73" s="107"/>
      <c r="X73" s="109"/>
      <c r="Y73" s="110" t="str">
        <f t="shared" si="2"/>
        <v>-</v>
      </c>
    </row>
    <row r="74" ht="15.75" customHeight="1">
      <c r="A74" s="78">
        <v>71.0</v>
      </c>
      <c r="B74" s="14" t="str">
        <f>IF(Preenchimento!B80="","-",Preenchimento!B80)</f>
        <v>-</v>
      </c>
      <c r="C74" s="111" t="str">
        <f>IF(Preenchimento!D80="","-",Preenchimento!D80)</f>
        <v>-</v>
      </c>
      <c r="D74" s="112"/>
      <c r="E74" s="113"/>
      <c r="F74" s="114"/>
      <c r="G74" s="114"/>
      <c r="H74" s="114"/>
      <c r="I74" s="115"/>
      <c r="J74" s="113"/>
      <c r="K74" s="114"/>
      <c r="L74" s="114"/>
      <c r="M74" s="114"/>
      <c r="N74" s="115"/>
      <c r="O74" s="113"/>
      <c r="P74" s="114"/>
      <c r="Q74" s="114"/>
      <c r="R74" s="114"/>
      <c r="S74" s="115"/>
      <c r="T74" s="113"/>
      <c r="U74" s="114"/>
      <c r="V74" s="114"/>
      <c r="W74" s="114"/>
      <c r="X74" s="116"/>
      <c r="Y74" s="117" t="str">
        <f t="shared" si="2"/>
        <v>-</v>
      </c>
    </row>
    <row r="75" ht="15.75" customHeight="1">
      <c r="A75" s="78">
        <v>72.0</v>
      </c>
      <c r="B75" s="37" t="str">
        <f>IF(Preenchimento!B81="","-",Preenchimento!B81)</f>
        <v>-</v>
      </c>
      <c r="C75" s="104" t="str">
        <f>IF(Preenchimento!D81="","-",Preenchimento!D81)</f>
        <v>-</v>
      </c>
      <c r="D75" s="105"/>
      <c r="E75" s="106"/>
      <c r="F75" s="107"/>
      <c r="G75" s="107"/>
      <c r="H75" s="107"/>
      <c r="I75" s="108"/>
      <c r="J75" s="106"/>
      <c r="K75" s="107"/>
      <c r="L75" s="107"/>
      <c r="M75" s="107"/>
      <c r="N75" s="108"/>
      <c r="O75" s="106"/>
      <c r="P75" s="107"/>
      <c r="Q75" s="107"/>
      <c r="R75" s="107"/>
      <c r="S75" s="108"/>
      <c r="T75" s="106"/>
      <c r="U75" s="107"/>
      <c r="V75" s="107"/>
      <c r="W75" s="107"/>
      <c r="X75" s="109"/>
      <c r="Y75" s="110" t="str">
        <f t="shared" si="2"/>
        <v>-</v>
      </c>
    </row>
    <row r="76" ht="15.75" customHeight="1">
      <c r="A76" s="78">
        <v>73.0</v>
      </c>
      <c r="B76" s="14" t="str">
        <f>IF(Preenchimento!B82="","-",Preenchimento!B82)</f>
        <v>-</v>
      </c>
      <c r="C76" s="111" t="str">
        <f>IF(Preenchimento!D82="","-",Preenchimento!D82)</f>
        <v>-</v>
      </c>
      <c r="D76" s="112"/>
      <c r="E76" s="113"/>
      <c r="F76" s="114"/>
      <c r="G76" s="114"/>
      <c r="H76" s="114"/>
      <c r="I76" s="115"/>
      <c r="J76" s="113"/>
      <c r="K76" s="114"/>
      <c r="L76" s="114"/>
      <c r="M76" s="114"/>
      <c r="N76" s="115"/>
      <c r="O76" s="113"/>
      <c r="P76" s="114"/>
      <c r="Q76" s="114"/>
      <c r="R76" s="114"/>
      <c r="S76" s="115"/>
      <c r="T76" s="113"/>
      <c r="U76" s="114"/>
      <c r="V76" s="114"/>
      <c r="W76" s="114"/>
      <c r="X76" s="116"/>
      <c r="Y76" s="117" t="str">
        <f t="shared" si="2"/>
        <v>-</v>
      </c>
    </row>
    <row r="77" ht="15.75" customHeight="1">
      <c r="A77" s="78">
        <v>74.0</v>
      </c>
      <c r="B77" s="37" t="str">
        <f>IF(Preenchimento!B83="","-",Preenchimento!B83)</f>
        <v>-</v>
      </c>
      <c r="C77" s="104" t="str">
        <f>IF(Preenchimento!D83="","-",Preenchimento!D83)</f>
        <v>-</v>
      </c>
      <c r="D77" s="105"/>
      <c r="E77" s="106"/>
      <c r="F77" s="107"/>
      <c r="G77" s="107"/>
      <c r="H77" s="107"/>
      <c r="I77" s="108"/>
      <c r="J77" s="106"/>
      <c r="K77" s="107"/>
      <c r="L77" s="107"/>
      <c r="M77" s="107"/>
      <c r="N77" s="108"/>
      <c r="O77" s="106"/>
      <c r="P77" s="107"/>
      <c r="Q77" s="107"/>
      <c r="R77" s="107"/>
      <c r="S77" s="108"/>
      <c r="T77" s="106"/>
      <c r="U77" s="107"/>
      <c r="V77" s="107"/>
      <c r="W77" s="107"/>
      <c r="X77" s="109"/>
      <c r="Y77" s="110" t="str">
        <f t="shared" si="2"/>
        <v>-</v>
      </c>
    </row>
    <row r="78" ht="15.75" customHeight="1">
      <c r="A78" s="78">
        <v>75.0</v>
      </c>
      <c r="B78" s="14" t="str">
        <f>IF(Preenchimento!B84="","-",Preenchimento!B84)</f>
        <v>-</v>
      </c>
      <c r="C78" s="111" t="str">
        <f>IF(Preenchimento!D84="","-",Preenchimento!D84)</f>
        <v>-</v>
      </c>
      <c r="D78" s="112"/>
      <c r="E78" s="113"/>
      <c r="F78" s="114"/>
      <c r="G78" s="114"/>
      <c r="H78" s="114"/>
      <c r="I78" s="115"/>
      <c r="J78" s="113"/>
      <c r="K78" s="114"/>
      <c r="L78" s="114"/>
      <c r="M78" s="114"/>
      <c r="N78" s="115"/>
      <c r="O78" s="113"/>
      <c r="P78" s="114"/>
      <c r="Q78" s="114"/>
      <c r="R78" s="114"/>
      <c r="S78" s="115"/>
      <c r="T78" s="113"/>
      <c r="U78" s="114"/>
      <c r="V78" s="114"/>
      <c r="W78" s="114"/>
      <c r="X78" s="116"/>
      <c r="Y78" s="117" t="str">
        <f t="shared" si="2"/>
        <v>-</v>
      </c>
    </row>
    <row r="79" ht="15.75" customHeight="1">
      <c r="A79" s="78">
        <v>81.0</v>
      </c>
      <c r="B79" s="37" t="str">
        <f>IF(Preenchimento!B85="","-",Preenchimento!B85)</f>
        <v>-</v>
      </c>
      <c r="C79" s="104" t="str">
        <f>IF(Preenchimento!D85="","-",Preenchimento!D85)</f>
        <v>-</v>
      </c>
      <c r="D79" s="105"/>
      <c r="E79" s="106"/>
      <c r="F79" s="107"/>
      <c r="G79" s="107"/>
      <c r="H79" s="107"/>
      <c r="I79" s="108"/>
      <c r="J79" s="106"/>
      <c r="K79" s="107"/>
      <c r="L79" s="107"/>
      <c r="M79" s="107"/>
      <c r="N79" s="108"/>
      <c r="O79" s="106"/>
      <c r="P79" s="107"/>
      <c r="Q79" s="107"/>
      <c r="R79" s="107"/>
      <c r="S79" s="108"/>
      <c r="T79" s="106"/>
      <c r="U79" s="107"/>
      <c r="V79" s="107"/>
      <c r="W79" s="107"/>
      <c r="X79" s="109"/>
      <c r="Y79" s="110" t="str">
        <f t="shared" si="2"/>
        <v>-</v>
      </c>
    </row>
    <row r="80" ht="15.75" customHeight="1">
      <c r="A80" s="78">
        <v>77.0</v>
      </c>
      <c r="B80" s="14" t="str">
        <f>IF(Preenchimento!B86="","-",Preenchimento!B86)</f>
        <v>-</v>
      </c>
      <c r="C80" s="111" t="str">
        <f>IF(Preenchimento!D86="","-",Preenchimento!D86)</f>
        <v>-</v>
      </c>
      <c r="D80" s="112"/>
      <c r="E80" s="113"/>
      <c r="F80" s="114"/>
      <c r="G80" s="114"/>
      <c r="H80" s="114"/>
      <c r="I80" s="115"/>
      <c r="J80" s="113"/>
      <c r="K80" s="114"/>
      <c r="L80" s="114"/>
      <c r="M80" s="114"/>
      <c r="N80" s="115"/>
      <c r="O80" s="113"/>
      <c r="P80" s="114"/>
      <c r="Q80" s="114"/>
      <c r="R80" s="114"/>
      <c r="S80" s="115"/>
      <c r="T80" s="113"/>
      <c r="U80" s="114"/>
      <c r="V80" s="114"/>
      <c r="W80" s="114"/>
      <c r="X80" s="116"/>
      <c r="Y80" s="117" t="str">
        <f t="shared" si="2"/>
        <v>-</v>
      </c>
    </row>
    <row r="81" ht="15.75" customHeight="1">
      <c r="A81" s="78">
        <v>78.0</v>
      </c>
      <c r="B81" s="37" t="str">
        <f>IF(Preenchimento!B87="","-",Preenchimento!B87)</f>
        <v>-</v>
      </c>
      <c r="C81" s="104" t="str">
        <f>IF(Preenchimento!D87="","-",Preenchimento!D87)</f>
        <v>-</v>
      </c>
      <c r="D81" s="105"/>
      <c r="E81" s="106"/>
      <c r="F81" s="107"/>
      <c r="G81" s="107"/>
      <c r="H81" s="107"/>
      <c r="I81" s="108"/>
      <c r="J81" s="106"/>
      <c r="K81" s="107"/>
      <c r="L81" s="107"/>
      <c r="M81" s="107"/>
      <c r="N81" s="108"/>
      <c r="O81" s="106"/>
      <c r="P81" s="107"/>
      <c r="Q81" s="107"/>
      <c r="R81" s="107"/>
      <c r="S81" s="108"/>
      <c r="T81" s="106"/>
      <c r="U81" s="107"/>
      <c r="V81" s="107"/>
      <c r="W81" s="107"/>
      <c r="X81" s="109"/>
      <c r="Y81" s="110" t="str">
        <f t="shared" si="2"/>
        <v>-</v>
      </c>
    </row>
    <row r="82" ht="15.75" customHeight="1">
      <c r="A82" s="78">
        <v>79.0</v>
      </c>
      <c r="B82" s="14" t="str">
        <f>IF(Preenchimento!B88="","-",Preenchimento!B88)</f>
        <v>-</v>
      </c>
      <c r="C82" s="111" t="str">
        <f>IF(Preenchimento!D88="","-",Preenchimento!D88)</f>
        <v>-</v>
      </c>
      <c r="D82" s="112"/>
      <c r="E82" s="113"/>
      <c r="F82" s="114"/>
      <c r="G82" s="114"/>
      <c r="H82" s="114"/>
      <c r="I82" s="115"/>
      <c r="J82" s="113"/>
      <c r="K82" s="114"/>
      <c r="L82" s="114"/>
      <c r="M82" s="114"/>
      <c r="N82" s="115"/>
      <c r="O82" s="113"/>
      <c r="P82" s="114"/>
      <c r="Q82" s="114"/>
      <c r="R82" s="114"/>
      <c r="S82" s="115"/>
      <c r="T82" s="113"/>
      <c r="U82" s="114"/>
      <c r="V82" s="114"/>
      <c r="W82" s="114"/>
      <c r="X82" s="116"/>
      <c r="Y82" s="117" t="str">
        <f t="shared" si="2"/>
        <v>-</v>
      </c>
    </row>
    <row r="83" ht="15.75" customHeight="1">
      <c r="A83" s="78">
        <v>80.0</v>
      </c>
      <c r="B83" s="37" t="str">
        <f>IF(Preenchimento!B89="","-",Preenchimento!B89)</f>
        <v>-</v>
      </c>
      <c r="C83" s="104" t="str">
        <f>IF(Preenchimento!D89="","-",Preenchimento!D89)</f>
        <v>-</v>
      </c>
      <c r="D83" s="105"/>
      <c r="E83" s="106"/>
      <c r="F83" s="107"/>
      <c r="G83" s="107"/>
      <c r="H83" s="107"/>
      <c r="I83" s="108"/>
      <c r="J83" s="106"/>
      <c r="K83" s="107"/>
      <c r="L83" s="107"/>
      <c r="M83" s="107"/>
      <c r="N83" s="108"/>
      <c r="O83" s="106"/>
      <c r="P83" s="107"/>
      <c r="Q83" s="107"/>
      <c r="R83" s="107"/>
      <c r="S83" s="108"/>
      <c r="T83" s="106"/>
      <c r="U83" s="107"/>
      <c r="V83" s="107"/>
      <c r="W83" s="107"/>
      <c r="X83" s="109"/>
      <c r="Y83" s="110" t="str">
        <f t="shared" si="2"/>
        <v>-</v>
      </c>
    </row>
    <row r="84" ht="15.75" customHeight="1">
      <c r="A84" s="78">
        <v>81.0</v>
      </c>
      <c r="B84" s="14" t="str">
        <f>IF(Preenchimento!B90="","-",Preenchimento!B90)</f>
        <v>-</v>
      </c>
      <c r="C84" s="111" t="str">
        <f>IF(Preenchimento!D90="","-",Preenchimento!D90)</f>
        <v>-</v>
      </c>
      <c r="D84" s="112"/>
      <c r="E84" s="113"/>
      <c r="F84" s="114"/>
      <c r="G84" s="114"/>
      <c r="H84" s="114"/>
      <c r="I84" s="115"/>
      <c r="J84" s="113"/>
      <c r="K84" s="114"/>
      <c r="L84" s="114"/>
      <c r="M84" s="114"/>
      <c r="N84" s="115"/>
      <c r="O84" s="113"/>
      <c r="P84" s="114"/>
      <c r="Q84" s="114"/>
      <c r="R84" s="114"/>
      <c r="S84" s="115"/>
      <c r="T84" s="113"/>
      <c r="U84" s="114"/>
      <c r="V84" s="114"/>
      <c r="W84" s="114"/>
      <c r="X84" s="116"/>
      <c r="Y84" s="117" t="str">
        <f t="shared" si="2"/>
        <v>-</v>
      </c>
    </row>
    <row r="85" ht="15.75" customHeight="1">
      <c r="A85" s="78">
        <v>82.0</v>
      </c>
      <c r="B85" s="37" t="str">
        <f>IF(Preenchimento!B91="","-",Preenchimento!B91)</f>
        <v>-</v>
      </c>
      <c r="C85" s="104" t="str">
        <f>IF(Preenchimento!D91="","-",Preenchimento!D91)</f>
        <v>-</v>
      </c>
      <c r="D85" s="105"/>
      <c r="E85" s="106"/>
      <c r="F85" s="107"/>
      <c r="G85" s="107"/>
      <c r="H85" s="107"/>
      <c r="I85" s="108"/>
      <c r="J85" s="106"/>
      <c r="K85" s="107"/>
      <c r="L85" s="107"/>
      <c r="M85" s="107"/>
      <c r="N85" s="108"/>
      <c r="O85" s="106"/>
      <c r="P85" s="107"/>
      <c r="Q85" s="107"/>
      <c r="R85" s="107"/>
      <c r="S85" s="108"/>
      <c r="T85" s="106"/>
      <c r="U85" s="107"/>
      <c r="V85" s="107"/>
      <c r="W85" s="107"/>
      <c r="X85" s="109"/>
      <c r="Y85" s="110" t="str">
        <f t="shared" si="2"/>
        <v>-</v>
      </c>
    </row>
    <row r="86" ht="15.75" customHeight="1">
      <c r="A86" s="78">
        <v>83.0</v>
      </c>
      <c r="B86" s="14" t="str">
        <f>IF(Preenchimento!B92="","-",Preenchimento!B92)</f>
        <v>-</v>
      </c>
      <c r="C86" s="111" t="str">
        <f>IF(Preenchimento!D92="","-",Preenchimento!D92)</f>
        <v>-</v>
      </c>
      <c r="D86" s="112"/>
      <c r="E86" s="113"/>
      <c r="F86" s="114"/>
      <c r="G86" s="114"/>
      <c r="H86" s="114"/>
      <c r="I86" s="115"/>
      <c r="J86" s="113"/>
      <c r="K86" s="114"/>
      <c r="L86" s="114"/>
      <c r="M86" s="114"/>
      <c r="N86" s="115"/>
      <c r="O86" s="113"/>
      <c r="P86" s="114"/>
      <c r="Q86" s="114"/>
      <c r="R86" s="114"/>
      <c r="S86" s="115"/>
      <c r="T86" s="113"/>
      <c r="U86" s="114"/>
      <c r="V86" s="114"/>
      <c r="W86" s="114"/>
      <c r="X86" s="116"/>
      <c r="Y86" s="117" t="str">
        <f t="shared" si="2"/>
        <v>-</v>
      </c>
    </row>
    <row r="87" ht="15.75" customHeight="1">
      <c r="A87" s="78">
        <v>84.0</v>
      </c>
      <c r="B87" s="37" t="str">
        <f>IF(Preenchimento!B93="","-",Preenchimento!B93)</f>
        <v>-</v>
      </c>
      <c r="C87" s="104" t="str">
        <f>IF(Preenchimento!D93="","-",Preenchimento!D93)</f>
        <v>-</v>
      </c>
      <c r="D87" s="105"/>
      <c r="E87" s="106"/>
      <c r="F87" s="107"/>
      <c r="G87" s="107"/>
      <c r="H87" s="107"/>
      <c r="I87" s="108"/>
      <c r="J87" s="106"/>
      <c r="K87" s="107"/>
      <c r="L87" s="107"/>
      <c r="M87" s="107"/>
      <c r="N87" s="108"/>
      <c r="O87" s="106"/>
      <c r="P87" s="107"/>
      <c r="Q87" s="107"/>
      <c r="R87" s="107"/>
      <c r="S87" s="108"/>
      <c r="T87" s="106"/>
      <c r="U87" s="107"/>
      <c r="V87" s="107"/>
      <c r="W87" s="107"/>
      <c r="X87" s="109"/>
      <c r="Y87" s="110" t="str">
        <f t="shared" si="2"/>
        <v>-</v>
      </c>
    </row>
    <row r="88" ht="15.75" customHeight="1">
      <c r="A88" s="78">
        <v>85.0</v>
      </c>
      <c r="B88" s="14" t="str">
        <f>IF(Preenchimento!B94="","-",Preenchimento!B94)</f>
        <v>-</v>
      </c>
      <c r="C88" s="111" t="str">
        <f>IF(Preenchimento!D94="","-",Preenchimento!D94)</f>
        <v>-</v>
      </c>
      <c r="D88" s="112"/>
      <c r="E88" s="113"/>
      <c r="F88" s="114"/>
      <c r="G88" s="114"/>
      <c r="H88" s="114"/>
      <c r="I88" s="115"/>
      <c r="J88" s="113"/>
      <c r="K88" s="114"/>
      <c r="L88" s="114"/>
      <c r="M88" s="114"/>
      <c r="N88" s="115"/>
      <c r="O88" s="113"/>
      <c r="P88" s="114"/>
      <c r="Q88" s="114"/>
      <c r="R88" s="114"/>
      <c r="S88" s="115"/>
      <c r="T88" s="113"/>
      <c r="U88" s="114"/>
      <c r="V88" s="114"/>
      <c r="W88" s="114"/>
      <c r="X88" s="116"/>
      <c r="Y88" s="117" t="str">
        <f t="shared" si="2"/>
        <v>-</v>
      </c>
    </row>
    <row r="89" ht="15.75" customHeight="1">
      <c r="A89" s="78">
        <v>86.0</v>
      </c>
      <c r="B89" s="37" t="str">
        <f>IF(Preenchimento!B95="","-",Preenchimento!B95)</f>
        <v>-</v>
      </c>
      <c r="C89" s="104" t="str">
        <f>IF(Preenchimento!D95="","-",Preenchimento!D95)</f>
        <v>-</v>
      </c>
      <c r="D89" s="105"/>
      <c r="E89" s="106"/>
      <c r="F89" s="107"/>
      <c r="G89" s="107"/>
      <c r="H89" s="107"/>
      <c r="I89" s="108"/>
      <c r="J89" s="106"/>
      <c r="K89" s="107"/>
      <c r="L89" s="107"/>
      <c r="M89" s="107"/>
      <c r="N89" s="108"/>
      <c r="O89" s="106"/>
      <c r="P89" s="107"/>
      <c r="Q89" s="107"/>
      <c r="R89" s="107"/>
      <c r="S89" s="108"/>
      <c r="T89" s="106"/>
      <c r="U89" s="107"/>
      <c r="V89" s="107"/>
      <c r="W89" s="107"/>
      <c r="X89" s="109"/>
      <c r="Y89" s="110" t="str">
        <f t="shared" si="2"/>
        <v>-</v>
      </c>
    </row>
    <row r="90" ht="15.75" customHeight="1">
      <c r="A90" s="78">
        <v>87.0</v>
      </c>
      <c r="B90" s="14" t="str">
        <f>IF(Preenchimento!B96="","-",Preenchimento!B96)</f>
        <v>-</v>
      </c>
      <c r="C90" s="111" t="str">
        <f>IF(Preenchimento!D96="","-",Preenchimento!D96)</f>
        <v>-</v>
      </c>
      <c r="D90" s="112"/>
      <c r="E90" s="113"/>
      <c r="F90" s="114"/>
      <c r="G90" s="114"/>
      <c r="H90" s="114"/>
      <c r="I90" s="115"/>
      <c r="J90" s="113"/>
      <c r="K90" s="114"/>
      <c r="L90" s="114"/>
      <c r="M90" s="114"/>
      <c r="N90" s="115"/>
      <c r="O90" s="113"/>
      <c r="P90" s="114"/>
      <c r="Q90" s="114"/>
      <c r="R90" s="114"/>
      <c r="S90" s="115"/>
      <c r="T90" s="113"/>
      <c r="U90" s="114"/>
      <c r="V90" s="114"/>
      <c r="W90" s="114"/>
      <c r="X90" s="116"/>
      <c r="Y90" s="117" t="str">
        <f t="shared" si="2"/>
        <v>-</v>
      </c>
    </row>
    <row r="91" ht="15.75" customHeight="1">
      <c r="A91" s="78">
        <v>88.0</v>
      </c>
      <c r="B91" s="37" t="str">
        <f>IF(Preenchimento!B97="","-",Preenchimento!B97)</f>
        <v>-</v>
      </c>
      <c r="C91" s="104" t="str">
        <f>IF(Preenchimento!D97="","-",Preenchimento!D97)</f>
        <v>-</v>
      </c>
      <c r="D91" s="105"/>
      <c r="E91" s="106"/>
      <c r="F91" s="107"/>
      <c r="G91" s="107"/>
      <c r="H91" s="107"/>
      <c r="I91" s="108"/>
      <c r="J91" s="106"/>
      <c r="K91" s="107"/>
      <c r="L91" s="107"/>
      <c r="M91" s="107"/>
      <c r="N91" s="108"/>
      <c r="O91" s="106"/>
      <c r="P91" s="107"/>
      <c r="Q91" s="107"/>
      <c r="R91" s="107"/>
      <c r="S91" s="108"/>
      <c r="T91" s="106"/>
      <c r="U91" s="107"/>
      <c r="V91" s="107"/>
      <c r="W91" s="107"/>
      <c r="X91" s="109"/>
      <c r="Y91" s="110" t="str">
        <f t="shared" si="2"/>
        <v>-</v>
      </c>
    </row>
    <row r="92" ht="15.75" customHeight="1">
      <c r="A92" s="78">
        <v>89.0</v>
      </c>
      <c r="B92" s="14" t="str">
        <f>IF(Preenchimento!B98="","-",Preenchimento!B98)</f>
        <v>-</v>
      </c>
      <c r="C92" s="111" t="str">
        <f>IF(Preenchimento!D98="","-",Preenchimento!D98)</f>
        <v>-</v>
      </c>
      <c r="D92" s="112"/>
      <c r="E92" s="113"/>
      <c r="F92" s="114"/>
      <c r="G92" s="114"/>
      <c r="H92" s="114"/>
      <c r="I92" s="115"/>
      <c r="J92" s="113"/>
      <c r="K92" s="114"/>
      <c r="L92" s="114"/>
      <c r="M92" s="114"/>
      <c r="N92" s="115"/>
      <c r="O92" s="113"/>
      <c r="P92" s="114"/>
      <c r="Q92" s="114"/>
      <c r="R92" s="114"/>
      <c r="S92" s="115"/>
      <c r="T92" s="113"/>
      <c r="U92" s="114"/>
      <c r="V92" s="114"/>
      <c r="W92" s="114"/>
      <c r="X92" s="116"/>
      <c r="Y92" s="117" t="str">
        <f t="shared" si="2"/>
        <v>-</v>
      </c>
    </row>
    <row r="93" ht="15.75" customHeight="1">
      <c r="A93" s="78">
        <v>90.0</v>
      </c>
      <c r="B93" s="37" t="str">
        <f>IF(Preenchimento!B99="","-",Preenchimento!B99)</f>
        <v>-</v>
      </c>
      <c r="C93" s="104" t="str">
        <f>IF(Preenchimento!D99="","-",Preenchimento!D99)</f>
        <v>-</v>
      </c>
      <c r="D93" s="105"/>
      <c r="E93" s="106"/>
      <c r="F93" s="107"/>
      <c r="G93" s="107"/>
      <c r="H93" s="107"/>
      <c r="I93" s="108"/>
      <c r="J93" s="106"/>
      <c r="K93" s="107"/>
      <c r="L93" s="107"/>
      <c r="M93" s="107"/>
      <c r="N93" s="108"/>
      <c r="O93" s="106"/>
      <c r="P93" s="107"/>
      <c r="Q93" s="107"/>
      <c r="R93" s="107"/>
      <c r="S93" s="108"/>
      <c r="T93" s="106"/>
      <c r="U93" s="107"/>
      <c r="V93" s="107"/>
      <c r="W93" s="107"/>
      <c r="X93" s="109"/>
      <c r="Y93" s="110" t="str">
        <f t="shared" si="2"/>
        <v>-</v>
      </c>
    </row>
    <row r="94" ht="15.75" customHeight="1">
      <c r="A94" s="78">
        <v>91.0</v>
      </c>
      <c r="B94" s="14" t="str">
        <f>IF(Preenchimento!B100="","-",Preenchimento!B100)</f>
        <v>-</v>
      </c>
      <c r="C94" s="111" t="str">
        <f>IF(Preenchimento!D100="","-",Preenchimento!D100)</f>
        <v>-</v>
      </c>
      <c r="D94" s="112"/>
      <c r="E94" s="113"/>
      <c r="F94" s="114"/>
      <c r="G94" s="114"/>
      <c r="H94" s="114"/>
      <c r="I94" s="115"/>
      <c r="J94" s="113"/>
      <c r="K94" s="114"/>
      <c r="L94" s="114"/>
      <c r="M94" s="114"/>
      <c r="N94" s="115"/>
      <c r="O94" s="113"/>
      <c r="P94" s="114"/>
      <c r="Q94" s="114"/>
      <c r="R94" s="114"/>
      <c r="S94" s="115"/>
      <c r="T94" s="113"/>
      <c r="U94" s="114"/>
      <c r="V94" s="114"/>
      <c r="W94" s="114"/>
      <c r="X94" s="116"/>
      <c r="Y94" s="117" t="str">
        <f t="shared" si="2"/>
        <v>-</v>
      </c>
    </row>
    <row r="95" ht="15.75" customHeight="1">
      <c r="A95" s="78">
        <v>92.0</v>
      </c>
      <c r="B95" s="37" t="str">
        <f>IF(Preenchimento!B101="","-",Preenchimento!B101)</f>
        <v>-</v>
      </c>
      <c r="C95" s="104" t="str">
        <f>IF(Preenchimento!D101="","-",Preenchimento!D101)</f>
        <v>-</v>
      </c>
      <c r="D95" s="105"/>
      <c r="E95" s="106"/>
      <c r="F95" s="107"/>
      <c r="G95" s="107"/>
      <c r="H95" s="107"/>
      <c r="I95" s="108"/>
      <c r="J95" s="106"/>
      <c r="K95" s="107"/>
      <c r="L95" s="107"/>
      <c r="M95" s="107"/>
      <c r="N95" s="108"/>
      <c r="O95" s="106"/>
      <c r="P95" s="107"/>
      <c r="Q95" s="107"/>
      <c r="R95" s="107"/>
      <c r="S95" s="108"/>
      <c r="T95" s="106"/>
      <c r="U95" s="107"/>
      <c r="V95" s="107"/>
      <c r="W95" s="107"/>
      <c r="X95" s="109"/>
      <c r="Y95" s="110" t="str">
        <f t="shared" si="2"/>
        <v>-</v>
      </c>
    </row>
    <row r="96" ht="15.75" customHeight="1">
      <c r="A96" s="78">
        <v>93.0</v>
      </c>
      <c r="B96" s="14" t="str">
        <f>IF(Preenchimento!B102="","-",Preenchimento!B102)</f>
        <v>-</v>
      </c>
      <c r="C96" s="111" t="str">
        <f>IF(Preenchimento!D102="","-",Preenchimento!D102)</f>
        <v>-</v>
      </c>
      <c r="D96" s="112"/>
      <c r="E96" s="113"/>
      <c r="F96" s="114"/>
      <c r="G96" s="114"/>
      <c r="H96" s="114"/>
      <c r="I96" s="115"/>
      <c r="J96" s="113"/>
      <c r="K96" s="114"/>
      <c r="L96" s="114"/>
      <c r="M96" s="114"/>
      <c r="N96" s="115"/>
      <c r="O96" s="113"/>
      <c r="P96" s="114"/>
      <c r="Q96" s="114"/>
      <c r="R96" s="114"/>
      <c r="S96" s="115"/>
      <c r="T96" s="113"/>
      <c r="U96" s="114"/>
      <c r="V96" s="114"/>
      <c r="W96" s="114"/>
      <c r="X96" s="116"/>
      <c r="Y96" s="117" t="str">
        <f t="shared" si="2"/>
        <v>-</v>
      </c>
    </row>
    <row r="97" ht="15.75" customHeight="1">
      <c r="A97" s="78">
        <v>94.0</v>
      </c>
      <c r="B97" s="37" t="str">
        <f>IF(Preenchimento!B103="","-",Preenchimento!B103)</f>
        <v>-</v>
      </c>
      <c r="C97" s="104" t="str">
        <f>IF(Preenchimento!D103="","-",Preenchimento!D103)</f>
        <v>-</v>
      </c>
      <c r="D97" s="105"/>
      <c r="E97" s="106"/>
      <c r="F97" s="107"/>
      <c r="G97" s="107"/>
      <c r="H97" s="107"/>
      <c r="I97" s="108"/>
      <c r="J97" s="106"/>
      <c r="K97" s="107"/>
      <c r="L97" s="107"/>
      <c r="M97" s="107"/>
      <c r="N97" s="108"/>
      <c r="O97" s="106"/>
      <c r="P97" s="107"/>
      <c r="Q97" s="107"/>
      <c r="R97" s="107"/>
      <c r="S97" s="108"/>
      <c r="T97" s="106"/>
      <c r="U97" s="107"/>
      <c r="V97" s="107"/>
      <c r="W97" s="107"/>
      <c r="X97" s="109"/>
      <c r="Y97" s="110" t="str">
        <f t="shared" si="2"/>
        <v>-</v>
      </c>
    </row>
    <row r="98" ht="15.75" customHeight="1">
      <c r="A98" s="78">
        <v>95.0</v>
      </c>
      <c r="B98" s="14" t="str">
        <f>IF(Preenchimento!B104="","-",Preenchimento!B104)</f>
        <v>-</v>
      </c>
      <c r="C98" s="111" t="str">
        <f>IF(Preenchimento!D104="","-",Preenchimento!D104)</f>
        <v>-</v>
      </c>
      <c r="D98" s="112"/>
      <c r="E98" s="113"/>
      <c r="F98" s="114"/>
      <c r="G98" s="114"/>
      <c r="H98" s="114"/>
      <c r="I98" s="115"/>
      <c r="J98" s="113"/>
      <c r="K98" s="114"/>
      <c r="L98" s="114"/>
      <c r="M98" s="114"/>
      <c r="N98" s="115"/>
      <c r="O98" s="113"/>
      <c r="P98" s="114"/>
      <c r="Q98" s="114"/>
      <c r="R98" s="114"/>
      <c r="S98" s="115"/>
      <c r="T98" s="113"/>
      <c r="U98" s="114"/>
      <c r="V98" s="114"/>
      <c r="W98" s="114"/>
      <c r="X98" s="116"/>
      <c r="Y98" s="117" t="str">
        <f t="shared" si="2"/>
        <v>-</v>
      </c>
    </row>
    <row r="99" ht="15.75" customHeight="1">
      <c r="A99" s="78">
        <v>96.0</v>
      </c>
      <c r="B99" s="37" t="str">
        <f>IF(Preenchimento!B105="","-",Preenchimento!B105)</f>
        <v>-</v>
      </c>
      <c r="C99" s="104" t="str">
        <f>IF(Preenchimento!D105="","-",Preenchimento!D105)</f>
        <v>-</v>
      </c>
      <c r="D99" s="105"/>
      <c r="E99" s="106"/>
      <c r="F99" s="107"/>
      <c r="G99" s="107"/>
      <c r="H99" s="107"/>
      <c r="I99" s="108"/>
      <c r="J99" s="106"/>
      <c r="K99" s="107"/>
      <c r="L99" s="107"/>
      <c r="M99" s="107"/>
      <c r="N99" s="108"/>
      <c r="O99" s="106"/>
      <c r="P99" s="107"/>
      <c r="Q99" s="107"/>
      <c r="R99" s="107"/>
      <c r="S99" s="108"/>
      <c r="T99" s="106"/>
      <c r="U99" s="107"/>
      <c r="V99" s="107"/>
      <c r="W99" s="107"/>
      <c r="X99" s="109"/>
      <c r="Y99" s="110" t="str">
        <f t="shared" si="2"/>
        <v>-</v>
      </c>
    </row>
    <row r="100" ht="15.75" customHeight="1">
      <c r="A100" s="78">
        <v>97.0</v>
      </c>
      <c r="B100" s="14" t="str">
        <f>IF(Preenchimento!B106="","-",Preenchimento!B106)</f>
        <v>-</v>
      </c>
      <c r="C100" s="111" t="str">
        <f>IF(Preenchimento!D106="","-",Preenchimento!D106)</f>
        <v>-</v>
      </c>
      <c r="D100" s="112"/>
      <c r="E100" s="113"/>
      <c r="F100" s="114"/>
      <c r="G100" s="114"/>
      <c r="H100" s="114"/>
      <c r="I100" s="115"/>
      <c r="J100" s="113"/>
      <c r="K100" s="114"/>
      <c r="L100" s="114"/>
      <c r="M100" s="114"/>
      <c r="N100" s="115"/>
      <c r="O100" s="113"/>
      <c r="P100" s="114"/>
      <c r="Q100" s="114"/>
      <c r="R100" s="114"/>
      <c r="S100" s="115"/>
      <c r="T100" s="113"/>
      <c r="U100" s="114"/>
      <c r="V100" s="114"/>
      <c r="W100" s="114"/>
      <c r="X100" s="116"/>
      <c r="Y100" s="117" t="str">
        <f t="shared" si="2"/>
        <v>-</v>
      </c>
    </row>
    <row r="101" ht="15.75" customHeight="1">
      <c r="A101" s="78">
        <v>98.0</v>
      </c>
      <c r="B101" s="37" t="str">
        <f>IF(Preenchimento!B107="","-",Preenchimento!B107)</f>
        <v>-</v>
      </c>
      <c r="C101" s="104" t="str">
        <f>IF(Preenchimento!D107="","-",Preenchimento!D107)</f>
        <v>-</v>
      </c>
      <c r="D101" s="105"/>
      <c r="E101" s="106"/>
      <c r="F101" s="107"/>
      <c r="G101" s="107"/>
      <c r="H101" s="107"/>
      <c r="I101" s="108"/>
      <c r="J101" s="106"/>
      <c r="K101" s="107"/>
      <c r="L101" s="107"/>
      <c r="M101" s="107"/>
      <c r="N101" s="108"/>
      <c r="O101" s="106"/>
      <c r="P101" s="107"/>
      <c r="Q101" s="107"/>
      <c r="R101" s="107"/>
      <c r="S101" s="108"/>
      <c r="T101" s="106"/>
      <c r="U101" s="107"/>
      <c r="V101" s="107"/>
      <c r="W101" s="107"/>
      <c r="X101" s="109"/>
      <c r="Y101" s="110" t="str">
        <f t="shared" si="2"/>
        <v>-</v>
      </c>
    </row>
    <row r="102" ht="15.75" customHeight="1">
      <c r="A102" s="78">
        <v>99.0</v>
      </c>
      <c r="B102" s="14" t="str">
        <f>IF(Preenchimento!B108="","-",Preenchimento!B108)</f>
        <v>-</v>
      </c>
      <c r="C102" s="111" t="str">
        <f>IF(Preenchimento!D108="","-",Preenchimento!D108)</f>
        <v>-</v>
      </c>
      <c r="D102" s="112"/>
      <c r="E102" s="113"/>
      <c r="F102" s="114"/>
      <c r="G102" s="114"/>
      <c r="H102" s="114"/>
      <c r="I102" s="115"/>
      <c r="J102" s="113"/>
      <c r="K102" s="114"/>
      <c r="L102" s="114"/>
      <c r="M102" s="114"/>
      <c r="N102" s="115"/>
      <c r="O102" s="113"/>
      <c r="P102" s="114"/>
      <c r="Q102" s="114"/>
      <c r="R102" s="114"/>
      <c r="S102" s="115"/>
      <c r="T102" s="113"/>
      <c r="U102" s="114"/>
      <c r="V102" s="114"/>
      <c r="W102" s="114"/>
      <c r="X102" s="116"/>
      <c r="Y102" s="117" t="str">
        <f t="shared" si="2"/>
        <v>-</v>
      </c>
    </row>
    <row r="103" ht="15.75" customHeight="1">
      <c r="A103" s="78">
        <v>100.0</v>
      </c>
      <c r="B103" s="51" t="str">
        <f>IF(Preenchimento!B109="","-",Preenchimento!B109)</f>
        <v>-</v>
      </c>
      <c r="C103" s="118" t="str">
        <f>IF(Preenchimento!D109="","-",Preenchimento!D109)</f>
        <v>-</v>
      </c>
      <c r="D103" s="119"/>
      <c r="E103" s="120"/>
      <c r="F103" s="107"/>
      <c r="G103" s="107"/>
      <c r="H103" s="107"/>
      <c r="I103" s="121"/>
      <c r="J103" s="120"/>
      <c r="K103" s="122"/>
      <c r="L103" s="122"/>
      <c r="M103" s="122"/>
      <c r="N103" s="121"/>
      <c r="O103" s="120"/>
      <c r="P103" s="122"/>
      <c r="Q103" s="122"/>
      <c r="R103" s="122"/>
      <c r="S103" s="121"/>
      <c r="T103" s="120"/>
      <c r="U103" s="122"/>
      <c r="V103" s="122"/>
      <c r="W103" s="122"/>
      <c r="X103" s="123"/>
      <c r="Y103" s="124" t="str">
        <f t="shared" si="2"/>
        <v>-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Y1"/>
    <mergeCell ref="A2:B2"/>
    <mergeCell ref="J2:N2"/>
    <mergeCell ref="O2:S2"/>
    <mergeCell ref="T2:X2"/>
  </mergeCells>
  <conditionalFormatting sqref="D4:D103 E4:Y103">
    <cfRule type="expression" dxfId="0" priority="1">
      <formula>$D4="falta"</formula>
    </cfRule>
  </conditionalFormatting>
  <dataValidations>
    <dataValidation type="list" allowBlank="1" showErrorMessage="1" sqref="D4:D103">
      <formula1>"Presente,Falta"</formula1>
    </dataValidation>
    <dataValidation type="decimal" allowBlank="1" showErrorMessage="1" sqref="E4:X53">
      <formula1>0.0</formula1>
      <formula2>10.0</formula2>
    </dataValidation>
  </dataValidations>
  <printOptions/>
  <pageMargins bottom="0.0" footer="0.0" header="0.0" left="0.0" right="0.0" top="0.0"/>
  <pageSetup paperSize="9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.57"/>
    <col customWidth="1" min="2" max="2" width="32.14"/>
    <col customWidth="1" hidden="1" min="3" max="3" width="21.14"/>
    <col customWidth="1" min="4" max="4" width="21.14"/>
    <col customWidth="1" min="5" max="5" width="11.14"/>
    <col customWidth="1" min="6" max="6" width="10.57"/>
    <col customWidth="1" min="7" max="7" width="14.57"/>
    <col customWidth="1" min="8" max="8" width="18.71"/>
    <col customWidth="1" min="9" max="9" width="6.86"/>
  </cols>
  <sheetData>
    <row r="1" ht="23.25" customHeight="1">
      <c r="A1" s="129"/>
      <c r="B1" s="130" t="s">
        <v>27</v>
      </c>
      <c r="C1" s="9"/>
      <c r="D1" s="9"/>
      <c r="E1" s="9"/>
      <c r="F1" s="9"/>
      <c r="G1" s="9"/>
      <c r="H1" s="9"/>
      <c r="I1" s="131"/>
    </row>
    <row r="2">
      <c r="A2" s="29"/>
      <c r="B2" s="132" t="s">
        <v>6</v>
      </c>
      <c r="C2" s="132"/>
      <c r="D2" s="132" t="s">
        <v>11</v>
      </c>
      <c r="E2" s="132" t="s">
        <v>28</v>
      </c>
      <c r="F2" s="132" t="s">
        <v>29</v>
      </c>
      <c r="G2" s="132" t="s">
        <v>30</v>
      </c>
      <c r="H2" s="132" t="s">
        <v>31</v>
      </c>
      <c r="I2" s="133" t="s">
        <v>14</v>
      </c>
    </row>
    <row r="3">
      <c r="A3" s="134">
        <v>1.0</v>
      </c>
      <c r="B3" s="19" t="str">
        <f>IF(Preenchimento!B10="","-",Preenchimento!B10)</f>
        <v>-</v>
      </c>
      <c r="C3" s="135" t="str">
        <f>'Avaliações'!D4</f>
        <v>Falta</v>
      </c>
      <c r="D3" s="136" t="str">
        <f>IF(Preenchimento!D10="","-",Preenchimento!D10)</f>
        <v>-</v>
      </c>
      <c r="E3" s="137"/>
      <c r="F3" s="138"/>
      <c r="G3" s="138"/>
      <c r="H3" s="139"/>
      <c r="I3" s="140" t="str">
        <f>if(or('Avaliações'!D4="falta",'Avaliações'!D4=""),"-",if('Avaliações'!D4="presente", IF(SUM(E3*0.25,F3*0.5,G3*0.125,H3*0.125)= 0,"-",SUM(E3*0.25,F3*0.5,G3*0.125,H3*0.125))))</f>
        <v>-</v>
      </c>
    </row>
    <row r="4">
      <c r="A4" s="134">
        <v>2.0</v>
      </c>
      <c r="B4" s="141" t="str">
        <f>IF(Preenchimento!B11="","-",Preenchimento!B11)</f>
        <v>-</v>
      </c>
      <c r="C4" s="142" t="str">
        <f>'Avaliações'!D5</f>
        <v/>
      </c>
      <c r="D4" s="143" t="str">
        <f>IF(Preenchimento!D11="","-",Preenchimento!D11)</f>
        <v>-</v>
      </c>
      <c r="E4" s="144"/>
      <c r="F4" s="143"/>
      <c r="G4" s="143"/>
      <c r="H4" s="145"/>
      <c r="I4" s="146" t="str">
        <f>if(or('Avaliações'!D5="falta",'Avaliações'!D5=""),"-",if('Avaliações'!D5="presente", IF(SUM(E4*0.25,F4*0.5,G4*0.125,H4*0.125)=0,"-",SUM(E4*0.25,F4*0.5,G4*0.125,H4*0.125))))</f>
        <v>-</v>
      </c>
    </row>
    <row r="5">
      <c r="A5" s="134">
        <v>3.0</v>
      </c>
      <c r="B5" s="19" t="str">
        <f>IF(Preenchimento!B12="","-",Preenchimento!B12)</f>
        <v>-</v>
      </c>
      <c r="C5" s="135" t="str">
        <f>'Avaliações'!D6</f>
        <v/>
      </c>
      <c r="D5" s="138" t="str">
        <f>IF(Preenchimento!D12="","-",Preenchimento!D12)</f>
        <v>-</v>
      </c>
      <c r="E5" s="137"/>
      <c r="F5" s="138"/>
      <c r="G5" s="138"/>
      <c r="H5" s="139"/>
      <c r="I5" s="147" t="str">
        <f>if(or('Avaliações'!D6="falta",'Avaliações'!D6=""),"-",if('Avaliações'!D6="presente", IF(SUM(E5*0.25,F5*0.5,G5*0.125,H5*0.125)=0,"-",SUM(E5*0.25,F5*0.5,G5*0.125,H5*0.125))))</f>
        <v>-</v>
      </c>
    </row>
    <row r="6">
      <c r="A6" s="134">
        <v>4.0</v>
      </c>
      <c r="B6" s="141" t="str">
        <f>IF(Preenchimento!B13="","-",Preenchimento!B13)</f>
        <v>-</v>
      </c>
      <c r="C6" s="142" t="str">
        <f>'Avaliações'!D7</f>
        <v/>
      </c>
      <c r="D6" s="143" t="str">
        <f>IF(Preenchimento!D13="","-",Preenchimento!D13)</f>
        <v>-</v>
      </c>
      <c r="E6" s="144"/>
      <c r="F6" s="143"/>
      <c r="G6" s="143"/>
      <c r="H6" s="145"/>
      <c r="I6" s="146" t="str">
        <f>if(or('Avaliações'!D7="falta",'Avaliações'!D7=""),"-",if('Avaliações'!D7="presente", IF(SUM(E6*0.25,F6*0.5,G6*0.125,H6*0.125)=0,"-",SUM(E6*0.25,F6*0.5,G6*0.125,H6*0.125))))</f>
        <v>-</v>
      </c>
    </row>
    <row r="7">
      <c r="A7" s="134">
        <v>5.0</v>
      </c>
      <c r="B7" s="19" t="str">
        <f>IF(Preenchimento!B14="","-",Preenchimento!B14)</f>
        <v>-</v>
      </c>
      <c r="C7" s="135" t="str">
        <f>'Avaliações'!D8</f>
        <v/>
      </c>
      <c r="D7" s="138" t="str">
        <f>IF(Preenchimento!D14="","-",Preenchimento!D14)</f>
        <v>-</v>
      </c>
      <c r="E7" s="137"/>
      <c r="F7" s="138"/>
      <c r="G7" s="138"/>
      <c r="H7" s="139"/>
      <c r="I7" s="147" t="str">
        <f>if(or('Avaliações'!D8="falta",'Avaliações'!D8=""),"-",if('Avaliações'!D8="presente", IF(SUM(E7*0.25,F7*0.5,G7*0.125,H7*0.125)=0,"-",SUM(E7*0.25,F7*0.5,G7*0.125,H7*0.125))))</f>
        <v>-</v>
      </c>
    </row>
    <row r="8">
      <c r="A8" s="134">
        <v>6.0</v>
      </c>
      <c r="B8" s="141" t="str">
        <f>IF(Preenchimento!B15="","-",Preenchimento!B15)</f>
        <v>-</v>
      </c>
      <c r="C8" s="142" t="str">
        <f>'Avaliações'!D9</f>
        <v/>
      </c>
      <c r="D8" s="143" t="str">
        <f>IF(Preenchimento!D15="","-",Preenchimento!D15)</f>
        <v>-</v>
      </c>
      <c r="E8" s="144"/>
      <c r="F8" s="143"/>
      <c r="G8" s="143"/>
      <c r="H8" s="145"/>
      <c r="I8" s="146" t="str">
        <f>if(or('Avaliações'!D9="falta",'Avaliações'!D9=""),"-",if('Avaliações'!D9="presente", IF(SUM(E8*0.25,F8*0.5,G8*0.125,H8*0.125)=0,"-",SUM(E8*0.25,F8*0.5,G8*0.125,H8*0.125))))</f>
        <v>-</v>
      </c>
    </row>
    <row r="9">
      <c r="A9" s="134">
        <v>7.0</v>
      </c>
      <c r="B9" s="19" t="str">
        <f>IF(Preenchimento!B16="","-",Preenchimento!B16)</f>
        <v>-</v>
      </c>
      <c r="C9" s="135" t="str">
        <f>'Avaliações'!D10</f>
        <v/>
      </c>
      <c r="D9" s="138" t="str">
        <f>IF(Preenchimento!D16="","-",Preenchimento!D16)</f>
        <v>-</v>
      </c>
      <c r="E9" s="137"/>
      <c r="F9" s="138"/>
      <c r="G9" s="138"/>
      <c r="H9" s="139"/>
      <c r="I9" s="147" t="str">
        <f>if(or('Avaliações'!D10="falta",'Avaliações'!D10=""),"-",if('Avaliações'!D10="presente", IF(SUM(E9*0.25,F9*0.5,G9*0.125,H9*0.125)=0,"-",SUM(E9*0.25,F9*0.5,G9*0.125,H9*0.125))))</f>
        <v>-</v>
      </c>
    </row>
    <row r="10">
      <c r="A10" s="134">
        <v>8.0</v>
      </c>
      <c r="B10" s="141" t="str">
        <f>IF(Preenchimento!B17="","-",Preenchimento!B17)</f>
        <v>-</v>
      </c>
      <c r="C10" s="142" t="str">
        <f>'Avaliações'!D11</f>
        <v/>
      </c>
      <c r="D10" s="143" t="str">
        <f>IF(Preenchimento!D17="","-",Preenchimento!D17)</f>
        <v>-</v>
      </c>
      <c r="E10" s="144"/>
      <c r="F10" s="143"/>
      <c r="G10" s="143"/>
      <c r="H10" s="145"/>
      <c r="I10" s="146" t="str">
        <f>if(or('Avaliações'!D11="falta",'Avaliações'!D11=""),"-",if('Avaliações'!D11="presente", IF(SUM(E10*0.25,F10*0.5,G10*0.125,H10*0.125)=0,"-",SUM(E10*0.25,F10*0.5,G10*0.125,H10*0.125))))</f>
        <v>-</v>
      </c>
    </row>
    <row r="11">
      <c r="A11" s="134">
        <v>9.0</v>
      </c>
      <c r="B11" s="19" t="str">
        <f>IF(Preenchimento!B18="","-",Preenchimento!B18)</f>
        <v>-</v>
      </c>
      <c r="C11" s="135" t="str">
        <f>'Avaliações'!D12</f>
        <v/>
      </c>
      <c r="D11" s="138" t="str">
        <f>IF(Preenchimento!D18="","-",Preenchimento!D18)</f>
        <v>-</v>
      </c>
      <c r="E11" s="137"/>
      <c r="F11" s="138"/>
      <c r="G11" s="138"/>
      <c r="H11" s="139"/>
      <c r="I11" s="147" t="str">
        <f>if(or('Avaliações'!D12="falta",'Avaliações'!D12=""),"-",if('Avaliações'!D12="presente", IF(SUM(E11*0.25,F11*0.5,G11*0.125,H11*0.125)=0,"-",SUM(E11*0.25,F11*0.5,G11*0.125,H11*0.125))))</f>
        <v>-</v>
      </c>
    </row>
    <row r="12">
      <c r="A12" s="134">
        <v>10.0</v>
      </c>
      <c r="B12" s="141" t="str">
        <f>IF(Preenchimento!B19="","-",Preenchimento!B19)</f>
        <v>-</v>
      </c>
      <c r="C12" s="142" t="str">
        <f>'Avaliações'!D13</f>
        <v/>
      </c>
      <c r="D12" s="143" t="str">
        <f>IF(Preenchimento!D19="","-",Preenchimento!D19)</f>
        <v>-</v>
      </c>
      <c r="E12" s="144"/>
      <c r="F12" s="143"/>
      <c r="G12" s="143"/>
      <c r="H12" s="145"/>
      <c r="I12" s="146" t="str">
        <f>if(or('Avaliações'!D13="falta",'Avaliações'!D13=""),"-",if('Avaliações'!D13="presente", IF(SUM(E12*0.25,F12*0.5,G12*0.125,H12*0.125)=0,"-",SUM(E12*0.25,F12*0.5,G12*0.125,H12*0.125))))</f>
        <v>-</v>
      </c>
    </row>
    <row r="13">
      <c r="A13" s="134">
        <v>11.0</v>
      </c>
      <c r="B13" s="19" t="str">
        <f>IF(Preenchimento!B20="","-",Preenchimento!B20)</f>
        <v>-</v>
      </c>
      <c r="C13" s="135" t="str">
        <f>'Avaliações'!D14</f>
        <v/>
      </c>
      <c r="D13" s="138" t="str">
        <f>IF(Preenchimento!D20="","-",Preenchimento!D20)</f>
        <v>-</v>
      </c>
      <c r="E13" s="137"/>
      <c r="F13" s="138"/>
      <c r="G13" s="138"/>
      <c r="H13" s="139"/>
      <c r="I13" s="147" t="str">
        <f>if(or('Avaliações'!D14="falta",'Avaliações'!D14=""),"-",if('Avaliações'!D14="presente", IF(SUM(E13*0.25,F13*0.5,G13*0.125,H13*0.125)=0,"-",SUM(E13*0.25,F13*0.5,G13*0.125,H13*0.125))))</f>
        <v>-</v>
      </c>
    </row>
    <row r="14">
      <c r="A14" s="134">
        <v>12.0</v>
      </c>
      <c r="B14" s="141" t="str">
        <f>IF(Preenchimento!B21="","-",Preenchimento!B21)</f>
        <v>-</v>
      </c>
      <c r="C14" s="142" t="str">
        <f>'Avaliações'!D15</f>
        <v/>
      </c>
      <c r="D14" s="143" t="str">
        <f>IF(Preenchimento!D21="","-",Preenchimento!D21)</f>
        <v>-</v>
      </c>
      <c r="E14" s="144"/>
      <c r="F14" s="143"/>
      <c r="G14" s="143"/>
      <c r="H14" s="145"/>
      <c r="I14" s="146" t="str">
        <f>if(or('Avaliações'!D15="falta",'Avaliações'!D15=""),"-",if('Avaliações'!D15="presente", IF(SUM(E14*0.25,F14*0.5,G14*0.125,H14*0.125)=0,"-",SUM(E14*0.25,F14*0.5,G14*0.125,H14*0.125))))</f>
        <v>-</v>
      </c>
    </row>
    <row r="15">
      <c r="A15" s="134">
        <v>13.0</v>
      </c>
      <c r="B15" s="19" t="str">
        <f>IF(Preenchimento!B22="","-",Preenchimento!B22)</f>
        <v>-</v>
      </c>
      <c r="C15" s="135" t="str">
        <f>'Avaliações'!D16</f>
        <v/>
      </c>
      <c r="D15" s="138" t="str">
        <f>IF(Preenchimento!D22="","-",Preenchimento!D22)</f>
        <v>-</v>
      </c>
      <c r="E15" s="137"/>
      <c r="F15" s="138"/>
      <c r="G15" s="138"/>
      <c r="H15" s="139"/>
      <c r="I15" s="147" t="str">
        <f>if(or('Avaliações'!D16="falta",'Avaliações'!D16=""),"-",if('Avaliações'!D16="presente", IF(SUM(E15*0.25,F15*0.5,G15*0.125,H15*0.125)=0,"-",SUM(E15*0.25,F15*0.5,G15*0.125,H15*0.125))))</f>
        <v>-</v>
      </c>
    </row>
    <row r="16">
      <c r="A16" s="134">
        <v>14.0</v>
      </c>
      <c r="B16" s="141" t="str">
        <f>IF(Preenchimento!B23="","-",Preenchimento!B23)</f>
        <v>-</v>
      </c>
      <c r="C16" s="142" t="str">
        <f>'Avaliações'!D17</f>
        <v/>
      </c>
      <c r="D16" s="143" t="str">
        <f>IF(Preenchimento!D23="","-",Preenchimento!D23)</f>
        <v>-</v>
      </c>
      <c r="E16" s="144"/>
      <c r="F16" s="143"/>
      <c r="G16" s="143"/>
      <c r="H16" s="145"/>
      <c r="I16" s="146" t="str">
        <f>if(or('Avaliações'!D17="falta",'Avaliações'!D17=""),"-",if('Avaliações'!D17="presente", IF(SUM(E16*0.25,F16*0.5,G16*0.125,H16*0.125)=0,"-",SUM(E16*0.25,F16*0.5,G16*0.125,H16*0.125))))</f>
        <v>-</v>
      </c>
    </row>
    <row r="17">
      <c r="A17" s="134">
        <v>15.0</v>
      </c>
      <c r="B17" s="19" t="str">
        <f>IF(Preenchimento!B24="","-",Preenchimento!B24)</f>
        <v>-</v>
      </c>
      <c r="C17" s="135" t="str">
        <f>'Avaliações'!D18</f>
        <v/>
      </c>
      <c r="D17" s="138" t="str">
        <f>IF(Preenchimento!D24="","-",Preenchimento!D24)</f>
        <v>-</v>
      </c>
      <c r="E17" s="137"/>
      <c r="F17" s="138"/>
      <c r="G17" s="138"/>
      <c r="H17" s="139"/>
      <c r="I17" s="147" t="str">
        <f>if(or('Avaliações'!D18="falta",'Avaliações'!D18=""),"-",if('Avaliações'!D18="presente", IF(SUM(E17*0.25,F17*0.5,G17*0.125,H17*0.125)=0,"-",SUM(E17*0.25,F17*0.5,G17*0.125,H17*0.125))))</f>
        <v>-</v>
      </c>
    </row>
    <row r="18">
      <c r="A18" s="134">
        <v>16.0</v>
      </c>
      <c r="B18" s="141" t="str">
        <f>IF(Preenchimento!B25="","-",Preenchimento!B25)</f>
        <v>-</v>
      </c>
      <c r="C18" s="142" t="str">
        <f>'Avaliações'!D19</f>
        <v/>
      </c>
      <c r="D18" s="143" t="str">
        <f>IF(Preenchimento!D25="","-",Preenchimento!D25)</f>
        <v>-</v>
      </c>
      <c r="E18" s="144"/>
      <c r="F18" s="143"/>
      <c r="G18" s="143"/>
      <c r="H18" s="145"/>
      <c r="I18" s="146" t="str">
        <f>if(or('Avaliações'!D19="falta",'Avaliações'!D19=""),"-",if('Avaliações'!D19="presente", IF(SUM(E18*0.25,F18*0.5,G18*0.125,H18*0.125)=0,"-",SUM(E18*0.25,F18*0.5,G18*0.125,H18*0.125))))</f>
        <v>-</v>
      </c>
    </row>
    <row r="19">
      <c r="A19" s="134">
        <v>17.0</v>
      </c>
      <c r="B19" s="19" t="str">
        <f>IF(Preenchimento!B26="","-",Preenchimento!B26)</f>
        <v>-</v>
      </c>
      <c r="C19" s="135" t="str">
        <f>'Avaliações'!D20</f>
        <v/>
      </c>
      <c r="D19" s="138" t="str">
        <f>IF(Preenchimento!D26="","-",Preenchimento!D26)</f>
        <v>-</v>
      </c>
      <c r="E19" s="137"/>
      <c r="F19" s="138"/>
      <c r="G19" s="138"/>
      <c r="H19" s="139"/>
      <c r="I19" s="147" t="str">
        <f>if(or('Avaliações'!D20="falta",'Avaliações'!D20=""),"-",if('Avaliações'!D20="presente", IF(SUM(E19*0.25,F19*0.5,G19*0.125,H19*0.125)=0,"-",SUM(E19*0.25,F19*0.5,G19*0.125,H19*0.125))))</f>
        <v>-</v>
      </c>
    </row>
    <row r="20">
      <c r="A20" s="134">
        <v>18.0</v>
      </c>
      <c r="B20" s="141" t="str">
        <f>IF(Preenchimento!B27="","-",Preenchimento!B27)</f>
        <v>-</v>
      </c>
      <c r="C20" s="142" t="str">
        <f>'Avaliações'!D21</f>
        <v/>
      </c>
      <c r="D20" s="143" t="str">
        <f>IF(Preenchimento!D27="","-",Preenchimento!D27)</f>
        <v>-</v>
      </c>
      <c r="E20" s="144"/>
      <c r="F20" s="143"/>
      <c r="G20" s="143"/>
      <c r="H20" s="145"/>
      <c r="I20" s="146" t="str">
        <f>if(or('Avaliações'!D21="falta",'Avaliações'!D21=""),"-",if('Avaliações'!D21="presente", IF(SUM(E20*0.25,F20*0.5,G20*0.125,H20*0.125)=0,"-",SUM(E20*0.25,F20*0.5,G20*0.125,H20*0.125))))</f>
        <v>-</v>
      </c>
    </row>
    <row r="21" ht="15.75" customHeight="1">
      <c r="A21" s="134">
        <v>19.0</v>
      </c>
      <c r="B21" s="19" t="str">
        <f>IF(Preenchimento!B28="","-",Preenchimento!B28)</f>
        <v>-</v>
      </c>
      <c r="C21" s="135" t="str">
        <f>'Avaliações'!D22</f>
        <v/>
      </c>
      <c r="D21" s="138" t="str">
        <f>IF(Preenchimento!D28="","-",Preenchimento!D28)</f>
        <v>-</v>
      </c>
      <c r="E21" s="137"/>
      <c r="F21" s="138"/>
      <c r="G21" s="138"/>
      <c r="H21" s="139"/>
      <c r="I21" s="147" t="str">
        <f>if(or('Avaliações'!D22="falta",'Avaliações'!D22=""),"-",if('Avaliações'!D22="presente", IF(SUM(E21*0.25,F21*0.5,G21*0.125,H21*0.125)=0,"-",SUM(E21*0.25,F21*0.5,G21*0.125,H21*0.125))))</f>
        <v>-</v>
      </c>
    </row>
    <row r="22" ht="15.75" customHeight="1">
      <c r="A22" s="134">
        <v>20.0</v>
      </c>
      <c r="B22" s="141" t="str">
        <f>IF(Preenchimento!B29="","-",Preenchimento!B29)</f>
        <v>-</v>
      </c>
      <c r="C22" s="142" t="str">
        <f>'Avaliações'!D23</f>
        <v/>
      </c>
      <c r="D22" s="143" t="str">
        <f>IF(Preenchimento!D29="","-",Preenchimento!D29)</f>
        <v>-</v>
      </c>
      <c r="E22" s="144"/>
      <c r="F22" s="143"/>
      <c r="G22" s="143"/>
      <c r="H22" s="145"/>
      <c r="I22" s="146" t="str">
        <f>if(or('Avaliações'!D23="falta",'Avaliações'!D23=""),"-",if('Avaliações'!D23="presente", IF(SUM(E22*0.25,F22*0.5,G22*0.125,H22*0.125)=0,"-",SUM(E22*0.25,F22*0.5,G22*0.125,H22*0.125))))</f>
        <v>-</v>
      </c>
    </row>
    <row r="23" ht="15.75" customHeight="1">
      <c r="A23" s="134">
        <v>21.0</v>
      </c>
      <c r="B23" s="19" t="str">
        <f>IF(Preenchimento!B30="","-",Preenchimento!B30)</f>
        <v>-</v>
      </c>
      <c r="C23" s="135" t="str">
        <f>'Avaliações'!D24</f>
        <v/>
      </c>
      <c r="D23" s="138" t="str">
        <f>IF(Preenchimento!D30="","-",Preenchimento!D30)</f>
        <v>-</v>
      </c>
      <c r="E23" s="137"/>
      <c r="F23" s="138"/>
      <c r="G23" s="138"/>
      <c r="H23" s="139"/>
      <c r="I23" s="147" t="str">
        <f>if(or('Avaliações'!D24="falta",'Avaliações'!D24=""),"-",if('Avaliações'!D24="presente", IF(SUM(E23*0.25,F23*0.5,G23*0.125,H23*0.125)=0,"-",SUM(E23*0.25,F23*0.5,G23*0.125,H23*0.125))))</f>
        <v>-</v>
      </c>
    </row>
    <row r="24" ht="15.75" customHeight="1">
      <c r="A24" s="134">
        <v>22.0</v>
      </c>
      <c r="B24" s="141" t="str">
        <f>IF(Preenchimento!B31="","-",Preenchimento!B31)</f>
        <v>-</v>
      </c>
      <c r="C24" s="142" t="str">
        <f>'Avaliações'!D25</f>
        <v/>
      </c>
      <c r="D24" s="143" t="str">
        <f>IF(Preenchimento!D31="","-",Preenchimento!D31)</f>
        <v>-</v>
      </c>
      <c r="E24" s="144"/>
      <c r="F24" s="143"/>
      <c r="G24" s="143"/>
      <c r="H24" s="145"/>
      <c r="I24" s="146" t="str">
        <f>if(or('Avaliações'!D25="falta",'Avaliações'!D25=""),"-",if('Avaliações'!D25="presente", IF(SUM(E24*0.25,F24*0.5,G24*0.125,H24*0.125)=0,"-",SUM(E24*0.25,F24*0.5,G24*0.125,H24*0.125))))</f>
        <v>-</v>
      </c>
    </row>
    <row r="25" ht="15.75" customHeight="1">
      <c r="A25" s="134">
        <v>23.0</v>
      </c>
      <c r="B25" s="19" t="str">
        <f>IF(Preenchimento!B32="","-",Preenchimento!B32)</f>
        <v>-</v>
      </c>
      <c r="C25" s="135" t="str">
        <f>'Avaliações'!D26</f>
        <v/>
      </c>
      <c r="D25" s="138" t="str">
        <f>IF(Preenchimento!D32="","-",Preenchimento!D32)</f>
        <v>-</v>
      </c>
      <c r="E25" s="137"/>
      <c r="F25" s="138"/>
      <c r="G25" s="138"/>
      <c r="H25" s="139"/>
      <c r="I25" s="147" t="str">
        <f>if(or('Avaliações'!D26="falta",'Avaliações'!D26=""),"-",if('Avaliações'!D26="presente", IF(SUM(E25*0.25,F25*0.5,G25*0.125,H25*0.125)=0,"-",SUM(E25*0.25,F25*0.5,G25*0.125,H25*0.125))))</f>
        <v>-</v>
      </c>
    </row>
    <row r="26" ht="15.75" customHeight="1">
      <c r="A26" s="134">
        <v>24.0</v>
      </c>
      <c r="B26" s="141" t="str">
        <f>IF(Preenchimento!B33="","-",Preenchimento!B33)</f>
        <v>-</v>
      </c>
      <c r="C26" s="142" t="str">
        <f>'Avaliações'!D27</f>
        <v/>
      </c>
      <c r="D26" s="143" t="str">
        <f>IF(Preenchimento!D33="","-",Preenchimento!D33)</f>
        <v>-</v>
      </c>
      <c r="E26" s="144"/>
      <c r="F26" s="143"/>
      <c r="G26" s="143"/>
      <c r="H26" s="145"/>
      <c r="I26" s="146" t="str">
        <f>if(or('Avaliações'!D27="falta",'Avaliações'!D27=""),"-",if('Avaliações'!D27="presente", IF(SUM(E26*0.25,F26*0.5,G26*0.125,H26*0.125)=0,"-",SUM(E26*0.25,F26*0.5,G26*0.125,H26*0.125))))</f>
        <v>-</v>
      </c>
    </row>
    <row r="27" ht="15.75" customHeight="1">
      <c r="A27" s="134">
        <v>25.0</v>
      </c>
      <c r="B27" s="19" t="str">
        <f>IF(Preenchimento!B34="","-",Preenchimento!B34)</f>
        <v>-</v>
      </c>
      <c r="C27" s="135" t="str">
        <f>'Avaliações'!D28</f>
        <v/>
      </c>
      <c r="D27" s="138" t="str">
        <f>IF(Preenchimento!D34="","-",Preenchimento!D34)</f>
        <v>-</v>
      </c>
      <c r="E27" s="137"/>
      <c r="F27" s="138"/>
      <c r="G27" s="138"/>
      <c r="H27" s="139"/>
      <c r="I27" s="147" t="str">
        <f>if(or('Avaliações'!D28="falta",'Avaliações'!D28=""),"-",if('Avaliações'!D28="presente", IF(SUM(E27*0.25,F27*0.5,G27*0.125,H27*0.125)=0,"-",SUM(E27*0.25,F27*0.5,G27*0.125,H27*0.125))))</f>
        <v>-</v>
      </c>
    </row>
    <row r="28" ht="15.75" customHeight="1">
      <c r="A28" s="134">
        <v>26.0</v>
      </c>
      <c r="B28" s="141" t="str">
        <f>IF(Preenchimento!B35="","-",Preenchimento!B35)</f>
        <v>-</v>
      </c>
      <c r="C28" s="142" t="str">
        <f>'Avaliações'!D29</f>
        <v/>
      </c>
      <c r="D28" s="143" t="str">
        <f>IF(Preenchimento!D35="","-",Preenchimento!D35)</f>
        <v>-</v>
      </c>
      <c r="E28" s="144"/>
      <c r="F28" s="143"/>
      <c r="G28" s="143"/>
      <c r="H28" s="145"/>
      <c r="I28" s="146" t="str">
        <f>if(or('Avaliações'!D29="falta",'Avaliações'!D29=""),"-",if('Avaliações'!D29="presente", IF(SUM(E28*0.25,F28*0.5,G28*0.125,H28*0.125)=0,"-",SUM(E28*0.25,F28*0.5,G28*0.125,H28*0.125))))</f>
        <v>-</v>
      </c>
    </row>
    <row r="29" ht="15.75" customHeight="1">
      <c r="A29" s="134">
        <v>27.0</v>
      </c>
      <c r="B29" s="19" t="str">
        <f>IF(Preenchimento!B36="","-",Preenchimento!B36)</f>
        <v>-</v>
      </c>
      <c r="C29" s="135" t="str">
        <f>'Avaliações'!D30</f>
        <v/>
      </c>
      <c r="D29" s="138" t="str">
        <f>IF(Preenchimento!D36="","-",Preenchimento!D36)</f>
        <v>-</v>
      </c>
      <c r="E29" s="137"/>
      <c r="F29" s="138"/>
      <c r="G29" s="138"/>
      <c r="H29" s="139"/>
      <c r="I29" s="147" t="str">
        <f>if(or('Avaliações'!D30="falta",'Avaliações'!D30=""),"-",if('Avaliações'!D30="presente", IF(SUM(E29*0.25,F29*0.5,G29*0.125,H29*0.125)=0,"-",SUM(E29*0.25,F29*0.5,G29*0.125,H29*0.125))))</f>
        <v>-</v>
      </c>
    </row>
    <row r="30" ht="15.75" customHeight="1">
      <c r="A30" s="134">
        <v>28.0</v>
      </c>
      <c r="B30" s="141" t="str">
        <f>IF(Preenchimento!B37="","-",Preenchimento!B37)</f>
        <v>-</v>
      </c>
      <c r="C30" s="142" t="str">
        <f>'Avaliações'!D31</f>
        <v/>
      </c>
      <c r="D30" s="143" t="str">
        <f>IF(Preenchimento!D37="","-",Preenchimento!D37)</f>
        <v>-</v>
      </c>
      <c r="E30" s="144"/>
      <c r="F30" s="143"/>
      <c r="G30" s="143"/>
      <c r="H30" s="145"/>
      <c r="I30" s="146" t="str">
        <f>if(or('Avaliações'!D31="falta",'Avaliações'!D31=""),"-",if('Avaliações'!D31="presente", IF(SUM(E30*0.25,F30*0.5,G30*0.125,H30*0.125)=0,"-",SUM(E30*0.25,F30*0.5,G30*0.125,H30*0.125))))</f>
        <v>-</v>
      </c>
    </row>
    <row r="31" ht="15.75" customHeight="1">
      <c r="A31" s="134">
        <v>29.0</v>
      </c>
      <c r="B31" s="19" t="str">
        <f>IF(Preenchimento!B38="","-",Preenchimento!B38)</f>
        <v>-</v>
      </c>
      <c r="C31" s="135" t="str">
        <f>'Avaliações'!D32</f>
        <v/>
      </c>
      <c r="D31" s="138" t="str">
        <f>IF(Preenchimento!D38="","-",Preenchimento!D38)</f>
        <v>-</v>
      </c>
      <c r="E31" s="137"/>
      <c r="F31" s="138"/>
      <c r="G31" s="138"/>
      <c r="H31" s="139"/>
      <c r="I31" s="147" t="str">
        <f>if(or('Avaliações'!D32="falta",'Avaliações'!D32=""),"-",if('Avaliações'!D32="presente", IF(SUM(E31*0.25,F31*0.5,G31*0.125,H31*0.125)=0,"-",SUM(E31*0.25,F31*0.5,G31*0.125,H31*0.125))))</f>
        <v>-</v>
      </c>
    </row>
    <row r="32" ht="15.75" customHeight="1">
      <c r="A32" s="134">
        <v>30.0</v>
      </c>
      <c r="B32" s="141" t="str">
        <f>IF(Preenchimento!B39="","-",Preenchimento!B39)</f>
        <v>-</v>
      </c>
      <c r="C32" s="142" t="str">
        <f>'Avaliações'!D33</f>
        <v/>
      </c>
      <c r="D32" s="143" t="str">
        <f>IF(Preenchimento!D39="","-",Preenchimento!D39)</f>
        <v>-</v>
      </c>
      <c r="E32" s="144"/>
      <c r="F32" s="143"/>
      <c r="G32" s="143"/>
      <c r="H32" s="145"/>
      <c r="I32" s="146" t="str">
        <f>if(or('Avaliações'!D33="falta",'Avaliações'!D33=""),"-",if('Avaliações'!D33="presente", IF(SUM(E32*0.25,F32*0.5,G32*0.125,H32*0.125)=0,"-",SUM(E32*0.25,F32*0.5,G32*0.125,H32*0.125))))</f>
        <v>-</v>
      </c>
    </row>
    <row r="33" ht="15.75" customHeight="1">
      <c r="A33" s="134">
        <v>31.0</v>
      </c>
      <c r="B33" s="19" t="str">
        <f>IF(Preenchimento!B40="","-",Preenchimento!B40)</f>
        <v>-</v>
      </c>
      <c r="C33" s="135" t="str">
        <f>'Avaliações'!D34</f>
        <v/>
      </c>
      <c r="D33" s="138" t="str">
        <f>IF(Preenchimento!D40="","-",Preenchimento!D40)</f>
        <v>-</v>
      </c>
      <c r="E33" s="137"/>
      <c r="F33" s="138"/>
      <c r="G33" s="138"/>
      <c r="H33" s="139"/>
      <c r="I33" s="147" t="str">
        <f>if(or('Avaliações'!D34="falta",'Avaliações'!D34=""),"-",if('Avaliações'!D34="presente", IF(SUM(E33*0.25,F33*0.5,G33*0.125,H33*0.125)=0,"-",SUM(E33*0.25,F33*0.5,G33*0.125,H33*0.125))))</f>
        <v>-</v>
      </c>
    </row>
    <row r="34" ht="15.75" customHeight="1">
      <c r="A34" s="134">
        <v>32.0</v>
      </c>
      <c r="B34" s="141" t="str">
        <f>IF(Preenchimento!B41="","-",Preenchimento!B41)</f>
        <v>-</v>
      </c>
      <c r="C34" s="142" t="str">
        <f>'Avaliações'!D35</f>
        <v/>
      </c>
      <c r="D34" s="143" t="str">
        <f>IF(Preenchimento!D41="","-",Preenchimento!D41)</f>
        <v>-</v>
      </c>
      <c r="E34" s="144"/>
      <c r="F34" s="143"/>
      <c r="G34" s="143"/>
      <c r="H34" s="145"/>
      <c r="I34" s="146" t="str">
        <f>if(or('Avaliações'!D35="falta",'Avaliações'!D35=""),"-",if('Avaliações'!D35="presente", IF(SUM(E34*0.25,F34*0.5,G34*0.125,H34*0.125)=0,"-",SUM(E34*0.25,F34*0.5,G34*0.125,H34*0.125))))</f>
        <v>-</v>
      </c>
    </row>
    <row r="35" ht="15.75" customHeight="1">
      <c r="A35" s="134">
        <v>33.0</v>
      </c>
      <c r="B35" s="19" t="str">
        <f>IF(Preenchimento!B42="","-",Preenchimento!B42)</f>
        <v>-</v>
      </c>
      <c r="C35" s="135" t="str">
        <f>'Avaliações'!D36</f>
        <v/>
      </c>
      <c r="D35" s="138" t="str">
        <f>IF(Preenchimento!D42="","-",Preenchimento!D42)</f>
        <v>-</v>
      </c>
      <c r="E35" s="137"/>
      <c r="F35" s="138"/>
      <c r="G35" s="138"/>
      <c r="H35" s="139"/>
      <c r="I35" s="147" t="str">
        <f>if(or('Avaliações'!D36="falta",'Avaliações'!D36=""),"-",if('Avaliações'!D36="presente", IF(SUM(E35*0.25,F35*0.5,G35*0.125,H35*0.125)=0,"-",SUM(E35*0.25,F35*0.5,G35*0.125,H35*0.125))))</f>
        <v>-</v>
      </c>
    </row>
    <row r="36" ht="15.75" customHeight="1">
      <c r="A36" s="134">
        <v>34.0</v>
      </c>
      <c r="B36" s="141" t="str">
        <f>IF(Preenchimento!B43="","-",Preenchimento!B43)</f>
        <v>-</v>
      </c>
      <c r="C36" s="142" t="str">
        <f>'Avaliações'!D37</f>
        <v/>
      </c>
      <c r="D36" s="143" t="str">
        <f>IF(Preenchimento!D43="","-",Preenchimento!D43)</f>
        <v>-</v>
      </c>
      <c r="E36" s="144"/>
      <c r="F36" s="143"/>
      <c r="G36" s="143"/>
      <c r="H36" s="145"/>
      <c r="I36" s="146" t="str">
        <f>if(or('Avaliações'!D37="falta",'Avaliações'!D37=""),"-",if('Avaliações'!D37="presente", IF(SUM(E36*0.25,F36*0.5,G36*0.125,H36*0.125)=0,"-",SUM(E36*0.25,F36*0.5,G36*0.125,H36*0.125))))</f>
        <v>-</v>
      </c>
    </row>
    <row r="37" ht="15.75" customHeight="1">
      <c r="A37" s="134">
        <v>35.0</v>
      </c>
      <c r="B37" s="19" t="str">
        <f>IF(Preenchimento!B44="","-",Preenchimento!B44)</f>
        <v>-</v>
      </c>
      <c r="C37" s="135" t="str">
        <f>'Avaliações'!D38</f>
        <v/>
      </c>
      <c r="D37" s="138" t="str">
        <f>IF(Preenchimento!D44="","-",Preenchimento!D44)</f>
        <v>-</v>
      </c>
      <c r="E37" s="137"/>
      <c r="F37" s="138"/>
      <c r="G37" s="138"/>
      <c r="H37" s="139"/>
      <c r="I37" s="147" t="str">
        <f>if(or('Avaliações'!D38="falta",'Avaliações'!D38=""),"-",if('Avaliações'!D38="presente", IF(SUM(E37*0.25,F37*0.5,G37*0.125,H37*0.125)=0,"-",SUM(E37*0.25,F37*0.5,G37*0.125,H37*0.125))))</f>
        <v>-</v>
      </c>
    </row>
    <row r="38" ht="15.75" customHeight="1">
      <c r="A38" s="134">
        <v>36.0</v>
      </c>
      <c r="B38" s="141" t="str">
        <f>IF(Preenchimento!B45="","-",Preenchimento!B45)</f>
        <v>-</v>
      </c>
      <c r="C38" s="142" t="str">
        <f>'Avaliações'!D39</f>
        <v/>
      </c>
      <c r="D38" s="143" t="str">
        <f>IF(Preenchimento!D45="","-",Preenchimento!D45)</f>
        <v>-</v>
      </c>
      <c r="E38" s="144"/>
      <c r="F38" s="143"/>
      <c r="G38" s="143"/>
      <c r="H38" s="145"/>
      <c r="I38" s="146" t="str">
        <f>if(or('Avaliações'!D39="falta",'Avaliações'!D39=""),"-",if('Avaliações'!D39="presente", IF(SUM(E38*0.25,F38*0.5,G38*0.125,H38*0.125)=0,"-",SUM(E38*0.25,F38*0.5,G38*0.125,H38*0.125))))</f>
        <v>-</v>
      </c>
    </row>
    <row r="39" ht="15.75" customHeight="1">
      <c r="A39" s="134">
        <v>37.0</v>
      </c>
      <c r="B39" s="19" t="str">
        <f>IF(Preenchimento!B46="","-",Preenchimento!B46)</f>
        <v>-</v>
      </c>
      <c r="C39" s="135" t="str">
        <f>'Avaliações'!D40</f>
        <v/>
      </c>
      <c r="D39" s="138" t="str">
        <f>IF(Preenchimento!D46="","-",Preenchimento!D46)</f>
        <v>-</v>
      </c>
      <c r="E39" s="137"/>
      <c r="F39" s="138"/>
      <c r="G39" s="138"/>
      <c r="H39" s="139"/>
      <c r="I39" s="147" t="str">
        <f>if(or('Avaliações'!D40="falta",'Avaliações'!D40=""),"-",if('Avaliações'!D40="presente", IF(SUM(E39*0.25,F39*0.5,G39*0.125,H39*0.125)=0,"-",SUM(E39*0.25,F39*0.5,G39*0.125,H39*0.125))))</f>
        <v>-</v>
      </c>
    </row>
    <row r="40" ht="15.75" customHeight="1">
      <c r="A40" s="134">
        <v>38.0</v>
      </c>
      <c r="B40" s="141" t="str">
        <f>IF(Preenchimento!B47="","-",Preenchimento!B47)</f>
        <v>-</v>
      </c>
      <c r="C40" s="142" t="str">
        <f>'Avaliações'!D41</f>
        <v/>
      </c>
      <c r="D40" s="143" t="str">
        <f>IF(Preenchimento!D47="","-",Preenchimento!D47)</f>
        <v>-</v>
      </c>
      <c r="E40" s="144"/>
      <c r="F40" s="143"/>
      <c r="G40" s="143"/>
      <c r="H40" s="145"/>
      <c r="I40" s="146" t="str">
        <f>if(or('Avaliações'!D41="falta",'Avaliações'!D41=""),"-",if('Avaliações'!D41="presente", IF(SUM(E40*0.25,F40*0.5,G40*0.125,H40*0.125)=0,"-",SUM(E40*0.25,F40*0.5,G40*0.125,H40*0.125))))</f>
        <v>-</v>
      </c>
    </row>
    <row r="41" ht="15.75" customHeight="1">
      <c r="A41" s="134">
        <v>39.0</v>
      </c>
      <c r="B41" s="19" t="str">
        <f>IF(Preenchimento!B48="","-",Preenchimento!B48)</f>
        <v>-</v>
      </c>
      <c r="C41" s="135" t="str">
        <f>'Avaliações'!D42</f>
        <v/>
      </c>
      <c r="D41" s="138" t="str">
        <f>IF(Preenchimento!D48="","-",Preenchimento!D48)</f>
        <v>-</v>
      </c>
      <c r="E41" s="137"/>
      <c r="F41" s="138"/>
      <c r="G41" s="138"/>
      <c r="H41" s="139"/>
      <c r="I41" s="147" t="str">
        <f>if(or('Avaliações'!D42="falta",'Avaliações'!D42=""),"-",if('Avaliações'!D42="presente", IF(SUM(E41*0.25,F41*0.5,G41*0.125,H41*0.125)=0,"-",SUM(E41*0.25,F41*0.5,G41*0.125,H41*0.125))))</f>
        <v>-</v>
      </c>
    </row>
    <row r="42" ht="15.75" customHeight="1">
      <c r="A42" s="134">
        <v>40.0</v>
      </c>
      <c r="B42" s="141" t="str">
        <f>IF(Preenchimento!B49="","-",Preenchimento!B49)</f>
        <v>-</v>
      </c>
      <c r="C42" s="142" t="str">
        <f>'Avaliações'!D43</f>
        <v/>
      </c>
      <c r="D42" s="143" t="str">
        <f>IF(Preenchimento!D49="","-",Preenchimento!D49)</f>
        <v>-</v>
      </c>
      <c r="E42" s="144"/>
      <c r="F42" s="143"/>
      <c r="G42" s="143"/>
      <c r="H42" s="145"/>
      <c r="I42" s="146" t="str">
        <f>if(or('Avaliações'!D43="falta",'Avaliações'!D43=""),"-",if('Avaliações'!D43="presente", IF(SUM(E42*0.25,F42*0.5,G42*0.125,H42*0.125)=0,"-",SUM(E42*0.25,F42*0.5,G42*0.125,H42*0.125))))</f>
        <v>-</v>
      </c>
    </row>
    <row r="43" ht="15.75" customHeight="1">
      <c r="A43" s="134">
        <v>41.0</v>
      </c>
      <c r="B43" s="19" t="str">
        <f>IF(Preenchimento!B50="","-",Preenchimento!B50)</f>
        <v>-</v>
      </c>
      <c r="C43" s="135" t="str">
        <f>'Avaliações'!D44</f>
        <v/>
      </c>
      <c r="D43" s="138" t="str">
        <f>IF(Preenchimento!D50="","-",Preenchimento!D50)</f>
        <v>-</v>
      </c>
      <c r="E43" s="137"/>
      <c r="F43" s="138"/>
      <c r="G43" s="138"/>
      <c r="H43" s="139"/>
      <c r="I43" s="147" t="str">
        <f>if(or('Avaliações'!D44="falta",'Avaliações'!D44=""),"-",if('Avaliações'!D44="presente", IF(SUM(E43*0.25,F43*0.5,G43*0.125,H43*0.125)=0,"-",SUM(E43*0.25,F43*0.5,G43*0.125,H43*0.125))))</f>
        <v>-</v>
      </c>
    </row>
    <row r="44" ht="15.75" customHeight="1">
      <c r="A44" s="134">
        <v>42.0</v>
      </c>
      <c r="B44" s="141" t="str">
        <f>IF(Preenchimento!B51="","-",Preenchimento!B51)</f>
        <v>-</v>
      </c>
      <c r="C44" s="142" t="str">
        <f>'Avaliações'!D45</f>
        <v/>
      </c>
      <c r="D44" s="143" t="str">
        <f>IF(Preenchimento!D51="","-",Preenchimento!D51)</f>
        <v>-</v>
      </c>
      <c r="E44" s="144"/>
      <c r="F44" s="143"/>
      <c r="G44" s="143"/>
      <c r="H44" s="145"/>
      <c r="I44" s="146" t="str">
        <f>if(or('Avaliações'!D45="falta",'Avaliações'!D45=""),"-",if('Avaliações'!D45="presente", IF(SUM(E44*0.25,F44*0.5,G44*0.125,H44*0.125)=0,"-",SUM(E44*0.25,F44*0.5,G44*0.125,H44*0.125))))</f>
        <v>-</v>
      </c>
    </row>
    <row r="45" ht="15.75" customHeight="1">
      <c r="A45" s="134">
        <v>43.0</v>
      </c>
      <c r="B45" s="19" t="str">
        <f>IF(Preenchimento!B52="","-",Preenchimento!B52)</f>
        <v>-</v>
      </c>
      <c r="C45" s="135" t="str">
        <f>'Avaliações'!D46</f>
        <v/>
      </c>
      <c r="D45" s="138" t="str">
        <f>IF(Preenchimento!D52="","-",Preenchimento!D52)</f>
        <v>-</v>
      </c>
      <c r="E45" s="137"/>
      <c r="F45" s="138"/>
      <c r="G45" s="138"/>
      <c r="H45" s="139"/>
      <c r="I45" s="147" t="str">
        <f>if(or('Avaliações'!D46="falta",'Avaliações'!D46=""),"-",if('Avaliações'!D46="presente", IF(SUM(E45*0.25,F45*0.5,G45*0.125,H45*0.125)=0,"-",SUM(E45*0.25,F45*0.5,G45*0.125,H45*0.125))))</f>
        <v>-</v>
      </c>
    </row>
    <row r="46" ht="15.75" customHeight="1">
      <c r="A46" s="134">
        <v>44.0</v>
      </c>
      <c r="B46" s="141" t="str">
        <f>IF(Preenchimento!B53="","-",Preenchimento!B53)</f>
        <v>-</v>
      </c>
      <c r="C46" s="142" t="str">
        <f>'Avaliações'!D47</f>
        <v/>
      </c>
      <c r="D46" s="143" t="str">
        <f>IF(Preenchimento!D53="","-",Preenchimento!D53)</f>
        <v>-</v>
      </c>
      <c r="E46" s="144"/>
      <c r="F46" s="143"/>
      <c r="G46" s="143"/>
      <c r="H46" s="145"/>
      <c r="I46" s="146" t="str">
        <f>if(or('Avaliações'!D47="falta",'Avaliações'!D47=""),"-",if('Avaliações'!D47="presente", IF(SUM(E46*0.25,F46*0.5,G46*0.125,H46*0.125)=0,"-",SUM(E46*0.25,F46*0.5,G46*0.125,H46*0.125))))</f>
        <v>-</v>
      </c>
    </row>
    <row r="47" ht="15.75" customHeight="1">
      <c r="A47" s="134">
        <v>45.0</v>
      </c>
      <c r="B47" s="19" t="str">
        <f>IF(Preenchimento!B54="","-",Preenchimento!B54)</f>
        <v>-</v>
      </c>
      <c r="C47" s="135" t="str">
        <f>'Avaliações'!D48</f>
        <v/>
      </c>
      <c r="D47" s="138" t="str">
        <f>IF(Preenchimento!D54="","-",Preenchimento!D54)</f>
        <v>-</v>
      </c>
      <c r="E47" s="137"/>
      <c r="F47" s="138"/>
      <c r="G47" s="138"/>
      <c r="H47" s="139"/>
      <c r="I47" s="147" t="str">
        <f>if(or('Avaliações'!D48="falta",'Avaliações'!D48=""),"-",if('Avaliações'!D48="presente", IF(SUM(E47*0.25,F47*0.5,G47*0.125,H47*0.125)=0,"-",SUM(E47*0.25,F47*0.5,G47*0.125,H47*0.125))))</f>
        <v>-</v>
      </c>
    </row>
    <row r="48" ht="15.75" customHeight="1">
      <c r="A48" s="134">
        <v>46.0</v>
      </c>
      <c r="B48" s="141" t="str">
        <f>IF(Preenchimento!B55="","-",Preenchimento!B55)</f>
        <v>-</v>
      </c>
      <c r="C48" s="142" t="str">
        <f>'Avaliações'!D49</f>
        <v/>
      </c>
      <c r="D48" s="143" t="str">
        <f>IF(Preenchimento!D55="","-",Preenchimento!D55)</f>
        <v>-</v>
      </c>
      <c r="E48" s="144"/>
      <c r="F48" s="143"/>
      <c r="G48" s="143"/>
      <c r="H48" s="145"/>
      <c r="I48" s="146" t="str">
        <f>if(or('Avaliações'!D49="falta",'Avaliações'!D49=""),"-",if('Avaliações'!D49="presente", IF(SUM(E48*0.25,F48*0.5,G48*0.125,H48*0.125)=0,"-",SUM(E48*0.25,F48*0.5,G48*0.125,H48*0.125))))</f>
        <v>-</v>
      </c>
    </row>
    <row r="49" ht="15.75" customHeight="1">
      <c r="A49" s="134">
        <v>47.0</v>
      </c>
      <c r="B49" s="19" t="str">
        <f>IF(Preenchimento!B56="","-",Preenchimento!B56)</f>
        <v>-</v>
      </c>
      <c r="C49" s="135" t="str">
        <f>'Avaliações'!D50</f>
        <v/>
      </c>
      <c r="D49" s="138" t="str">
        <f>IF(Preenchimento!D56="","-",Preenchimento!D56)</f>
        <v>-</v>
      </c>
      <c r="E49" s="137"/>
      <c r="F49" s="138"/>
      <c r="G49" s="138"/>
      <c r="H49" s="139"/>
      <c r="I49" s="147" t="str">
        <f>if(or('Avaliações'!D50="falta",'Avaliações'!D50=""),"-",if('Avaliações'!D50="presente", IF(SUM(E49*0.25,F49*0.5,G49*0.125,H49*0.125)=0,"-",SUM(E49*0.25,F49*0.5,G49*0.125,H49*0.125))))</f>
        <v>-</v>
      </c>
    </row>
    <row r="50" ht="15.75" customHeight="1">
      <c r="A50" s="134">
        <v>48.0</v>
      </c>
      <c r="B50" s="141" t="str">
        <f>IF(Preenchimento!B57="","-",Preenchimento!B57)</f>
        <v>-</v>
      </c>
      <c r="C50" s="142" t="str">
        <f>'Avaliações'!D51</f>
        <v/>
      </c>
      <c r="D50" s="143" t="str">
        <f>IF(Preenchimento!D57="","-",Preenchimento!D57)</f>
        <v>-</v>
      </c>
      <c r="E50" s="144"/>
      <c r="F50" s="143"/>
      <c r="G50" s="143"/>
      <c r="H50" s="145"/>
      <c r="I50" s="146" t="str">
        <f>if(or('Avaliações'!D51="falta",'Avaliações'!D51=""),"-",if('Avaliações'!D51="presente", IF(SUM(E50*0.25,F50*0.5,G50*0.125,H50*0.125)=0,"-",SUM(E50*0.25,F50*0.5,G50*0.125,H50*0.125))))</f>
        <v>-</v>
      </c>
    </row>
    <row r="51" ht="15.75" customHeight="1">
      <c r="A51" s="134">
        <v>49.0</v>
      </c>
      <c r="B51" s="19" t="str">
        <f>IF(Preenchimento!B58="","-",Preenchimento!B58)</f>
        <v>-</v>
      </c>
      <c r="C51" s="135" t="str">
        <f>'Avaliações'!D52</f>
        <v/>
      </c>
      <c r="D51" s="138" t="str">
        <f>IF(Preenchimento!D58="","-",Preenchimento!D58)</f>
        <v>-</v>
      </c>
      <c r="E51" s="137"/>
      <c r="F51" s="138"/>
      <c r="G51" s="138"/>
      <c r="H51" s="139"/>
      <c r="I51" s="147" t="str">
        <f>if(or('Avaliações'!D52="falta",'Avaliações'!D52=""),"-",if('Avaliações'!D52="presente", IF(SUM(E51*0.25,F51*0.5,G51*0.125,H51*0.125)=0,"-",SUM(E51*0.25,F51*0.5,G51*0.125,H51*0.125))))</f>
        <v>-</v>
      </c>
    </row>
    <row r="52" ht="15.75" customHeight="1">
      <c r="A52" s="134">
        <v>50.0</v>
      </c>
      <c r="B52" s="148" t="str">
        <f>IF(Preenchimento!B59="","-",Preenchimento!B59)</f>
        <v>-</v>
      </c>
      <c r="C52" s="149" t="str">
        <f>'Avaliações'!D53</f>
        <v/>
      </c>
      <c r="D52" s="150" t="str">
        <f>IF(Preenchimento!D59="","-",Preenchimento!D59)</f>
        <v>-</v>
      </c>
      <c r="E52" s="148"/>
      <c r="F52" s="150"/>
      <c r="G52" s="150"/>
      <c r="H52" s="151"/>
      <c r="I52" s="152" t="str">
        <f>if(or('Avaliações'!D53="falta",'Avaliações'!D53=""),"-",if('Avaliações'!D53="presente", IF(SUM(E52*0.25,F52*0.5,G52*0.125,H52*0.125)=0,"-",SUM(E52*0.25,F52*0.5,G52*0.125,H52*0.125))))</f>
        <v>-</v>
      </c>
    </row>
    <row r="53" ht="15.75" customHeight="1">
      <c r="A53" s="134">
        <v>51.0</v>
      </c>
      <c r="B53" s="19" t="str">
        <f>IF(Preenchimento!B60="","-",Preenchimento!B60)</f>
        <v>-</v>
      </c>
      <c r="C53" s="135" t="str">
        <f>'Avaliações'!D54</f>
        <v/>
      </c>
      <c r="D53" s="136" t="str">
        <f>IF(Preenchimento!D60="","-",Preenchimento!D60)</f>
        <v>-</v>
      </c>
      <c r="E53" s="153"/>
      <c r="F53" s="136"/>
      <c r="G53" s="136"/>
      <c r="H53" s="154"/>
      <c r="I53" s="140" t="str">
        <f>IF(OR('Avaliações'!D54="falta",'Avaliações'!D54=""),"-",IF('Avaliações'!D54="presente", IF(SUM(E53*0.25,F53*0.5,G53*0.125,H53*0.125)=0,"-",SUM(E53*0.25,F53*0.5,G53*0.125,H53*0.125))))</f>
        <v>-</v>
      </c>
    </row>
    <row r="54" ht="15.75" customHeight="1">
      <c r="A54" s="134">
        <v>52.0</v>
      </c>
      <c r="B54" s="141" t="str">
        <f>IF(Preenchimento!B61="","-",Preenchimento!B61)</f>
        <v>-</v>
      </c>
      <c r="C54" s="142" t="str">
        <f>'Avaliações'!D55</f>
        <v/>
      </c>
      <c r="D54" s="143" t="str">
        <f>IF(Preenchimento!D61="","-",Preenchimento!D61)</f>
        <v>-</v>
      </c>
      <c r="E54" s="144"/>
      <c r="F54" s="143"/>
      <c r="G54" s="143"/>
      <c r="H54" s="145"/>
      <c r="I54" s="146" t="str">
        <f>IF(OR('Avaliações'!D55="falta",'Avaliações'!D55=""),"-",IF('Avaliações'!D55="presente", IF(SUM(E54*0.25,F54*0.5,G54*0.125,H54*0.125)=0,"-",SUM(E54*0.25,F54*0.5,G54*0.125,H54*0.125))))</f>
        <v>-</v>
      </c>
    </row>
    <row r="55" ht="15.75" customHeight="1">
      <c r="A55" s="134">
        <v>53.0</v>
      </c>
      <c r="B55" s="19" t="str">
        <f>IF(Preenchimento!B62="","-",Preenchimento!B62)</f>
        <v>-</v>
      </c>
      <c r="C55" s="135" t="str">
        <f>'Avaliações'!D56</f>
        <v/>
      </c>
      <c r="D55" s="138" t="str">
        <f>IF(Preenchimento!D62="","-",Preenchimento!D62)</f>
        <v>-</v>
      </c>
      <c r="E55" s="137"/>
      <c r="F55" s="138"/>
      <c r="G55" s="138"/>
      <c r="H55" s="139"/>
      <c r="I55" s="147" t="str">
        <f>IF(OR('Avaliações'!D56="falta",'Avaliações'!D56=""),"-",IF('Avaliações'!D56="presente", IF(SUM(E55*0.25,F55*0.5,G55*0.125,H55*0.125)=0,"-",SUM(E55*0.25,F55*0.5,G55*0.125,H55*0.125))))</f>
        <v>-</v>
      </c>
    </row>
    <row r="56" ht="15.75" customHeight="1">
      <c r="A56" s="134">
        <v>54.0</v>
      </c>
      <c r="B56" s="141" t="str">
        <f>IF(Preenchimento!B63="","-",Preenchimento!B63)</f>
        <v>-</v>
      </c>
      <c r="C56" s="142" t="str">
        <f>'Avaliações'!D57</f>
        <v/>
      </c>
      <c r="D56" s="143" t="str">
        <f>IF(Preenchimento!D63="","-",Preenchimento!D63)</f>
        <v>-</v>
      </c>
      <c r="E56" s="144"/>
      <c r="F56" s="143"/>
      <c r="G56" s="143"/>
      <c r="H56" s="145"/>
      <c r="I56" s="146" t="str">
        <f>IF(OR('Avaliações'!D57="falta",'Avaliações'!D57=""),"-",IF('Avaliações'!D57="presente", IF(SUM(E56*0.25,F56*0.5,G56*0.125,H56*0.125)=0,"-",SUM(E56*0.25,F56*0.5,G56*0.125,H56*0.125))))</f>
        <v>-</v>
      </c>
    </row>
    <row r="57" ht="15.75" customHeight="1">
      <c r="A57" s="134">
        <v>55.0</v>
      </c>
      <c r="B57" s="19" t="str">
        <f>IF(Preenchimento!B64="","-",Preenchimento!B64)</f>
        <v>-</v>
      </c>
      <c r="C57" s="135" t="str">
        <f>'Avaliações'!D58</f>
        <v/>
      </c>
      <c r="D57" s="138" t="str">
        <f>IF(Preenchimento!D64="","-",Preenchimento!D64)</f>
        <v>-</v>
      </c>
      <c r="E57" s="137"/>
      <c r="F57" s="138"/>
      <c r="G57" s="138"/>
      <c r="H57" s="139"/>
      <c r="I57" s="147" t="str">
        <f>IF(OR('Avaliações'!D58="falta",'Avaliações'!D58=""),"-",IF('Avaliações'!D58="presente", IF(SUM(E57*0.25,F57*0.5,G57*0.125,H57*0.125)=0,"-",SUM(E57*0.25,F57*0.5,G57*0.125,H57*0.125))))</f>
        <v>-</v>
      </c>
    </row>
    <row r="58" ht="15.75" customHeight="1">
      <c r="A58" s="134">
        <v>56.0</v>
      </c>
      <c r="B58" s="141" t="str">
        <f>IF(Preenchimento!B65="","-",Preenchimento!B65)</f>
        <v>-</v>
      </c>
      <c r="C58" s="142" t="str">
        <f>'Avaliações'!D59</f>
        <v/>
      </c>
      <c r="D58" s="143" t="str">
        <f>IF(Preenchimento!D65="","-",Preenchimento!D65)</f>
        <v>-</v>
      </c>
      <c r="E58" s="144"/>
      <c r="F58" s="143"/>
      <c r="G58" s="143"/>
      <c r="H58" s="145"/>
      <c r="I58" s="146" t="str">
        <f>IF(OR('Avaliações'!D59="falta",'Avaliações'!D59=""),"-",IF('Avaliações'!D59="presente", IF(SUM(E58*0.25,F58*0.5,G58*0.125,H58*0.125)=0,"-",SUM(E58*0.25,F58*0.5,G58*0.125,H58*0.125))))</f>
        <v>-</v>
      </c>
    </row>
    <row r="59" ht="15.75" customHeight="1">
      <c r="A59" s="134">
        <v>57.0</v>
      </c>
      <c r="B59" s="19" t="str">
        <f>IF(Preenchimento!B66="","-",Preenchimento!B66)</f>
        <v>-</v>
      </c>
      <c r="C59" s="135" t="str">
        <f>'Avaliações'!D60</f>
        <v/>
      </c>
      <c r="D59" s="138" t="str">
        <f>IF(Preenchimento!D66="","-",Preenchimento!D66)</f>
        <v>-</v>
      </c>
      <c r="E59" s="137"/>
      <c r="F59" s="138"/>
      <c r="G59" s="138"/>
      <c r="H59" s="139"/>
      <c r="I59" s="147" t="str">
        <f>IF(OR('Avaliações'!D60="falta",'Avaliações'!D60=""),"-",IF('Avaliações'!D60="presente", IF(SUM(E59*0.25,F59*0.5,G59*0.125,H59*0.125)=0,"-",SUM(E59*0.25,F59*0.5,G59*0.125,H59*0.125))))</f>
        <v>-</v>
      </c>
    </row>
    <row r="60" ht="15.75" customHeight="1">
      <c r="A60" s="134">
        <v>58.0</v>
      </c>
      <c r="B60" s="141" t="str">
        <f>IF(Preenchimento!B67="","-",Preenchimento!B67)</f>
        <v>-</v>
      </c>
      <c r="C60" s="142" t="str">
        <f>'Avaliações'!D61</f>
        <v/>
      </c>
      <c r="D60" s="143" t="str">
        <f>IF(Preenchimento!D67="","-",Preenchimento!D67)</f>
        <v>-</v>
      </c>
      <c r="E60" s="144"/>
      <c r="F60" s="143"/>
      <c r="G60" s="143"/>
      <c r="H60" s="145"/>
      <c r="I60" s="146" t="str">
        <f>IF(OR('Avaliações'!D61="falta",'Avaliações'!D61=""),"-",IF('Avaliações'!D61="presente", IF(SUM(E60*0.25,F60*0.5,G60*0.125,H60*0.125)=0,"-",SUM(E60*0.25,F60*0.5,G60*0.125,H60*0.125))))</f>
        <v>-</v>
      </c>
    </row>
    <row r="61" ht="15.75" customHeight="1">
      <c r="A61" s="134">
        <v>59.0</v>
      </c>
      <c r="B61" s="19" t="str">
        <f>IF(Preenchimento!B68="","-",Preenchimento!B68)</f>
        <v>-</v>
      </c>
      <c r="C61" s="135" t="str">
        <f>'Avaliações'!D62</f>
        <v/>
      </c>
      <c r="D61" s="138" t="str">
        <f>IF(Preenchimento!D68="","-",Preenchimento!D68)</f>
        <v>-</v>
      </c>
      <c r="E61" s="137"/>
      <c r="F61" s="138"/>
      <c r="G61" s="138"/>
      <c r="H61" s="139"/>
      <c r="I61" s="147" t="str">
        <f>IF(OR('Avaliações'!D62="falta",'Avaliações'!D62=""),"-",IF('Avaliações'!D62="presente", IF(SUM(E61*0.25,F61*0.5,G61*0.125,H61*0.125)=0,"-",SUM(E61*0.25,F61*0.5,G61*0.125,H61*0.125))))</f>
        <v>-</v>
      </c>
    </row>
    <row r="62" ht="15.75" customHeight="1">
      <c r="A62" s="134">
        <v>60.0</v>
      </c>
      <c r="B62" s="141" t="str">
        <f>IF(Preenchimento!B69="","-",Preenchimento!B69)</f>
        <v>-</v>
      </c>
      <c r="C62" s="142" t="str">
        <f>'Avaliações'!D63</f>
        <v/>
      </c>
      <c r="D62" s="143" t="str">
        <f>IF(Preenchimento!D69="","-",Preenchimento!D69)</f>
        <v>-</v>
      </c>
      <c r="E62" s="144"/>
      <c r="F62" s="143"/>
      <c r="G62" s="143"/>
      <c r="H62" s="145"/>
      <c r="I62" s="146" t="str">
        <f>IF(OR('Avaliações'!D63="falta",'Avaliações'!D63=""),"-",IF('Avaliações'!D63="presente", IF(SUM(E62*0.25,F62*0.5,G62*0.125,H62*0.125)=0,"-",SUM(E62*0.25,F62*0.5,G62*0.125,H62*0.125))))</f>
        <v>-</v>
      </c>
    </row>
    <row r="63" ht="15.75" customHeight="1">
      <c r="A63" s="134">
        <v>61.0</v>
      </c>
      <c r="B63" s="19" t="str">
        <f>IF(Preenchimento!B70="","-",Preenchimento!B70)</f>
        <v>-</v>
      </c>
      <c r="C63" s="135" t="str">
        <f>'Avaliações'!D64</f>
        <v/>
      </c>
      <c r="D63" s="138" t="str">
        <f>IF(Preenchimento!D70="","-",Preenchimento!D70)</f>
        <v>-</v>
      </c>
      <c r="E63" s="137"/>
      <c r="F63" s="138"/>
      <c r="G63" s="138"/>
      <c r="H63" s="139"/>
      <c r="I63" s="147" t="str">
        <f>IF(OR('Avaliações'!D64="falta",'Avaliações'!D64=""),"-",IF('Avaliações'!D64="presente", IF(SUM(E63*0.25,F63*0.5,G63*0.125,H63*0.125)=0,"-",SUM(E63*0.25,F63*0.5,G63*0.125,H63*0.125))))</f>
        <v>-</v>
      </c>
    </row>
    <row r="64" ht="15.75" customHeight="1">
      <c r="A64" s="134">
        <v>62.0</v>
      </c>
      <c r="B64" s="141" t="str">
        <f>IF(Preenchimento!B71="","-",Preenchimento!B71)</f>
        <v>-</v>
      </c>
      <c r="C64" s="142" t="str">
        <f>'Avaliações'!D65</f>
        <v/>
      </c>
      <c r="D64" s="143" t="str">
        <f>IF(Preenchimento!D71="","-",Preenchimento!D71)</f>
        <v>-</v>
      </c>
      <c r="E64" s="144"/>
      <c r="F64" s="143"/>
      <c r="G64" s="143"/>
      <c r="H64" s="145"/>
      <c r="I64" s="146" t="str">
        <f>IF(OR('Avaliações'!D65="falta",'Avaliações'!D65=""),"-",IF('Avaliações'!D65="presente", IF(SUM(E64*0.25,F64*0.5,G64*0.125,H64*0.125)=0,"-",SUM(E64*0.25,F64*0.5,G64*0.125,H64*0.125))))</f>
        <v>-</v>
      </c>
    </row>
    <row r="65" ht="15.75" customHeight="1">
      <c r="A65" s="134">
        <v>63.0</v>
      </c>
      <c r="B65" s="19" t="str">
        <f>IF(Preenchimento!B72="","-",Preenchimento!B72)</f>
        <v>-</v>
      </c>
      <c r="C65" s="135" t="str">
        <f>'Avaliações'!D66</f>
        <v/>
      </c>
      <c r="D65" s="138" t="str">
        <f>IF(Preenchimento!D72="","-",Preenchimento!D72)</f>
        <v>-</v>
      </c>
      <c r="E65" s="137"/>
      <c r="F65" s="138"/>
      <c r="G65" s="138"/>
      <c r="H65" s="139"/>
      <c r="I65" s="147" t="str">
        <f>IF(OR('Avaliações'!D66="falta",'Avaliações'!D66=""),"-",IF('Avaliações'!D66="presente", IF(SUM(E65*0.25,F65*0.5,G65*0.125,H65*0.125)=0,"-",SUM(E65*0.25,F65*0.5,G65*0.125,H65*0.125))))</f>
        <v>-</v>
      </c>
    </row>
    <row r="66" ht="15.75" customHeight="1">
      <c r="A66" s="134">
        <v>64.0</v>
      </c>
      <c r="B66" s="141" t="str">
        <f>IF(Preenchimento!B73="","-",Preenchimento!B73)</f>
        <v>-</v>
      </c>
      <c r="C66" s="142" t="str">
        <f>'Avaliações'!D67</f>
        <v/>
      </c>
      <c r="D66" s="143" t="str">
        <f>IF(Preenchimento!D73="","-",Preenchimento!D73)</f>
        <v>-</v>
      </c>
      <c r="E66" s="144"/>
      <c r="F66" s="143"/>
      <c r="G66" s="143"/>
      <c r="H66" s="145"/>
      <c r="I66" s="146" t="str">
        <f>IF(OR('Avaliações'!D67="falta",'Avaliações'!D67=""),"-",IF('Avaliações'!D67="presente", IF(SUM(E66*0.25,F66*0.5,G66*0.125,H66*0.125)=0,"-",SUM(E66*0.25,F66*0.5,G66*0.125,H66*0.125))))</f>
        <v>-</v>
      </c>
    </row>
    <row r="67" ht="15.75" customHeight="1">
      <c r="A67" s="134">
        <v>65.0</v>
      </c>
      <c r="B67" s="19" t="str">
        <f>IF(Preenchimento!B74="","-",Preenchimento!B74)</f>
        <v>-</v>
      </c>
      <c r="C67" s="135" t="str">
        <f>'Avaliações'!D68</f>
        <v/>
      </c>
      <c r="D67" s="138" t="str">
        <f>IF(Preenchimento!D74="","-",Preenchimento!D74)</f>
        <v>-</v>
      </c>
      <c r="E67" s="137"/>
      <c r="F67" s="138"/>
      <c r="G67" s="138"/>
      <c r="H67" s="139"/>
      <c r="I67" s="147" t="str">
        <f>IF(OR('Avaliações'!D68="falta",'Avaliações'!D68=""),"-",IF('Avaliações'!D68="presente", IF(SUM(E67*0.25,F67*0.5,G67*0.125,H67*0.125)=0,"-",SUM(E67*0.25,F67*0.5,G67*0.125,H67*0.125))))</f>
        <v>-</v>
      </c>
    </row>
    <row r="68" ht="15.75" customHeight="1">
      <c r="A68" s="134">
        <v>66.0</v>
      </c>
      <c r="B68" s="141" t="str">
        <f>IF(Preenchimento!B75="","-",Preenchimento!B75)</f>
        <v>-</v>
      </c>
      <c r="C68" s="142" t="str">
        <f>'Avaliações'!D69</f>
        <v/>
      </c>
      <c r="D68" s="143" t="str">
        <f>IF(Preenchimento!D75="","-",Preenchimento!D75)</f>
        <v>-</v>
      </c>
      <c r="E68" s="144"/>
      <c r="F68" s="143"/>
      <c r="G68" s="143"/>
      <c r="H68" s="145"/>
      <c r="I68" s="146" t="str">
        <f>IF(OR('Avaliações'!D69="falta",'Avaliações'!D69=""),"-",IF('Avaliações'!D69="presente", IF(SUM(E68*0.25,F68*0.5,G68*0.125,H68*0.125)=0,"-",SUM(E68*0.25,F68*0.5,G68*0.125,H68*0.125))))</f>
        <v>-</v>
      </c>
    </row>
    <row r="69" ht="15.75" customHeight="1">
      <c r="A69" s="134">
        <v>67.0</v>
      </c>
      <c r="B69" s="19" t="str">
        <f>IF(Preenchimento!B76="","-",Preenchimento!B76)</f>
        <v>-</v>
      </c>
      <c r="C69" s="135" t="str">
        <f>'Avaliações'!D70</f>
        <v/>
      </c>
      <c r="D69" s="138" t="str">
        <f>IF(Preenchimento!D76="","-",Preenchimento!D76)</f>
        <v>-</v>
      </c>
      <c r="E69" s="137"/>
      <c r="F69" s="138"/>
      <c r="G69" s="138"/>
      <c r="H69" s="139"/>
      <c r="I69" s="147" t="str">
        <f>IF(OR('Avaliações'!D70="falta",'Avaliações'!D70=""),"-",IF('Avaliações'!D70="presente", IF(SUM(E69*0.25,F69*0.5,G69*0.125,H69*0.125)=0,"-",SUM(E69*0.25,F69*0.5,G69*0.125,H69*0.125))))</f>
        <v>-</v>
      </c>
    </row>
    <row r="70" ht="15.75" customHeight="1">
      <c r="A70" s="134">
        <v>68.0</v>
      </c>
      <c r="B70" s="141" t="str">
        <f>IF(Preenchimento!B77="","-",Preenchimento!B77)</f>
        <v>-</v>
      </c>
      <c r="C70" s="142" t="str">
        <f>'Avaliações'!D71</f>
        <v/>
      </c>
      <c r="D70" s="143" t="str">
        <f>IF(Preenchimento!D77="","-",Preenchimento!D77)</f>
        <v>-</v>
      </c>
      <c r="E70" s="144"/>
      <c r="F70" s="143"/>
      <c r="G70" s="143"/>
      <c r="H70" s="145"/>
      <c r="I70" s="146" t="str">
        <f>IF(OR('Avaliações'!D71="falta",'Avaliações'!D71=""),"-",IF('Avaliações'!D71="presente", IF(SUM(E70*0.25,F70*0.5,G70*0.125,H70*0.125)=0,"-",SUM(E70*0.25,F70*0.5,G70*0.125,H70*0.125))))</f>
        <v>-</v>
      </c>
    </row>
    <row r="71" ht="15.75" customHeight="1">
      <c r="A71" s="134">
        <v>69.0</v>
      </c>
      <c r="B71" s="19" t="str">
        <f>IF(Preenchimento!B78="","-",Preenchimento!B78)</f>
        <v>-</v>
      </c>
      <c r="C71" s="135" t="str">
        <f>'Avaliações'!D72</f>
        <v/>
      </c>
      <c r="D71" s="138" t="str">
        <f>IF(Preenchimento!D78="","-",Preenchimento!D78)</f>
        <v>-</v>
      </c>
      <c r="E71" s="137"/>
      <c r="F71" s="138"/>
      <c r="G71" s="138"/>
      <c r="H71" s="139"/>
      <c r="I71" s="147" t="str">
        <f>IF(OR('Avaliações'!D72="falta",'Avaliações'!D72=""),"-",IF('Avaliações'!D72="presente", IF(SUM(E71*0.25,F71*0.5,G71*0.125,H71*0.125)=0,"-",SUM(E71*0.25,F71*0.5,G71*0.125,H71*0.125))))</f>
        <v>-</v>
      </c>
    </row>
    <row r="72" ht="15.75" customHeight="1">
      <c r="A72" s="134">
        <v>70.0</v>
      </c>
      <c r="B72" s="141" t="str">
        <f>IF(Preenchimento!B79="","-",Preenchimento!B79)</f>
        <v>-</v>
      </c>
      <c r="C72" s="142" t="str">
        <f>'Avaliações'!D73</f>
        <v/>
      </c>
      <c r="D72" s="143" t="str">
        <f>IF(Preenchimento!D79="","-",Preenchimento!D79)</f>
        <v>-</v>
      </c>
      <c r="E72" s="144"/>
      <c r="F72" s="143"/>
      <c r="G72" s="143"/>
      <c r="H72" s="145"/>
      <c r="I72" s="146" t="str">
        <f>IF(OR('Avaliações'!D73="falta",'Avaliações'!D73=""),"-",IF('Avaliações'!D73="presente", IF(SUM(E72*0.25,F72*0.5,G72*0.125,H72*0.125)=0,"-",SUM(E72*0.25,F72*0.5,G72*0.125,H72*0.125))))</f>
        <v>-</v>
      </c>
    </row>
    <row r="73" ht="15.75" customHeight="1">
      <c r="A73" s="134">
        <v>71.0</v>
      </c>
      <c r="B73" s="19" t="str">
        <f>IF(Preenchimento!B80="","-",Preenchimento!B80)</f>
        <v>-</v>
      </c>
      <c r="C73" s="135" t="str">
        <f>'Avaliações'!D74</f>
        <v/>
      </c>
      <c r="D73" s="138" t="str">
        <f>IF(Preenchimento!D80="","-",Preenchimento!D80)</f>
        <v>-</v>
      </c>
      <c r="E73" s="137"/>
      <c r="F73" s="138"/>
      <c r="G73" s="138"/>
      <c r="H73" s="139"/>
      <c r="I73" s="147" t="str">
        <f>IF(OR('Avaliações'!D74="falta",'Avaliações'!D74=""),"-",IF('Avaliações'!D74="presente", IF(SUM(E73*0.25,F73*0.5,G73*0.125,H73*0.125)=0,"-",SUM(E73*0.25,F73*0.5,G73*0.125,H73*0.125))))</f>
        <v>-</v>
      </c>
    </row>
    <row r="74" ht="15.75" customHeight="1">
      <c r="A74" s="134">
        <v>72.0</v>
      </c>
      <c r="B74" s="141" t="str">
        <f>IF(Preenchimento!B81="","-",Preenchimento!B81)</f>
        <v>-</v>
      </c>
      <c r="C74" s="142" t="str">
        <f>'Avaliações'!D75</f>
        <v/>
      </c>
      <c r="D74" s="143" t="str">
        <f>IF(Preenchimento!D81="","-",Preenchimento!D81)</f>
        <v>-</v>
      </c>
      <c r="E74" s="144"/>
      <c r="F74" s="143"/>
      <c r="G74" s="143"/>
      <c r="H74" s="145"/>
      <c r="I74" s="146" t="str">
        <f>IF(OR('Avaliações'!D75="falta",'Avaliações'!D75=""),"-",IF('Avaliações'!D75="presente", IF(SUM(E74*0.25,F74*0.5,G74*0.125,H74*0.125)=0,"-",SUM(E74*0.25,F74*0.5,G74*0.125,H74*0.125))))</f>
        <v>-</v>
      </c>
    </row>
    <row r="75" ht="15.75" customHeight="1">
      <c r="A75" s="134">
        <v>73.0</v>
      </c>
      <c r="B75" s="19" t="str">
        <f>IF(Preenchimento!B82="","-",Preenchimento!B82)</f>
        <v>-</v>
      </c>
      <c r="C75" s="135" t="str">
        <f>'Avaliações'!D76</f>
        <v/>
      </c>
      <c r="D75" s="138" t="str">
        <f>IF(Preenchimento!D82="","-",Preenchimento!D82)</f>
        <v>-</v>
      </c>
      <c r="E75" s="137"/>
      <c r="F75" s="138"/>
      <c r="G75" s="138"/>
      <c r="H75" s="139"/>
      <c r="I75" s="147" t="str">
        <f>IF(OR('Avaliações'!D76="falta",'Avaliações'!D76=""),"-",IF('Avaliações'!D76="presente", IF(SUM(E75*0.25,F75*0.5,G75*0.125,H75*0.125)=0,"-",SUM(E75*0.25,F75*0.5,G75*0.125,H75*0.125))))</f>
        <v>-</v>
      </c>
    </row>
    <row r="76" ht="15.75" customHeight="1">
      <c r="A76" s="134">
        <v>74.0</v>
      </c>
      <c r="B76" s="141" t="str">
        <f>IF(Preenchimento!B83="","-",Preenchimento!B83)</f>
        <v>-</v>
      </c>
      <c r="C76" s="142" t="str">
        <f>'Avaliações'!D77</f>
        <v/>
      </c>
      <c r="D76" s="143" t="str">
        <f>IF(Preenchimento!D83="","-",Preenchimento!D83)</f>
        <v>-</v>
      </c>
      <c r="E76" s="144"/>
      <c r="F76" s="143"/>
      <c r="G76" s="143"/>
      <c r="H76" s="145"/>
      <c r="I76" s="146" t="str">
        <f>IF(OR('Avaliações'!D77="falta",'Avaliações'!D77=""),"-",IF('Avaliações'!D77="presente", IF(SUM(E76*0.25,F76*0.5,G76*0.125,H76*0.125)=0,"-",SUM(E76*0.25,F76*0.5,G76*0.125,H76*0.125))))</f>
        <v>-</v>
      </c>
    </row>
    <row r="77" ht="15.75" customHeight="1">
      <c r="A77" s="134">
        <v>75.0</v>
      </c>
      <c r="B77" s="19" t="str">
        <f>IF(Preenchimento!B84="","-",Preenchimento!B84)</f>
        <v>-</v>
      </c>
      <c r="C77" s="135" t="str">
        <f>'Avaliações'!D78</f>
        <v/>
      </c>
      <c r="D77" s="138" t="str">
        <f>IF(Preenchimento!D84="","-",Preenchimento!D84)</f>
        <v>-</v>
      </c>
      <c r="E77" s="137"/>
      <c r="F77" s="138"/>
      <c r="G77" s="138"/>
      <c r="H77" s="139"/>
      <c r="I77" s="147" t="str">
        <f>IF(OR('Avaliações'!D78="falta",'Avaliações'!D78=""),"-",IF('Avaliações'!D78="presente", IF(SUM(E77*0.25,F77*0.5,G77*0.125,H77*0.125)=0,"-",SUM(E77*0.25,F77*0.5,G77*0.125,H77*0.125))))</f>
        <v>-</v>
      </c>
    </row>
    <row r="78" ht="15.75" customHeight="1">
      <c r="A78" s="134">
        <v>81.0</v>
      </c>
      <c r="B78" s="141" t="str">
        <f>IF(Preenchimento!B85="","-",Preenchimento!B85)</f>
        <v>-</v>
      </c>
      <c r="C78" s="142" t="str">
        <f>'Avaliações'!D79</f>
        <v/>
      </c>
      <c r="D78" s="143" t="str">
        <f>IF(Preenchimento!D85="","-",Preenchimento!D85)</f>
        <v>-</v>
      </c>
      <c r="E78" s="144"/>
      <c r="F78" s="143"/>
      <c r="G78" s="143"/>
      <c r="H78" s="145"/>
      <c r="I78" s="146" t="str">
        <f>IF(OR('Avaliações'!D79="falta",'Avaliações'!D79=""),"-",IF('Avaliações'!D79="presente", IF(SUM(E78*0.25,F78*0.5,G78*0.125,H78*0.125)=0,"-",SUM(E78*0.25,F78*0.5,G78*0.125,H78*0.125))))</f>
        <v>-</v>
      </c>
    </row>
    <row r="79" ht="15.75" customHeight="1">
      <c r="A79" s="134">
        <v>77.0</v>
      </c>
      <c r="B79" s="19" t="str">
        <f>IF(Preenchimento!B86="","-",Preenchimento!B86)</f>
        <v>-</v>
      </c>
      <c r="C79" s="135" t="str">
        <f>'Avaliações'!D80</f>
        <v/>
      </c>
      <c r="D79" s="138" t="str">
        <f>IF(Preenchimento!D86="","-",Preenchimento!D86)</f>
        <v>-</v>
      </c>
      <c r="E79" s="137"/>
      <c r="F79" s="138"/>
      <c r="G79" s="138"/>
      <c r="H79" s="139"/>
      <c r="I79" s="147" t="str">
        <f>IF(OR('Avaliações'!D80="falta",'Avaliações'!D80=""),"-",IF('Avaliações'!D80="presente", IF(SUM(E79*0.25,F79*0.5,G79*0.125,H79*0.125)=0,"-",SUM(E79*0.25,F79*0.5,G79*0.125,H79*0.125))))</f>
        <v>-</v>
      </c>
    </row>
    <row r="80" ht="15.75" customHeight="1">
      <c r="A80" s="134">
        <v>78.0</v>
      </c>
      <c r="B80" s="141" t="str">
        <f>IF(Preenchimento!B87="","-",Preenchimento!B87)</f>
        <v>-</v>
      </c>
      <c r="C80" s="142" t="str">
        <f>'Avaliações'!D81</f>
        <v/>
      </c>
      <c r="D80" s="143" t="str">
        <f>IF(Preenchimento!D87="","-",Preenchimento!D87)</f>
        <v>-</v>
      </c>
      <c r="E80" s="144"/>
      <c r="F80" s="143"/>
      <c r="G80" s="143"/>
      <c r="H80" s="145"/>
      <c r="I80" s="146" t="str">
        <f>IF(OR('Avaliações'!D81="falta",'Avaliações'!D81=""),"-",IF('Avaliações'!D81="presente", IF(SUM(E80*0.25,F80*0.5,G80*0.125,H80*0.125)=0,"-",SUM(E80*0.25,F80*0.5,G80*0.125,H80*0.125))))</f>
        <v>-</v>
      </c>
    </row>
    <row r="81" ht="15.75" customHeight="1">
      <c r="A81" s="134">
        <v>79.0</v>
      </c>
      <c r="B81" s="19" t="str">
        <f>IF(Preenchimento!B88="","-",Preenchimento!B88)</f>
        <v>-</v>
      </c>
      <c r="C81" s="135" t="str">
        <f>'Avaliações'!D82</f>
        <v/>
      </c>
      <c r="D81" s="138" t="str">
        <f>IF(Preenchimento!D88="","-",Preenchimento!D88)</f>
        <v>-</v>
      </c>
      <c r="E81" s="137"/>
      <c r="F81" s="138"/>
      <c r="G81" s="138"/>
      <c r="H81" s="139"/>
      <c r="I81" s="147" t="str">
        <f>IF(OR('Avaliações'!D82="falta",'Avaliações'!D82=""),"-",IF('Avaliações'!D82="presente", IF(SUM(E81*0.25,F81*0.5,G81*0.125,H81*0.125)=0,"-",SUM(E81*0.25,F81*0.5,G81*0.125,H81*0.125))))</f>
        <v>-</v>
      </c>
    </row>
    <row r="82" ht="15.75" customHeight="1">
      <c r="A82" s="134">
        <v>80.0</v>
      </c>
      <c r="B82" s="141" t="str">
        <f>IF(Preenchimento!B89="","-",Preenchimento!B89)</f>
        <v>-</v>
      </c>
      <c r="C82" s="142" t="str">
        <f>'Avaliações'!D83</f>
        <v/>
      </c>
      <c r="D82" s="143" t="str">
        <f>IF(Preenchimento!D89="","-",Preenchimento!D89)</f>
        <v>-</v>
      </c>
      <c r="E82" s="144"/>
      <c r="F82" s="143"/>
      <c r="G82" s="143"/>
      <c r="H82" s="145"/>
      <c r="I82" s="146" t="str">
        <f>IF(OR('Avaliações'!D83="falta",'Avaliações'!D83=""),"-",IF('Avaliações'!D83="presente", IF(SUM(E82*0.25,F82*0.5,G82*0.125,H82*0.125)=0,"-",SUM(E82*0.25,F82*0.5,G82*0.125,H82*0.125))))</f>
        <v>-</v>
      </c>
    </row>
    <row r="83" ht="15.75" customHeight="1">
      <c r="A83" s="134">
        <v>81.0</v>
      </c>
      <c r="B83" s="19" t="str">
        <f>IF(Preenchimento!B90="","-",Preenchimento!B90)</f>
        <v>-</v>
      </c>
      <c r="C83" s="135" t="str">
        <f>'Avaliações'!D84</f>
        <v/>
      </c>
      <c r="D83" s="138" t="str">
        <f>IF(Preenchimento!D90="","-",Preenchimento!D90)</f>
        <v>-</v>
      </c>
      <c r="E83" s="137"/>
      <c r="F83" s="138"/>
      <c r="G83" s="138"/>
      <c r="H83" s="139"/>
      <c r="I83" s="147" t="str">
        <f>IF(OR('Avaliações'!D84="falta",'Avaliações'!D84=""),"-",IF('Avaliações'!D84="presente", IF(SUM(E83*0.25,F83*0.5,G83*0.125,H83*0.125)=0,"-",SUM(E83*0.25,F83*0.5,G83*0.125,H83*0.125))))</f>
        <v>-</v>
      </c>
    </row>
    <row r="84" ht="15.75" customHeight="1">
      <c r="A84" s="134">
        <v>82.0</v>
      </c>
      <c r="B84" s="141" t="str">
        <f>IF(Preenchimento!B91="","-",Preenchimento!B91)</f>
        <v>-</v>
      </c>
      <c r="C84" s="142" t="str">
        <f>'Avaliações'!D85</f>
        <v/>
      </c>
      <c r="D84" s="143" t="str">
        <f>IF(Preenchimento!D91="","-",Preenchimento!D91)</f>
        <v>-</v>
      </c>
      <c r="E84" s="144"/>
      <c r="F84" s="143"/>
      <c r="G84" s="143"/>
      <c r="H84" s="145"/>
      <c r="I84" s="146" t="str">
        <f>IF(OR('Avaliações'!D85="falta",'Avaliações'!D85=""),"-",IF('Avaliações'!D85="presente", IF(SUM(E84*0.25,F84*0.5,G84*0.125,H84*0.125)=0,"-",SUM(E84*0.25,F84*0.5,G84*0.125,H84*0.125))))</f>
        <v>-</v>
      </c>
    </row>
    <row r="85" ht="15.75" customHeight="1">
      <c r="A85" s="134">
        <v>83.0</v>
      </c>
      <c r="B85" s="19" t="str">
        <f>IF(Preenchimento!B92="","-",Preenchimento!B92)</f>
        <v>-</v>
      </c>
      <c r="C85" s="135" t="str">
        <f>'Avaliações'!D86</f>
        <v/>
      </c>
      <c r="D85" s="138" t="str">
        <f>IF(Preenchimento!D92="","-",Preenchimento!D92)</f>
        <v>-</v>
      </c>
      <c r="E85" s="137"/>
      <c r="F85" s="138"/>
      <c r="G85" s="138"/>
      <c r="H85" s="139"/>
      <c r="I85" s="147" t="str">
        <f>IF(OR('Avaliações'!D86="falta",'Avaliações'!D86=""),"-",IF('Avaliações'!D86="presente", IF(SUM(E85*0.25,F85*0.5,G85*0.125,H85*0.125)=0,"-",SUM(E85*0.25,F85*0.5,G85*0.125,H85*0.125))))</f>
        <v>-</v>
      </c>
    </row>
    <row r="86" ht="15.75" customHeight="1">
      <c r="A86" s="134">
        <v>84.0</v>
      </c>
      <c r="B86" s="141" t="str">
        <f>IF(Preenchimento!B93="","-",Preenchimento!B93)</f>
        <v>-</v>
      </c>
      <c r="C86" s="142" t="str">
        <f>'Avaliações'!D87</f>
        <v/>
      </c>
      <c r="D86" s="143" t="str">
        <f>IF(Preenchimento!D93="","-",Preenchimento!D93)</f>
        <v>-</v>
      </c>
      <c r="E86" s="144"/>
      <c r="F86" s="143"/>
      <c r="G86" s="143"/>
      <c r="H86" s="145"/>
      <c r="I86" s="146" t="str">
        <f>IF(OR('Avaliações'!D87="falta",'Avaliações'!D87=""),"-",IF('Avaliações'!D87="presente", IF(SUM(E86*0.25,F86*0.5,G86*0.125,H86*0.125)=0,"-",SUM(E86*0.25,F86*0.5,G86*0.125,H86*0.125))))</f>
        <v>-</v>
      </c>
    </row>
    <row r="87" ht="15.75" customHeight="1">
      <c r="A87" s="134">
        <v>85.0</v>
      </c>
      <c r="B87" s="19" t="str">
        <f>IF(Preenchimento!B94="","-",Preenchimento!B94)</f>
        <v>-</v>
      </c>
      <c r="C87" s="135" t="str">
        <f>'Avaliações'!D88</f>
        <v/>
      </c>
      <c r="D87" s="138" t="str">
        <f>IF(Preenchimento!D94="","-",Preenchimento!D94)</f>
        <v>-</v>
      </c>
      <c r="E87" s="137"/>
      <c r="F87" s="138"/>
      <c r="G87" s="138"/>
      <c r="H87" s="139"/>
      <c r="I87" s="147" t="str">
        <f>IF(OR('Avaliações'!D88="falta",'Avaliações'!D88=""),"-",IF('Avaliações'!D88="presente", IF(SUM(E87*0.25,F87*0.5,G87*0.125,H87*0.125)=0,"-",SUM(E87*0.25,F87*0.5,G87*0.125,H87*0.125))))</f>
        <v>-</v>
      </c>
    </row>
    <row r="88" ht="15.75" customHeight="1">
      <c r="A88" s="134">
        <v>86.0</v>
      </c>
      <c r="B88" s="141" t="str">
        <f>IF(Preenchimento!B95="","-",Preenchimento!B95)</f>
        <v>-</v>
      </c>
      <c r="C88" s="142" t="str">
        <f>'Avaliações'!D89</f>
        <v/>
      </c>
      <c r="D88" s="143" t="str">
        <f>IF(Preenchimento!D95="","-",Preenchimento!D95)</f>
        <v>-</v>
      </c>
      <c r="E88" s="144"/>
      <c r="F88" s="143"/>
      <c r="G88" s="143"/>
      <c r="H88" s="145"/>
      <c r="I88" s="146" t="str">
        <f>IF(OR('Avaliações'!D89="falta",'Avaliações'!D89=""),"-",IF('Avaliações'!D89="presente", IF(SUM(E88*0.25,F88*0.5,G88*0.125,H88*0.125)=0,"-",SUM(E88*0.25,F88*0.5,G88*0.125,H88*0.125))))</f>
        <v>-</v>
      </c>
    </row>
    <row r="89" ht="15.75" customHeight="1">
      <c r="A89" s="134">
        <v>87.0</v>
      </c>
      <c r="B89" s="19" t="str">
        <f>IF(Preenchimento!B96="","-",Preenchimento!B96)</f>
        <v>-</v>
      </c>
      <c r="C89" s="135" t="str">
        <f>'Avaliações'!D90</f>
        <v/>
      </c>
      <c r="D89" s="138" t="str">
        <f>IF(Preenchimento!D96="","-",Preenchimento!D96)</f>
        <v>-</v>
      </c>
      <c r="E89" s="137"/>
      <c r="F89" s="138"/>
      <c r="G89" s="138"/>
      <c r="H89" s="139"/>
      <c r="I89" s="147" t="str">
        <f>IF(OR('Avaliações'!D90="falta",'Avaliações'!D90=""),"-",IF('Avaliações'!D90="presente", IF(SUM(E89*0.25,F89*0.5,G89*0.125,H89*0.125)=0,"-",SUM(E89*0.25,F89*0.5,G89*0.125,H89*0.125))))</f>
        <v>-</v>
      </c>
    </row>
    <row r="90" ht="15.75" customHeight="1">
      <c r="A90" s="134">
        <v>88.0</v>
      </c>
      <c r="B90" s="141" t="str">
        <f>IF(Preenchimento!B97="","-",Preenchimento!B97)</f>
        <v>-</v>
      </c>
      <c r="C90" s="142" t="str">
        <f>'Avaliações'!D91</f>
        <v/>
      </c>
      <c r="D90" s="143" t="str">
        <f>IF(Preenchimento!D97="","-",Preenchimento!D97)</f>
        <v>-</v>
      </c>
      <c r="E90" s="144"/>
      <c r="F90" s="143"/>
      <c r="G90" s="143"/>
      <c r="H90" s="145"/>
      <c r="I90" s="146" t="str">
        <f>IF(OR('Avaliações'!D91="falta",'Avaliações'!D91=""),"-",IF('Avaliações'!D91="presente", IF(SUM(E90*0.25,F90*0.5,G90*0.125,H90*0.125)=0,"-",SUM(E90*0.25,F90*0.5,G90*0.125,H90*0.125))))</f>
        <v>-</v>
      </c>
    </row>
    <row r="91" ht="15.75" customHeight="1">
      <c r="A91" s="134">
        <v>89.0</v>
      </c>
      <c r="B91" s="19" t="str">
        <f>IF(Preenchimento!B98="","-",Preenchimento!B98)</f>
        <v>-</v>
      </c>
      <c r="C91" s="135" t="str">
        <f>'Avaliações'!D92</f>
        <v/>
      </c>
      <c r="D91" s="138" t="str">
        <f>IF(Preenchimento!D98="","-",Preenchimento!D98)</f>
        <v>-</v>
      </c>
      <c r="E91" s="137"/>
      <c r="F91" s="138"/>
      <c r="G91" s="138"/>
      <c r="H91" s="139"/>
      <c r="I91" s="147" t="str">
        <f>IF(OR('Avaliações'!D92="falta",'Avaliações'!D92=""),"-",IF('Avaliações'!D92="presente", IF(SUM(E91*0.25,F91*0.5,G91*0.125,H91*0.125)=0,"-",SUM(E91*0.25,F91*0.5,G91*0.125,H91*0.125))))</f>
        <v>-</v>
      </c>
    </row>
    <row r="92" ht="15.75" customHeight="1">
      <c r="A92" s="134">
        <v>90.0</v>
      </c>
      <c r="B92" s="141" t="str">
        <f>IF(Preenchimento!B99="","-",Preenchimento!B99)</f>
        <v>-</v>
      </c>
      <c r="C92" s="142" t="str">
        <f>'Avaliações'!D93</f>
        <v/>
      </c>
      <c r="D92" s="143" t="str">
        <f>IF(Preenchimento!D99="","-",Preenchimento!D99)</f>
        <v>-</v>
      </c>
      <c r="E92" s="144"/>
      <c r="F92" s="143"/>
      <c r="G92" s="143"/>
      <c r="H92" s="145"/>
      <c r="I92" s="146" t="str">
        <f>IF(OR('Avaliações'!D93="falta",'Avaliações'!D93=""),"-",IF('Avaliações'!D93="presente", IF(SUM(E92*0.25,F92*0.5,G92*0.125,H92*0.125)=0,"-",SUM(E92*0.25,F92*0.5,G92*0.125,H92*0.125))))</f>
        <v>-</v>
      </c>
    </row>
    <row r="93" ht="15.75" customHeight="1">
      <c r="A93" s="134">
        <v>91.0</v>
      </c>
      <c r="B93" s="19" t="str">
        <f>IF(Preenchimento!B100="","-",Preenchimento!B100)</f>
        <v>-</v>
      </c>
      <c r="C93" s="135" t="str">
        <f>'Avaliações'!D94</f>
        <v/>
      </c>
      <c r="D93" s="138" t="str">
        <f>IF(Preenchimento!D100="","-",Preenchimento!D100)</f>
        <v>-</v>
      </c>
      <c r="E93" s="137"/>
      <c r="F93" s="138"/>
      <c r="G93" s="138"/>
      <c r="H93" s="139"/>
      <c r="I93" s="147" t="str">
        <f>IF(OR('Avaliações'!D94="falta",'Avaliações'!D94=""),"-",IF('Avaliações'!D94="presente", IF(SUM(E93*0.25,F93*0.5,G93*0.125,H93*0.125)=0,"-",SUM(E93*0.25,F93*0.5,G93*0.125,H93*0.125))))</f>
        <v>-</v>
      </c>
    </row>
    <row r="94" ht="15.75" customHeight="1">
      <c r="A94" s="134">
        <v>92.0</v>
      </c>
      <c r="B94" s="141" t="str">
        <f>IF(Preenchimento!B101="","-",Preenchimento!B101)</f>
        <v>-</v>
      </c>
      <c r="C94" s="142" t="str">
        <f>'Avaliações'!D95</f>
        <v/>
      </c>
      <c r="D94" s="143" t="str">
        <f>IF(Preenchimento!D101="","-",Preenchimento!D101)</f>
        <v>-</v>
      </c>
      <c r="E94" s="144"/>
      <c r="F94" s="143"/>
      <c r="G94" s="143"/>
      <c r="H94" s="145"/>
      <c r="I94" s="146" t="str">
        <f>IF(OR('Avaliações'!D95="falta",'Avaliações'!D95=""),"-",IF('Avaliações'!D95="presente", IF(SUM(E94*0.25,F94*0.5,G94*0.125,H94*0.125)=0,"-",SUM(E94*0.25,F94*0.5,G94*0.125,H94*0.125))))</f>
        <v>-</v>
      </c>
    </row>
    <row r="95" ht="15.75" customHeight="1">
      <c r="A95" s="134">
        <v>93.0</v>
      </c>
      <c r="B95" s="19" t="str">
        <f>IF(Preenchimento!B102="","-",Preenchimento!B102)</f>
        <v>-</v>
      </c>
      <c r="C95" s="135" t="str">
        <f>'Avaliações'!D96</f>
        <v/>
      </c>
      <c r="D95" s="138" t="str">
        <f>IF(Preenchimento!D102="","-",Preenchimento!D102)</f>
        <v>-</v>
      </c>
      <c r="E95" s="137"/>
      <c r="F95" s="138"/>
      <c r="G95" s="138"/>
      <c r="H95" s="139"/>
      <c r="I95" s="147" t="str">
        <f>IF(OR('Avaliações'!D96="falta",'Avaliações'!D96=""),"-",IF('Avaliações'!D96="presente", IF(SUM(E95*0.25,F95*0.5,G95*0.125,H95*0.125)=0,"-",SUM(E95*0.25,F95*0.5,G95*0.125,H95*0.125))))</f>
        <v>-</v>
      </c>
    </row>
    <row r="96" ht="15.75" customHeight="1">
      <c r="A96" s="134">
        <v>94.0</v>
      </c>
      <c r="B96" s="141" t="str">
        <f>IF(Preenchimento!B103="","-",Preenchimento!B103)</f>
        <v>-</v>
      </c>
      <c r="C96" s="142" t="str">
        <f>'Avaliações'!D97</f>
        <v/>
      </c>
      <c r="D96" s="143" t="str">
        <f>IF(Preenchimento!D103="","-",Preenchimento!D103)</f>
        <v>-</v>
      </c>
      <c r="E96" s="144"/>
      <c r="F96" s="143"/>
      <c r="G96" s="143"/>
      <c r="H96" s="145"/>
      <c r="I96" s="146" t="str">
        <f>IF(OR('Avaliações'!D97="falta",'Avaliações'!D97=""),"-",IF('Avaliações'!D97="presente", IF(SUM(E96*0.25,F96*0.5,G96*0.125,H96*0.125)=0,"-",SUM(E96*0.25,F96*0.5,G96*0.125,H96*0.125))))</f>
        <v>-</v>
      </c>
    </row>
    <row r="97" ht="15.75" customHeight="1">
      <c r="A97" s="134">
        <v>95.0</v>
      </c>
      <c r="B97" s="19" t="str">
        <f>IF(Preenchimento!B104="","-",Preenchimento!B104)</f>
        <v>-</v>
      </c>
      <c r="C97" s="135" t="str">
        <f>'Avaliações'!D98</f>
        <v/>
      </c>
      <c r="D97" s="138" t="str">
        <f>IF(Preenchimento!D104="","-",Preenchimento!D104)</f>
        <v>-</v>
      </c>
      <c r="E97" s="137"/>
      <c r="F97" s="138"/>
      <c r="G97" s="138"/>
      <c r="H97" s="139"/>
      <c r="I97" s="147" t="str">
        <f>IF(OR('Avaliações'!D98="falta",'Avaliações'!D98=""),"-",IF('Avaliações'!D98="presente", IF(SUM(E97*0.25,F97*0.5,G97*0.125,H97*0.125)=0,"-",SUM(E97*0.25,F97*0.5,G97*0.125,H97*0.125))))</f>
        <v>-</v>
      </c>
    </row>
    <row r="98" ht="15.75" customHeight="1">
      <c r="A98" s="134">
        <v>96.0</v>
      </c>
      <c r="B98" s="141" t="str">
        <f>IF(Preenchimento!B105="","-",Preenchimento!B105)</f>
        <v>-</v>
      </c>
      <c r="C98" s="142" t="str">
        <f>'Avaliações'!D99</f>
        <v/>
      </c>
      <c r="D98" s="143" t="str">
        <f>IF(Preenchimento!D105="","-",Preenchimento!D105)</f>
        <v>-</v>
      </c>
      <c r="E98" s="144"/>
      <c r="F98" s="143"/>
      <c r="G98" s="143"/>
      <c r="H98" s="145"/>
      <c r="I98" s="146" t="str">
        <f>IF(OR('Avaliações'!D99="falta",'Avaliações'!D99=""),"-",IF('Avaliações'!D99="presente", IF(SUM(E98*0.25,F98*0.5,G98*0.125,H98*0.125)=0,"-",SUM(E98*0.25,F98*0.5,G98*0.125,H98*0.125))))</f>
        <v>-</v>
      </c>
    </row>
    <row r="99" ht="15.75" customHeight="1">
      <c r="A99" s="134">
        <v>97.0</v>
      </c>
      <c r="B99" s="19" t="str">
        <f>IF(Preenchimento!B106="","-",Preenchimento!B106)</f>
        <v>-</v>
      </c>
      <c r="C99" s="135" t="str">
        <f>'Avaliações'!D100</f>
        <v/>
      </c>
      <c r="D99" s="138" t="str">
        <f>IF(Preenchimento!D106="","-",Preenchimento!D106)</f>
        <v>-</v>
      </c>
      <c r="E99" s="137"/>
      <c r="F99" s="138"/>
      <c r="G99" s="138"/>
      <c r="H99" s="139"/>
      <c r="I99" s="147" t="str">
        <f>IF(OR('Avaliações'!D100="falta",'Avaliações'!D100=""),"-",IF('Avaliações'!D100="presente", IF(SUM(E99*0.25,F99*0.5,G99*0.125,H99*0.125)=0,"-",SUM(E99*0.25,F99*0.5,G99*0.125,H99*0.125))))</f>
        <v>-</v>
      </c>
    </row>
    <row r="100" ht="15.75" customHeight="1">
      <c r="A100" s="134">
        <v>98.0</v>
      </c>
      <c r="B100" s="141" t="str">
        <f>IF(Preenchimento!B107="","-",Preenchimento!B107)</f>
        <v>-</v>
      </c>
      <c r="C100" s="142" t="str">
        <f>'Avaliações'!D101</f>
        <v/>
      </c>
      <c r="D100" s="143" t="str">
        <f>IF(Preenchimento!D107="","-",Preenchimento!D107)</f>
        <v>-</v>
      </c>
      <c r="E100" s="144"/>
      <c r="F100" s="143"/>
      <c r="G100" s="143"/>
      <c r="H100" s="145"/>
      <c r="I100" s="146" t="str">
        <f>IF(OR('Avaliações'!D101="falta",'Avaliações'!D101=""),"-",IF('Avaliações'!D101="presente", IF(SUM(E100*0.25,F100*0.5,G100*0.125,H100*0.125)=0,"-",SUM(E100*0.25,F100*0.5,G100*0.125,H100*0.125))))</f>
        <v>-</v>
      </c>
    </row>
    <row r="101" ht="15.75" customHeight="1">
      <c r="A101" s="134">
        <v>99.0</v>
      </c>
      <c r="B101" s="19" t="str">
        <f>IF(Preenchimento!B108="","-",Preenchimento!B108)</f>
        <v>-</v>
      </c>
      <c r="C101" s="135" t="str">
        <f>'Avaliações'!D102</f>
        <v/>
      </c>
      <c r="D101" s="138" t="str">
        <f>IF(Preenchimento!D108="","-",Preenchimento!D108)</f>
        <v>-</v>
      </c>
      <c r="E101" s="137"/>
      <c r="F101" s="138"/>
      <c r="G101" s="138"/>
      <c r="H101" s="139"/>
      <c r="I101" s="147" t="str">
        <f>IF(OR('Avaliações'!D102="falta",'Avaliações'!D102=""),"-",IF('Avaliações'!D102="presente", IF(SUM(E101*0.25,F101*0.5,G101*0.125,H101*0.125)=0,"-",SUM(E101*0.25,F101*0.5,G101*0.125,H101*0.125))))</f>
        <v>-</v>
      </c>
    </row>
    <row r="102" ht="15.75" customHeight="1">
      <c r="A102" s="134">
        <v>100.0</v>
      </c>
      <c r="B102" s="148" t="str">
        <f>IF(Preenchimento!B109="","-",Preenchimento!B109)</f>
        <v>-</v>
      </c>
      <c r="C102" s="149" t="str">
        <f>'Avaliações'!D103</f>
        <v/>
      </c>
      <c r="D102" s="150" t="str">
        <f>IF(Preenchimento!D109="","-",Preenchimento!D109)</f>
        <v>-</v>
      </c>
      <c r="E102" s="148"/>
      <c r="F102" s="150"/>
      <c r="G102" s="150"/>
      <c r="H102" s="151"/>
      <c r="I102" s="152" t="str">
        <f>IF(OR('Avaliações'!D103="falta",'Avaliações'!D103=""),"-",IF('Avaliações'!D103="presente", IF(SUM(E102*0.25,F102*0.5,G102*0.125,H102*0.125)=0,"-",SUM(E102*0.25,F102*0.5,G102*0.125,H102*0.125))))</f>
        <v>-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I1"/>
  </mergeCells>
  <conditionalFormatting sqref="C3:I102">
    <cfRule type="expression" dxfId="1" priority="1">
      <formula>$C3="falta"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71"/>
    <col customWidth="1" min="2" max="2" width="25.43"/>
    <col customWidth="1" hidden="1" min="3" max="3" width="20.71"/>
    <col customWidth="1" min="4" max="4" width="20.71"/>
    <col customWidth="1" min="5" max="6" width="7.71"/>
    <col customWidth="1" min="7" max="7" width="14.14"/>
    <col customWidth="1" min="8" max="8" width="15.29"/>
    <col customWidth="1" min="9" max="9" width="8.29"/>
    <col customWidth="1" min="10" max="10" width="14.86"/>
    <col customWidth="1" min="11" max="11" width="10.57"/>
    <col customWidth="1" min="12" max="12" width="15.71"/>
    <col customWidth="1" min="13" max="13" width="9.14"/>
    <col customWidth="1" min="14" max="14" width="2.86"/>
    <col customWidth="1" min="15" max="15" width="7.14"/>
  </cols>
  <sheetData>
    <row r="1" ht="23.25" customHeight="1">
      <c r="A1" s="130" t="s">
        <v>32</v>
      </c>
      <c r="B1" s="9"/>
      <c r="C1" s="155"/>
      <c r="D1" s="156" t="str">
        <f>Preenchimento!$F$7</f>
        <v/>
      </c>
      <c r="E1" s="9"/>
      <c r="F1" s="130" t="s">
        <v>8</v>
      </c>
      <c r="G1" s="9"/>
      <c r="H1" s="9"/>
      <c r="I1" s="9"/>
      <c r="J1" s="9"/>
      <c r="K1" s="9"/>
      <c r="L1" s="9"/>
      <c r="M1" s="9"/>
      <c r="N1" s="157" t="s">
        <v>33</v>
      </c>
      <c r="O1" s="6"/>
      <c r="P1" s="6"/>
      <c r="Q1" s="6"/>
      <c r="R1" s="6"/>
      <c r="S1" s="6"/>
      <c r="T1" s="6"/>
      <c r="U1" s="6"/>
      <c r="V1" s="158"/>
    </row>
    <row r="2" ht="15.75" customHeight="1">
      <c r="A2" s="159"/>
      <c r="B2" s="159"/>
      <c r="C2" s="159"/>
      <c r="D2" s="159"/>
      <c r="E2" s="159"/>
      <c r="F2" s="160" t="s">
        <v>34</v>
      </c>
      <c r="G2" s="161"/>
      <c r="H2" s="162"/>
      <c r="I2" s="160" t="s">
        <v>35</v>
      </c>
      <c r="J2" s="161"/>
      <c r="K2" s="161"/>
      <c r="L2" s="162"/>
      <c r="M2" s="159"/>
      <c r="N2" s="163"/>
      <c r="O2" s="159"/>
      <c r="P2" s="164" t="s">
        <v>34</v>
      </c>
      <c r="Q2" s="9"/>
      <c r="R2" s="131"/>
      <c r="S2" s="164" t="s">
        <v>35</v>
      </c>
      <c r="T2" s="9"/>
      <c r="U2" s="9"/>
      <c r="V2" s="131"/>
    </row>
    <row r="3" ht="29.25" customHeight="1">
      <c r="A3" s="70"/>
      <c r="B3" s="11" t="s">
        <v>6</v>
      </c>
      <c r="C3" s="77"/>
      <c r="D3" s="11" t="s">
        <v>11</v>
      </c>
      <c r="E3" s="12" t="s">
        <v>36</v>
      </c>
      <c r="F3" s="165" t="s">
        <v>37</v>
      </c>
      <c r="G3" s="166" t="s">
        <v>38</v>
      </c>
      <c r="H3" s="167" t="s">
        <v>39</v>
      </c>
      <c r="I3" s="165" t="s">
        <v>40</v>
      </c>
      <c r="J3" s="166" t="s">
        <v>41</v>
      </c>
      <c r="K3" s="166" t="s">
        <v>29</v>
      </c>
      <c r="L3" s="167" t="s">
        <v>42</v>
      </c>
      <c r="M3" s="12" t="s">
        <v>14</v>
      </c>
      <c r="N3" s="168"/>
      <c r="O3" s="169" t="s">
        <v>36</v>
      </c>
      <c r="P3" s="11" t="s">
        <v>37</v>
      </c>
      <c r="Q3" s="11" t="s">
        <v>38</v>
      </c>
      <c r="R3" s="170" t="s">
        <v>39</v>
      </c>
      <c r="S3" s="11" t="s">
        <v>40</v>
      </c>
      <c r="T3" s="11" t="s">
        <v>41</v>
      </c>
      <c r="U3" s="11" t="s">
        <v>29</v>
      </c>
      <c r="V3" s="170" t="s">
        <v>42</v>
      </c>
    </row>
    <row r="4">
      <c r="A4" s="134">
        <v>1.0</v>
      </c>
      <c r="B4" s="154" t="str">
        <f>IF(Preenchimento!B10="","-",Preenchimento!B10)</f>
        <v>-</v>
      </c>
      <c r="C4" s="171" t="str">
        <f>'Avaliações'!D4</f>
        <v>Falta</v>
      </c>
      <c r="D4" s="172" t="str">
        <f>IF(Preenchimento!D10="","-",Preenchimento!D10)</f>
        <v>-</v>
      </c>
      <c r="E4" s="138" t="str">
        <f>IF(Preenchimento!E10="","",Preenchimento!E10)</f>
        <v/>
      </c>
      <c r="F4" s="173" t="str">
        <f t="shared" ref="F4:F103" si="1">IFERROR(VLOOKUP($E4,$O$4:$V$29,2),"-")</f>
        <v>-</v>
      </c>
      <c r="G4" s="174" t="str">
        <f t="shared" ref="G4:G103" si="2">IFERROR(VLOOKUP($E4,$O$4:$V$29,3),"-")</f>
        <v>-</v>
      </c>
      <c r="H4" s="175" t="str">
        <f t="shared" ref="H4:H103" si="3">IFERROR(VLOOKUP($E4,$O$4:$V$29,4),"-")</f>
        <v>-</v>
      </c>
      <c r="I4" s="173" t="str">
        <f t="shared" ref="I4:I103" si="4">IFERROR(VLOOKUP($E4,$O$4:$V$29,5),"-")</f>
        <v>-</v>
      </c>
      <c r="J4" s="174" t="str">
        <f t="shared" ref="J4:J103" si="5">IFERROR(VLOOKUP($E4,$O$4:$V$29,6),"-")</f>
        <v>-</v>
      </c>
      <c r="K4" s="174" t="str">
        <f t="shared" ref="K4:K103" si="6">IFERROR(VLOOKUP($E4,$O$4:$V$29,7),"-")</f>
        <v>-</v>
      </c>
      <c r="L4" s="175" t="str">
        <f t="shared" ref="L4:L103" si="7">IFERROR(VLOOKUP($E4,$O$4:$V$29,8),"-")</f>
        <v>-</v>
      </c>
      <c r="M4" s="138" t="str">
        <f>if(or('Avaliações'!D4="falta",'Avaliações'!D4=""),"-",if('Avaliações'!D4="presente", IF(IF(AND(F4="",G4="",H4=""),SUM(I4:L4)/4,SUM(F4:L4)/7)=0,"-",IF(AND(F4="",G4="",H4=""),SUM(I4:L4)/4,SUM(F4:L4)/7))))</f>
        <v>-</v>
      </c>
      <c r="N4" s="168"/>
      <c r="O4" s="11" t="s">
        <v>43</v>
      </c>
      <c r="P4" s="176"/>
      <c r="Q4" s="177"/>
      <c r="R4" s="178"/>
      <c r="S4" s="179"/>
      <c r="T4" s="174"/>
      <c r="U4" s="174"/>
      <c r="V4" s="175"/>
    </row>
    <row r="5">
      <c r="A5" s="134">
        <v>2.0</v>
      </c>
      <c r="B5" s="145" t="str">
        <f>IF(Preenchimento!B11="","-",Preenchimento!B11)</f>
        <v>-</v>
      </c>
      <c r="C5" s="180" t="str">
        <f>'Avaliações'!D5</f>
        <v/>
      </c>
      <c r="D5" s="181" t="str">
        <f>IF(Preenchimento!D11="","-",Preenchimento!D11)</f>
        <v>-</v>
      </c>
      <c r="E5" s="143" t="str">
        <f>IF(Preenchimento!E11="","",Preenchimento!E11)</f>
        <v/>
      </c>
      <c r="F5" s="182" t="str">
        <f t="shared" si="1"/>
        <v>-</v>
      </c>
      <c r="G5" s="183" t="str">
        <f t="shared" si="2"/>
        <v>-</v>
      </c>
      <c r="H5" s="184" t="str">
        <f t="shared" si="3"/>
        <v>-</v>
      </c>
      <c r="I5" s="182" t="str">
        <f t="shared" si="4"/>
        <v>-</v>
      </c>
      <c r="J5" s="183" t="str">
        <f t="shared" si="5"/>
        <v>-</v>
      </c>
      <c r="K5" s="183" t="str">
        <f t="shared" si="6"/>
        <v>-</v>
      </c>
      <c r="L5" s="184" t="str">
        <f t="shared" si="7"/>
        <v>-</v>
      </c>
      <c r="M5" s="185" t="str">
        <f>if(or('Avaliações'!D5="falta",'Avaliações'!D5=""),"-",if('Avaliações'!D5="presente", IF(IF(AND(F5="",G5="",H5=""),SUM(I5:L5)/4,SUM(F5:L5)/7)=0,"-",IF(AND(F5="",G5="",H5=""),SUM(I5:L5)/4,SUM(F5:L5)/7))))</f>
        <v>-</v>
      </c>
      <c r="N5" s="168"/>
      <c r="O5" s="11" t="s">
        <v>44</v>
      </c>
      <c r="P5" s="186"/>
      <c r="Q5" s="187"/>
      <c r="R5" s="188"/>
      <c r="S5" s="189"/>
      <c r="T5" s="187"/>
      <c r="U5" s="187"/>
      <c r="V5" s="188"/>
    </row>
    <row r="6">
      <c r="A6" s="134">
        <v>3.0</v>
      </c>
      <c r="B6" s="139" t="str">
        <f>IF(Preenchimento!B12="","-",Preenchimento!B12)</f>
        <v>-</v>
      </c>
      <c r="C6" s="171" t="str">
        <f>'Avaliações'!D6</f>
        <v/>
      </c>
      <c r="D6" s="190" t="str">
        <f>IF(Preenchimento!D12="","-",Preenchimento!D12)</f>
        <v>-</v>
      </c>
      <c r="E6" s="138" t="str">
        <f>IF(Preenchimento!E12="","",Preenchimento!E12)</f>
        <v/>
      </c>
      <c r="F6" s="173" t="str">
        <f t="shared" si="1"/>
        <v>-</v>
      </c>
      <c r="G6" s="174" t="str">
        <f t="shared" si="2"/>
        <v>-</v>
      </c>
      <c r="H6" s="175" t="str">
        <f t="shared" si="3"/>
        <v>-</v>
      </c>
      <c r="I6" s="173" t="str">
        <f t="shared" si="4"/>
        <v>-</v>
      </c>
      <c r="J6" s="174" t="str">
        <f t="shared" si="5"/>
        <v>-</v>
      </c>
      <c r="K6" s="174" t="str">
        <f t="shared" si="6"/>
        <v>-</v>
      </c>
      <c r="L6" s="175" t="str">
        <f t="shared" si="7"/>
        <v>-</v>
      </c>
      <c r="M6" s="138" t="str">
        <f>if(or('Avaliações'!D6="falta",'Avaliações'!D6=""),"-",if('Avaliações'!D6="presente", IF(IF(AND(F6="",G6="",H6=""),SUM(I6:L6)/4,SUM(F6:L6)/7)=0,"-",IF(AND(F6="",G6="",H6=""),SUM(I6:L6)/4,SUM(F6:L6)/7))))</f>
        <v>-</v>
      </c>
      <c r="N6" s="168"/>
      <c r="O6" s="11" t="s">
        <v>45</v>
      </c>
      <c r="P6" s="173"/>
      <c r="Q6" s="174"/>
      <c r="R6" s="175"/>
      <c r="S6" s="179"/>
      <c r="T6" s="174"/>
      <c r="U6" s="174"/>
      <c r="V6" s="175"/>
    </row>
    <row r="7">
      <c r="A7" s="134">
        <v>4.0</v>
      </c>
      <c r="B7" s="145" t="str">
        <f>IF(Preenchimento!B13="","-",Preenchimento!B13)</f>
        <v>-</v>
      </c>
      <c r="C7" s="180" t="str">
        <f>'Avaliações'!D7</f>
        <v/>
      </c>
      <c r="D7" s="181" t="str">
        <f>IF(Preenchimento!D13="","-",Preenchimento!D13)</f>
        <v>-</v>
      </c>
      <c r="E7" s="143" t="str">
        <f>IF(Preenchimento!E13="","",Preenchimento!E13)</f>
        <v/>
      </c>
      <c r="F7" s="182" t="str">
        <f t="shared" si="1"/>
        <v>-</v>
      </c>
      <c r="G7" s="183" t="str">
        <f t="shared" si="2"/>
        <v>-</v>
      </c>
      <c r="H7" s="184" t="str">
        <f t="shared" si="3"/>
        <v>-</v>
      </c>
      <c r="I7" s="182" t="str">
        <f t="shared" si="4"/>
        <v>-</v>
      </c>
      <c r="J7" s="183" t="str">
        <f t="shared" si="5"/>
        <v>-</v>
      </c>
      <c r="K7" s="183" t="str">
        <f t="shared" si="6"/>
        <v>-</v>
      </c>
      <c r="L7" s="184" t="str">
        <f t="shared" si="7"/>
        <v>-</v>
      </c>
      <c r="M7" s="185" t="str">
        <f>if(or('Avaliações'!D7="falta",'Avaliações'!D7=""),"-",if('Avaliações'!D7="presente", IF(IF(AND(F7="",G7="",H7=""),SUM(I7:L7)/4,SUM(F7:L7)/7)=0,"-",IF(AND(F7="",G7="",H7=""),SUM(I7:L7)/4,SUM(F7:L7)/7))))</f>
        <v>-</v>
      </c>
      <c r="N7" s="168"/>
      <c r="O7" s="11" t="s">
        <v>46</v>
      </c>
      <c r="P7" s="186"/>
      <c r="Q7" s="187"/>
      <c r="R7" s="188"/>
      <c r="S7" s="189"/>
      <c r="T7" s="187"/>
      <c r="U7" s="187"/>
      <c r="V7" s="188"/>
    </row>
    <row r="8">
      <c r="A8" s="134">
        <v>5.0</v>
      </c>
      <c r="B8" s="139" t="str">
        <f>IF(Preenchimento!B14="","-",Preenchimento!B14)</f>
        <v>-</v>
      </c>
      <c r="C8" s="171" t="str">
        <f>'Avaliações'!D8</f>
        <v/>
      </c>
      <c r="D8" s="190" t="str">
        <f>IF(Preenchimento!D14="","-",Preenchimento!D14)</f>
        <v>-</v>
      </c>
      <c r="E8" s="138" t="str">
        <f>IF(Preenchimento!E14="","",Preenchimento!E14)</f>
        <v/>
      </c>
      <c r="F8" s="173" t="str">
        <f t="shared" si="1"/>
        <v>-</v>
      </c>
      <c r="G8" s="174" t="str">
        <f t="shared" si="2"/>
        <v>-</v>
      </c>
      <c r="H8" s="175" t="str">
        <f t="shared" si="3"/>
        <v>-</v>
      </c>
      <c r="I8" s="173" t="str">
        <f t="shared" si="4"/>
        <v>-</v>
      </c>
      <c r="J8" s="174" t="str">
        <f t="shared" si="5"/>
        <v>-</v>
      </c>
      <c r="K8" s="174" t="str">
        <f t="shared" si="6"/>
        <v>-</v>
      </c>
      <c r="L8" s="175" t="str">
        <f t="shared" si="7"/>
        <v>-</v>
      </c>
      <c r="M8" s="138" t="str">
        <f>if(or('Avaliações'!D8="falta",'Avaliações'!D8=""),"-",if('Avaliações'!D8="presente", IF(IF(AND(F8="",G8="",H8=""),SUM(I8:L8)/4,SUM(F8:L8)/7)=0,"-",IF(AND(F8="",G8="",H8=""),SUM(I8:L8)/4,SUM(F8:L8)/7))))</f>
        <v>-</v>
      </c>
      <c r="N8" s="168"/>
      <c r="O8" s="11" t="s">
        <v>47</v>
      </c>
      <c r="P8" s="173"/>
      <c r="Q8" s="174"/>
      <c r="R8" s="175"/>
      <c r="S8" s="179"/>
      <c r="T8" s="174"/>
      <c r="U8" s="174"/>
      <c r="V8" s="175"/>
    </row>
    <row r="9">
      <c r="A9" s="134">
        <v>6.0</v>
      </c>
      <c r="B9" s="145" t="str">
        <f>IF(Preenchimento!B15="","-",Preenchimento!B15)</f>
        <v>-</v>
      </c>
      <c r="C9" s="180" t="str">
        <f>'Avaliações'!D9</f>
        <v/>
      </c>
      <c r="D9" s="181" t="str">
        <f>IF(Preenchimento!D15="","-",Preenchimento!D15)</f>
        <v>-</v>
      </c>
      <c r="E9" s="143" t="str">
        <f>IF(Preenchimento!E15="","",Preenchimento!E15)</f>
        <v/>
      </c>
      <c r="F9" s="182" t="str">
        <f t="shared" si="1"/>
        <v>-</v>
      </c>
      <c r="G9" s="183" t="str">
        <f t="shared" si="2"/>
        <v>-</v>
      </c>
      <c r="H9" s="184" t="str">
        <f t="shared" si="3"/>
        <v>-</v>
      </c>
      <c r="I9" s="182" t="str">
        <f t="shared" si="4"/>
        <v>-</v>
      </c>
      <c r="J9" s="183" t="str">
        <f t="shared" si="5"/>
        <v>-</v>
      </c>
      <c r="K9" s="183" t="str">
        <f t="shared" si="6"/>
        <v>-</v>
      </c>
      <c r="L9" s="184" t="str">
        <f t="shared" si="7"/>
        <v>-</v>
      </c>
      <c r="M9" s="185" t="str">
        <f>if(or('Avaliações'!D9="falta",'Avaliações'!D9=""),"-",if('Avaliações'!D9="presente", IF(IF(AND(F9="",G9="",H9=""),SUM(I9:L9)/4,SUM(F9:L9)/7)=0,"-",IF(AND(F9="",G9="",H9=""),SUM(I9:L9)/4,SUM(F9:L9)/7))))</f>
        <v>-</v>
      </c>
      <c r="N9" s="168"/>
      <c r="O9" s="11" t="s">
        <v>48</v>
      </c>
      <c r="P9" s="186"/>
      <c r="Q9" s="187"/>
      <c r="R9" s="188"/>
      <c r="S9" s="189"/>
      <c r="T9" s="187"/>
      <c r="U9" s="187"/>
      <c r="V9" s="188"/>
    </row>
    <row r="10">
      <c r="A10" s="134">
        <v>7.0</v>
      </c>
      <c r="B10" s="139" t="str">
        <f>IF(Preenchimento!B16="","-",Preenchimento!B16)</f>
        <v>-</v>
      </c>
      <c r="C10" s="171" t="str">
        <f>'Avaliações'!D10</f>
        <v/>
      </c>
      <c r="D10" s="190" t="str">
        <f>IF(Preenchimento!D16="","-",Preenchimento!D16)</f>
        <v>-</v>
      </c>
      <c r="E10" s="138" t="str">
        <f>IF(Preenchimento!E16="","",Preenchimento!E16)</f>
        <v/>
      </c>
      <c r="F10" s="173" t="str">
        <f t="shared" si="1"/>
        <v>-</v>
      </c>
      <c r="G10" s="174" t="str">
        <f t="shared" si="2"/>
        <v>-</v>
      </c>
      <c r="H10" s="175" t="str">
        <f t="shared" si="3"/>
        <v>-</v>
      </c>
      <c r="I10" s="173" t="str">
        <f t="shared" si="4"/>
        <v>-</v>
      </c>
      <c r="J10" s="174" t="str">
        <f t="shared" si="5"/>
        <v>-</v>
      </c>
      <c r="K10" s="174" t="str">
        <f t="shared" si="6"/>
        <v>-</v>
      </c>
      <c r="L10" s="175" t="str">
        <f t="shared" si="7"/>
        <v>-</v>
      </c>
      <c r="M10" s="138" t="str">
        <f>if(or('Avaliações'!D10="falta",'Avaliações'!D10=""),"-",if('Avaliações'!D10="presente", IF(IF(AND(F10="",G10="",H10=""),SUM(I10:L10)/4,SUM(F10:L10)/7)=0,"-",IF(AND(F10="",G10="",H10=""),SUM(I10:L10)/4,SUM(F10:L10)/7))))</f>
        <v>-</v>
      </c>
      <c r="N10" s="168"/>
      <c r="O10" s="11" t="s">
        <v>49</v>
      </c>
      <c r="P10" s="173"/>
      <c r="Q10" s="174"/>
      <c r="R10" s="175"/>
      <c r="S10" s="179"/>
      <c r="T10" s="174"/>
      <c r="U10" s="174"/>
      <c r="V10" s="175"/>
    </row>
    <row r="11">
      <c r="A11" s="134">
        <v>8.0</v>
      </c>
      <c r="B11" s="145" t="str">
        <f>IF(Preenchimento!B17="","-",Preenchimento!B17)</f>
        <v>-</v>
      </c>
      <c r="C11" s="180" t="str">
        <f>'Avaliações'!D11</f>
        <v/>
      </c>
      <c r="D11" s="181" t="str">
        <f>IF(Preenchimento!D17="","-",Preenchimento!D17)</f>
        <v>-</v>
      </c>
      <c r="E11" s="143" t="str">
        <f>IF(Preenchimento!E17="","",Preenchimento!E17)</f>
        <v/>
      </c>
      <c r="F11" s="182" t="str">
        <f t="shared" si="1"/>
        <v>-</v>
      </c>
      <c r="G11" s="183" t="str">
        <f t="shared" si="2"/>
        <v>-</v>
      </c>
      <c r="H11" s="184" t="str">
        <f t="shared" si="3"/>
        <v>-</v>
      </c>
      <c r="I11" s="182" t="str">
        <f t="shared" si="4"/>
        <v>-</v>
      </c>
      <c r="J11" s="183" t="str">
        <f t="shared" si="5"/>
        <v>-</v>
      </c>
      <c r="K11" s="183" t="str">
        <f t="shared" si="6"/>
        <v>-</v>
      </c>
      <c r="L11" s="184" t="str">
        <f t="shared" si="7"/>
        <v>-</v>
      </c>
      <c r="M11" s="185" t="str">
        <f>if(or('Avaliações'!D11="falta",'Avaliações'!D11=""),"-",if('Avaliações'!D11="presente", IF(IF(AND(F11="",G11="",H11=""),SUM(I11:L11)/4,SUM(F11:L11)/7)=0,"-",IF(AND(F11="",G11="",H11=""),SUM(I11:L11)/4,SUM(F11:L11)/7))))</f>
        <v>-</v>
      </c>
      <c r="N11" s="168"/>
      <c r="O11" s="11" t="s">
        <v>50</v>
      </c>
      <c r="P11" s="186"/>
      <c r="Q11" s="187"/>
      <c r="R11" s="188"/>
      <c r="S11" s="189"/>
      <c r="T11" s="187"/>
      <c r="U11" s="187"/>
      <c r="V11" s="188"/>
    </row>
    <row r="12">
      <c r="A12" s="134">
        <v>9.0</v>
      </c>
      <c r="B12" s="139" t="str">
        <f>IF(Preenchimento!B18="","-",Preenchimento!B18)</f>
        <v>-</v>
      </c>
      <c r="C12" s="171" t="str">
        <f>'Avaliações'!D12</f>
        <v/>
      </c>
      <c r="D12" s="190" t="str">
        <f>IF(Preenchimento!D18="","-",Preenchimento!D18)</f>
        <v>-</v>
      </c>
      <c r="E12" s="138" t="str">
        <f>IF(Preenchimento!E18="","",Preenchimento!E18)</f>
        <v/>
      </c>
      <c r="F12" s="173" t="str">
        <f t="shared" si="1"/>
        <v>-</v>
      </c>
      <c r="G12" s="174" t="str">
        <f t="shared" si="2"/>
        <v>-</v>
      </c>
      <c r="H12" s="175" t="str">
        <f t="shared" si="3"/>
        <v>-</v>
      </c>
      <c r="I12" s="173" t="str">
        <f t="shared" si="4"/>
        <v>-</v>
      </c>
      <c r="J12" s="174" t="str">
        <f t="shared" si="5"/>
        <v>-</v>
      </c>
      <c r="K12" s="174" t="str">
        <f t="shared" si="6"/>
        <v>-</v>
      </c>
      <c r="L12" s="175" t="str">
        <f t="shared" si="7"/>
        <v>-</v>
      </c>
      <c r="M12" s="138" t="str">
        <f>if(or('Avaliações'!D12="falta",'Avaliações'!D12=""),"-",if('Avaliações'!D12="presente", IF(IF(AND(F12="",G12="",H12=""),SUM(I12:L12)/4,SUM(F12:L12)/7)=0,"-",IF(AND(F12="",G12="",H12=""),SUM(I12:L12)/4,SUM(F12:L12)/7))))</f>
        <v>-</v>
      </c>
      <c r="N12" s="168"/>
      <c r="O12" s="11" t="s">
        <v>51</v>
      </c>
      <c r="P12" s="173"/>
      <c r="Q12" s="174"/>
      <c r="R12" s="175"/>
      <c r="S12" s="179"/>
      <c r="T12" s="174"/>
      <c r="U12" s="174"/>
      <c r="V12" s="175"/>
    </row>
    <row r="13">
      <c r="A13" s="134">
        <v>10.0</v>
      </c>
      <c r="B13" s="145" t="str">
        <f>IF(Preenchimento!B19="","-",Preenchimento!B19)</f>
        <v>-</v>
      </c>
      <c r="C13" s="180" t="str">
        <f>'Avaliações'!D13</f>
        <v/>
      </c>
      <c r="D13" s="181" t="str">
        <f>IF(Preenchimento!D19="","-",Preenchimento!D19)</f>
        <v>-</v>
      </c>
      <c r="E13" s="143" t="str">
        <f>IF(Preenchimento!E19="","",Preenchimento!E19)</f>
        <v/>
      </c>
      <c r="F13" s="182" t="str">
        <f t="shared" si="1"/>
        <v>-</v>
      </c>
      <c r="G13" s="183" t="str">
        <f t="shared" si="2"/>
        <v>-</v>
      </c>
      <c r="H13" s="184" t="str">
        <f t="shared" si="3"/>
        <v>-</v>
      </c>
      <c r="I13" s="182" t="str">
        <f t="shared" si="4"/>
        <v>-</v>
      </c>
      <c r="J13" s="183" t="str">
        <f t="shared" si="5"/>
        <v>-</v>
      </c>
      <c r="K13" s="183" t="str">
        <f t="shared" si="6"/>
        <v>-</v>
      </c>
      <c r="L13" s="184" t="str">
        <f t="shared" si="7"/>
        <v>-</v>
      </c>
      <c r="M13" s="185" t="str">
        <f>if(or('Avaliações'!D13="falta",'Avaliações'!D13=""),"-",if('Avaliações'!D13="presente", IF(IF(AND(F13="",G13="",H13=""),SUM(I13:L13)/4,SUM(F13:L13)/7)=0,"-",IF(AND(F13="",G13="",H13=""),SUM(I13:L13)/4,SUM(F13:L13)/7))))</f>
        <v>-</v>
      </c>
      <c r="N13" s="168"/>
      <c r="O13" s="11" t="s">
        <v>52</v>
      </c>
      <c r="P13" s="186"/>
      <c r="Q13" s="187"/>
      <c r="R13" s="188"/>
      <c r="S13" s="189"/>
      <c r="T13" s="187"/>
      <c r="U13" s="187"/>
      <c r="V13" s="188"/>
    </row>
    <row r="14">
      <c r="A14" s="134">
        <v>11.0</v>
      </c>
      <c r="B14" s="139" t="str">
        <f>IF(Preenchimento!B20="","-",Preenchimento!B20)</f>
        <v>-</v>
      </c>
      <c r="C14" s="171" t="str">
        <f>'Avaliações'!D14</f>
        <v/>
      </c>
      <c r="D14" s="190" t="str">
        <f>IF(Preenchimento!D20="","-",Preenchimento!D20)</f>
        <v>-</v>
      </c>
      <c r="E14" s="138" t="str">
        <f>IF(Preenchimento!E20="","",Preenchimento!E20)</f>
        <v/>
      </c>
      <c r="F14" s="173" t="str">
        <f t="shared" si="1"/>
        <v>-</v>
      </c>
      <c r="G14" s="174" t="str">
        <f t="shared" si="2"/>
        <v>-</v>
      </c>
      <c r="H14" s="175" t="str">
        <f t="shared" si="3"/>
        <v>-</v>
      </c>
      <c r="I14" s="173" t="str">
        <f t="shared" si="4"/>
        <v>-</v>
      </c>
      <c r="J14" s="174" t="str">
        <f t="shared" si="5"/>
        <v>-</v>
      </c>
      <c r="K14" s="174" t="str">
        <f t="shared" si="6"/>
        <v>-</v>
      </c>
      <c r="L14" s="175" t="str">
        <f t="shared" si="7"/>
        <v>-</v>
      </c>
      <c r="M14" s="138" t="str">
        <f>if(or('Avaliações'!D14="falta",'Avaliações'!D14=""),"-",if('Avaliações'!D14="presente", IF(IF(AND(F14="",G14="",H14=""),SUM(I14:L14)/4,SUM(F14:L14)/7)=0,"-",IF(AND(F14="",G14="",H14=""),SUM(I14:L14)/4,SUM(F14:L14)/7))))</f>
        <v>-</v>
      </c>
      <c r="N14" s="168"/>
      <c r="O14" s="11" t="s">
        <v>53</v>
      </c>
      <c r="P14" s="173"/>
      <c r="Q14" s="174"/>
      <c r="R14" s="175"/>
      <c r="S14" s="179"/>
      <c r="T14" s="174"/>
      <c r="U14" s="174"/>
      <c r="V14" s="175"/>
    </row>
    <row r="15">
      <c r="A15" s="134">
        <v>12.0</v>
      </c>
      <c r="B15" s="145" t="str">
        <f>IF(Preenchimento!B21="","-",Preenchimento!B21)</f>
        <v>-</v>
      </c>
      <c r="C15" s="180" t="str">
        <f>'Avaliações'!D15</f>
        <v/>
      </c>
      <c r="D15" s="181" t="str">
        <f>IF(Preenchimento!D21="","-",Preenchimento!D21)</f>
        <v>-</v>
      </c>
      <c r="E15" s="143" t="str">
        <f>IF(Preenchimento!E21="","",Preenchimento!E21)</f>
        <v/>
      </c>
      <c r="F15" s="182" t="str">
        <f t="shared" si="1"/>
        <v>-</v>
      </c>
      <c r="G15" s="183" t="str">
        <f t="shared" si="2"/>
        <v>-</v>
      </c>
      <c r="H15" s="184" t="str">
        <f t="shared" si="3"/>
        <v>-</v>
      </c>
      <c r="I15" s="182" t="str">
        <f t="shared" si="4"/>
        <v>-</v>
      </c>
      <c r="J15" s="183" t="str">
        <f t="shared" si="5"/>
        <v>-</v>
      </c>
      <c r="K15" s="183" t="str">
        <f t="shared" si="6"/>
        <v>-</v>
      </c>
      <c r="L15" s="184" t="str">
        <f t="shared" si="7"/>
        <v>-</v>
      </c>
      <c r="M15" s="185" t="str">
        <f>if(or('Avaliações'!D15="falta",'Avaliações'!D15=""),"-",if('Avaliações'!D15="presente", IF(IF(AND(F15="",G15="",H15=""),SUM(I15:L15)/4,SUM(F15:L15)/7)=0,"-",IF(AND(F15="",G15="",H15=""),SUM(I15:L15)/4,SUM(F15:L15)/7))))</f>
        <v>-</v>
      </c>
      <c r="N15" s="168"/>
      <c r="O15" s="11" t="s">
        <v>54</v>
      </c>
      <c r="P15" s="186"/>
      <c r="Q15" s="187"/>
      <c r="R15" s="188"/>
      <c r="S15" s="189"/>
      <c r="T15" s="187"/>
      <c r="U15" s="187"/>
      <c r="V15" s="188"/>
    </row>
    <row r="16">
      <c r="A16" s="134">
        <v>13.0</v>
      </c>
      <c r="B16" s="139" t="str">
        <f>IF(Preenchimento!B22="","-",Preenchimento!B22)</f>
        <v>-</v>
      </c>
      <c r="C16" s="171" t="str">
        <f>'Avaliações'!D16</f>
        <v/>
      </c>
      <c r="D16" s="190" t="str">
        <f>IF(Preenchimento!D22="","-",Preenchimento!D22)</f>
        <v>-</v>
      </c>
      <c r="E16" s="138" t="str">
        <f>IF(Preenchimento!E22="","",Preenchimento!E22)</f>
        <v/>
      </c>
      <c r="F16" s="173" t="str">
        <f t="shared" si="1"/>
        <v>-</v>
      </c>
      <c r="G16" s="174" t="str">
        <f t="shared" si="2"/>
        <v>-</v>
      </c>
      <c r="H16" s="175" t="str">
        <f t="shared" si="3"/>
        <v>-</v>
      </c>
      <c r="I16" s="173" t="str">
        <f t="shared" si="4"/>
        <v>-</v>
      </c>
      <c r="J16" s="174" t="str">
        <f t="shared" si="5"/>
        <v>-</v>
      </c>
      <c r="K16" s="174" t="str">
        <f t="shared" si="6"/>
        <v>-</v>
      </c>
      <c r="L16" s="175" t="str">
        <f t="shared" si="7"/>
        <v>-</v>
      </c>
      <c r="M16" s="138" t="str">
        <f>if(or('Avaliações'!D16="falta",'Avaliações'!D16=""),"-",if('Avaliações'!D16="presente", IF(IF(AND(F16="",G16="",H16=""),SUM(I16:L16)/4,SUM(F16:L16)/7)=0,"-",IF(AND(F16="",G16="",H16=""),SUM(I16:L16)/4,SUM(F16:L16)/7))))</f>
        <v>-</v>
      </c>
      <c r="N16" s="168"/>
      <c r="O16" s="11" t="s">
        <v>55</v>
      </c>
      <c r="P16" s="173"/>
      <c r="Q16" s="174"/>
      <c r="R16" s="175"/>
      <c r="S16" s="179"/>
      <c r="T16" s="174"/>
      <c r="U16" s="174"/>
      <c r="V16" s="175"/>
    </row>
    <row r="17">
      <c r="A17" s="134">
        <v>14.0</v>
      </c>
      <c r="B17" s="145" t="str">
        <f>IF(Preenchimento!B23="","-",Preenchimento!B23)</f>
        <v>-</v>
      </c>
      <c r="C17" s="180" t="str">
        <f>'Avaliações'!D17</f>
        <v/>
      </c>
      <c r="D17" s="181" t="str">
        <f>IF(Preenchimento!D23="","-",Preenchimento!D23)</f>
        <v>-</v>
      </c>
      <c r="E17" s="143" t="str">
        <f>IF(Preenchimento!E23="","",Preenchimento!E23)</f>
        <v/>
      </c>
      <c r="F17" s="182" t="str">
        <f t="shared" si="1"/>
        <v>-</v>
      </c>
      <c r="G17" s="183" t="str">
        <f t="shared" si="2"/>
        <v>-</v>
      </c>
      <c r="H17" s="184" t="str">
        <f t="shared" si="3"/>
        <v>-</v>
      </c>
      <c r="I17" s="182" t="str">
        <f t="shared" si="4"/>
        <v>-</v>
      </c>
      <c r="J17" s="183" t="str">
        <f t="shared" si="5"/>
        <v>-</v>
      </c>
      <c r="K17" s="183" t="str">
        <f t="shared" si="6"/>
        <v>-</v>
      </c>
      <c r="L17" s="184" t="str">
        <f t="shared" si="7"/>
        <v>-</v>
      </c>
      <c r="M17" s="185" t="str">
        <f>if(or('Avaliações'!D17="falta",'Avaliações'!D17=""),"-",if('Avaliações'!D17="presente", IF(IF(AND(F17="",G17="",H17=""),SUM(I17:L17)/4,SUM(F17:L17)/7)=0,"-",IF(AND(F17="",G17="",H17=""),SUM(I17:L17)/4,SUM(F17:L17)/7))))</f>
        <v>-</v>
      </c>
      <c r="N17" s="168"/>
      <c r="O17" s="11" t="s">
        <v>56</v>
      </c>
      <c r="P17" s="186"/>
      <c r="Q17" s="187"/>
      <c r="R17" s="188"/>
      <c r="S17" s="189"/>
      <c r="T17" s="187"/>
      <c r="U17" s="187"/>
      <c r="V17" s="188"/>
    </row>
    <row r="18">
      <c r="A18" s="134">
        <v>15.0</v>
      </c>
      <c r="B18" s="139" t="str">
        <f>IF(Preenchimento!B24="","-",Preenchimento!B24)</f>
        <v>-</v>
      </c>
      <c r="C18" s="171" t="str">
        <f>'Avaliações'!D18</f>
        <v/>
      </c>
      <c r="D18" s="190" t="str">
        <f>IF(Preenchimento!D24="","-",Preenchimento!D24)</f>
        <v>-</v>
      </c>
      <c r="E18" s="138" t="str">
        <f>IF(Preenchimento!E24="","",Preenchimento!E24)</f>
        <v/>
      </c>
      <c r="F18" s="173" t="str">
        <f t="shared" si="1"/>
        <v>-</v>
      </c>
      <c r="G18" s="174" t="str">
        <f t="shared" si="2"/>
        <v>-</v>
      </c>
      <c r="H18" s="175" t="str">
        <f t="shared" si="3"/>
        <v>-</v>
      </c>
      <c r="I18" s="173" t="str">
        <f t="shared" si="4"/>
        <v>-</v>
      </c>
      <c r="J18" s="174" t="str">
        <f t="shared" si="5"/>
        <v>-</v>
      </c>
      <c r="K18" s="174" t="str">
        <f t="shared" si="6"/>
        <v>-</v>
      </c>
      <c r="L18" s="175" t="str">
        <f t="shared" si="7"/>
        <v>-</v>
      </c>
      <c r="M18" s="138" t="str">
        <f>if(or('Avaliações'!D18="falta",'Avaliações'!D18=""),"-",if('Avaliações'!D18="presente", IF(IF(AND(F18="",G18="",H18=""),SUM(I18:L18)/4,SUM(F18:L18)/7)=0,"-",IF(AND(F18="",G18="",H18=""),SUM(I18:L18)/4,SUM(F18:L18)/7))))</f>
        <v>-</v>
      </c>
      <c r="N18" s="168"/>
      <c r="O18" s="11" t="s">
        <v>57</v>
      </c>
      <c r="P18" s="173"/>
      <c r="Q18" s="174"/>
      <c r="R18" s="175"/>
      <c r="S18" s="179"/>
      <c r="T18" s="174"/>
      <c r="U18" s="174"/>
      <c r="V18" s="175"/>
    </row>
    <row r="19">
      <c r="A19" s="134">
        <v>16.0</v>
      </c>
      <c r="B19" s="145" t="str">
        <f>IF(Preenchimento!B25="","-",Preenchimento!B25)</f>
        <v>-</v>
      </c>
      <c r="C19" s="180" t="str">
        <f>'Avaliações'!D19</f>
        <v/>
      </c>
      <c r="D19" s="181" t="str">
        <f>IF(Preenchimento!D25="","-",Preenchimento!D25)</f>
        <v>-</v>
      </c>
      <c r="E19" s="143" t="str">
        <f>IF(Preenchimento!E25="","",Preenchimento!E25)</f>
        <v/>
      </c>
      <c r="F19" s="182" t="str">
        <f t="shared" si="1"/>
        <v>-</v>
      </c>
      <c r="G19" s="183" t="str">
        <f t="shared" si="2"/>
        <v>-</v>
      </c>
      <c r="H19" s="184" t="str">
        <f t="shared" si="3"/>
        <v>-</v>
      </c>
      <c r="I19" s="182" t="str">
        <f t="shared" si="4"/>
        <v>-</v>
      </c>
      <c r="J19" s="183" t="str">
        <f t="shared" si="5"/>
        <v>-</v>
      </c>
      <c r="K19" s="183" t="str">
        <f t="shared" si="6"/>
        <v>-</v>
      </c>
      <c r="L19" s="184" t="str">
        <f t="shared" si="7"/>
        <v>-</v>
      </c>
      <c r="M19" s="185" t="str">
        <f>if(or('Avaliações'!D19="falta",'Avaliações'!D19=""),"-",if('Avaliações'!D19="presente", IF(IF(AND(F19="",G19="",H19=""),SUM(I19:L19)/4,SUM(F19:L19)/7)=0,"-",IF(AND(F19="",G19="",H19=""),SUM(I19:L19)/4,SUM(F19:L19)/7))))</f>
        <v>-</v>
      </c>
      <c r="N19" s="168"/>
      <c r="O19" s="11" t="s">
        <v>58</v>
      </c>
      <c r="P19" s="186"/>
      <c r="Q19" s="187"/>
      <c r="R19" s="188"/>
      <c r="S19" s="189"/>
      <c r="T19" s="187"/>
      <c r="U19" s="187"/>
      <c r="V19" s="188"/>
    </row>
    <row r="20">
      <c r="A20" s="134">
        <v>17.0</v>
      </c>
      <c r="B20" s="139" t="str">
        <f>IF(Preenchimento!B26="","-",Preenchimento!B26)</f>
        <v>-</v>
      </c>
      <c r="C20" s="171" t="str">
        <f>'Avaliações'!D20</f>
        <v/>
      </c>
      <c r="D20" s="190" t="str">
        <f>IF(Preenchimento!D26="","-",Preenchimento!D26)</f>
        <v>-</v>
      </c>
      <c r="E20" s="138" t="str">
        <f>IF(Preenchimento!E26="","",Preenchimento!E26)</f>
        <v/>
      </c>
      <c r="F20" s="173" t="str">
        <f t="shared" si="1"/>
        <v>-</v>
      </c>
      <c r="G20" s="174" t="str">
        <f t="shared" si="2"/>
        <v>-</v>
      </c>
      <c r="H20" s="175" t="str">
        <f t="shared" si="3"/>
        <v>-</v>
      </c>
      <c r="I20" s="173" t="str">
        <f t="shared" si="4"/>
        <v>-</v>
      </c>
      <c r="J20" s="174" t="str">
        <f t="shared" si="5"/>
        <v>-</v>
      </c>
      <c r="K20" s="174" t="str">
        <f t="shared" si="6"/>
        <v>-</v>
      </c>
      <c r="L20" s="175" t="str">
        <f t="shared" si="7"/>
        <v>-</v>
      </c>
      <c r="M20" s="138" t="str">
        <f>if(or('Avaliações'!D20="falta",'Avaliações'!D20=""),"-",if('Avaliações'!D20="presente", IF(IF(AND(F20="",G20="",H20=""),SUM(I20:L20)/4,SUM(F20:L20)/7)=0,"-",IF(AND(F20="",G20="",H20=""),SUM(I20:L20)/4,SUM(F20:L20)/7))))</f>
        <v>-</v>
      </c>
      <c r="N20" s="168"/>
      <c r="O20" s="11" t="s">
        <v>59</v>
      </c>
      <c r="P20" s="173"/>
      <c r="Q20" s="174"/>
      <c r="R20" s="175"/>
      <c r="S20" s="179"/>
      <c r="T20" s="174"/>
      <c r="U20" s="174"/>
      <c r="V20" s="175"/>
    </row>
    <row r="21" ht="15.75" customHeight="1">
      <c r="A21" s="134">
        <v>18.0</v>
      </c>
      <c r="B21" s="145" t="str">
        <f>IF(Preenchimento!B27="","-",Preenchimento!B27)</f>
        <v>-</v>
      </c>
      <c r="C21" s="180" t="str">
        <f>'Avaliações'!D21</f>
        <v/>
      </c>
      <c r="D21" s="181" t="str">
        <f>IF(Preenchimento!D27="","-",Preenchimento!D27)</f>
        <v>-</v>
      </c>
      <c r="E21" s="143" t="str">
        <f>IF(Preenchimento!E27="","",Preenchimento!E27)</f>
        <v/>
      </c>
      <c r="F21" s="182" t="str">
        <f t="shared" si="1"/>
        <v>-</v>
      </c>
      <c r="G21" s="183" t="str">
        <f t="shared" si="2"/>
        <v>-</v>
      </c>
      <c r="H21" s="184" t="str">
        <f t="shared" si="3"/>
        <v>-</v>
      </c>
      <c r="I21" s="182" t="str">
        <f t="shared" si="4"/>
        <v>-</v>
      </c>
      <c r="J21" s="183" t="str">
        <f t="shared" si="5"/>
        <v>-</v>
      </c>
      <c r="K21" s="183" t="str">
        <f t="shared" si="6"/>
        <v>-</v>
      </c>
      <c r="L21" s="184" t="str">
        <f t="shared" si="7"/>
        <v>-</v>
      </c>
      <c r="M21" s="185" t="str">
        <f>if(or('Avaliações'!D21="falta",'Avaliações'!D21=""),"-",if('Avaliações'!D21="presente", IF(IF(AND(F21="",G21="",H21=""),SUM(I21:L21)/4,SUM(F21:L21)/7)=0,"-",IF(AND(F21="",G21="",H21=""),SUM(I21:L21)/4,SUM(F21:L21)/7))))</f>
        <v>-</v>
      </c>
      <c r="N21" s="168"/>
      <c r="O21" s="11" t="s">
        <v>60</v>
      </c>
      <c r="P21" s="186"/>
      <c r="Q21" s="187"/>
      <c r="R21" s="188"/>
      <c r="S21" s="189"/>
      <c r="T21" s="187"/>
      <c r="U21" s="187"/>
      <c r="V21" s="188"/>
    </row>
    <row r="22" ht="15.75" customHeight="1">
      <c r="A22" s="134">
        <v>19.0</v>
      </c>
      <c r="B22" s="139" t="str">
        <f>IF(Preenchimento!B28="","-",Preenchimento!B28)</f>
        <v>-</v>
      </c>
      <c r="C22" s="171" t="str">
        <f>'Avaliações'!D22</f>
        <v/>
      </c>
      <c r="D22" s="190" t="str">
        <f>IF(Preenchimento!D28="","-",Preenchimento!D28)</f>
        <v>-</v>
      </c>
      <c r="E22" s="138" t="str">
        <f>IF(Preenchimento!E28="","",Preenchimento!E28)</f>
        <v/>
      </c>
      <c r="F22" s="173" t="str">
        <f t="shared" si="1"/>
        <v>-</v>
      </c>
      <c r="G22" s="174" t="str">
        <f t="shared" si="2"/>
        <v>-</v>
      </c>
      <c r="H22" s="175" t="str">
        <f t="shared" si="3"/>
        <v>-</v>
      </c>
      <c r="I22" s="173" t="str">
        <f t="shared" si="4"/>
        <v>-</v>
      </c>
      <c r="J22" s="174" t="str">
        <f t="shared" si="5"/>
        <v>-</v>
      </c>
      <c r="K22" s="174" t="str">
        <f t="shared" si="6"/>
        <v>-</v>
      </c>
      <c r="L22" s="175" t="str">
        <f t="shared" si="7"/>
        <v>-</v>
      </c>
      <c r="M22" s="138" t="str">
        <f>if(or('Avaliações'!D22="falta",'Avaliações'!D22=""),"-",if('Avaliações'!D22="presente", IF(IF(AND(F22="",G22="",H22=""),SUM(I22:L22)/4,SUM(F22:L22)/7)=0,"-",IF(AND(F22="",G22="",H22=""),SUM(I22:L22)/4,SUM(F22:L22)/7))))</f>
        <v>-</v>
      </c>
      <c r="N22" s="168"/>
      <c r="O22" s="11" t="s">
        <v>61</v>
      </c>
      <c r="P22" s="173"/>
      <c r="Q22" s="174"/>
      <c r="R22" s="175"/>
      <c r="S22" s="179"/>
      <c r="T22" s="174"/>
      <c r="U22" s="174"/>
      <c r="V22" s="175"/>
    </row>
    <row r="23" ht="15.75" customHeight="1">
      <c r="A23" s="134">
        <v>20.0</v>
      </c>
      <c r="B23" s="145" t="str">
        <f>IF(Preenchimento!B29="","-",Preenchimento!B29)</f>
        <v>-</v>
      </c>
      <c r="C23" s="180" t="str">
        <f>'Avaliações'!D23</f>
        <v/>
      </c>
      <c r="D23" s="181" t="str">
        <f>IF(Preenchimento!D29="","-",Preenchimento!D29)</f>
        <v>-</v>
      </c>
      <c r="E23" s="143" t="str">
        <f>IF(Preenchimento!E29="","",Preenchimento!E29)</f>
        <v/>
      </c>
      <c r="F23" s="182" t="str">
        <f t="shared" si="1"/>
        <v>-</v>
      </c>
      <c r="G23" s="183" t="str">
        <f t="shared" si="2"/>
        <v>-</v>
      </c>
      <c r="H23" s="184" t="str">
        <f t="shared" si="3"/>
        <v>-</v>
      </c>
      <c r="I23" s="182" t="str">
        <f t="shared" si="4"/>
        <v>-</v>
      </c>
      <c r="J23" s="183" t="str">
        <f t="shared" si="5"/>
        <v>-</v>
      </c>
      <c r="K23" s="183" t="str">
        <f t="shared" si="6"/>
        <v>-</v>
      </c>
      <c r="L23" s="184" t="str">
        <f t="shared" si="7"/>
        <v>-</v>
      </c>
      <c r="M23" s="185" t="str">
        <f>if(or('Avaliações'!D23="falta",'Avaliações'!D23=""),"-",if('Avaliações'!D23="presente", IF(IF(AND(F23="",G23="",H23=""),SUM(I23:L23)/4,SUM(F23:L23)/7)=0,"-",IF(AND(F23="",G23="",H23=""),SUM(I23:L23)/4,SUM(F23:L23)/7))))</f>
        <v>-</v>
      </c>
      <c r="N23" s="168"/>
      <c r="O23" s="11" t="s">
        <v>62</v>
      </c>
      <c r="P23" s="186"/>
      <c r="Q23" s="187"/>
      <c r="R23" s="188"/>
      <c r="S23" s="189"/>
      <c r="T23" s="187"/>
      <c r="U23" s="187"/>
      <c r="V23" s="188"/>
    </row>
    <row r="24" ht="15.75" customHeight="1">
      <c r="A24" s="134">
        <v>21.0</v>
      </c>
      <c r="B24" s="139" t="str">
        <f>IF(Preenchimento!B30="","-",Preenchimento!B30)</f>
        <v>-</v>
      </c>
      <c r="C24" s="171" t="str">
        <f>'Avaliações'!D24</f>
        <v/>
      </c>
      <c r="D24" s="190" t="str">
        <f>IF(Preenchimento!D30="","-",Preenchimento!D30)</f>
        <v>-</v>
      </c>
      <c r="E24" s="138" t="str">
        <f>IF(Preenchimento!E30="","",Preenchimento!E30)</f>
        <v/>
      </c>
      <c r="F24" s="173" t="str">
        <f t="shared" si="1"/>
        <v>-</v>
      </c>
      <c r="G24" s="174" t="str">
        <f t="shared" si="2"/>
        <v>-</v>
      </c>
      <c r="H24" s="175" t="str">
        <f t="shared" si="3"/>
        <v>-</v>
      </c>
      <c r="I24" s="173" t="str">
        <f t="shared" si="4"/>
        <v>-</v>
      </c>
      <c r="J24" s="174" t="str">
        <f t="shared" si="5"/>
        <v>-</v>
      </c>
      <c r="K24" s="174" t="str">
        <f t="shared" si="6"/>
        <v>-</v>
      </c>
      <c r="L24" s="175" t="str">
        <f t="shared" si="7"/>
        <v>-</v>
      </c>
      <c r="M24" s="138" t="str">
        <f>if(or('Avaliações'!D24="falta",'Avaliações'!D24=""),"-",if('Avaliações'!D24="presente", IF(IF(AND(F24="",G24="",H24=""),SUM(I24:L24)/4,SUM(F24:L24)/7)=0,"-",IF(AND(F24="",G24="",H24=""),SUM(I24:L24)/4,SUM(F24:L24)/7))))</f>
        <v>-</v>
      </c>
      <c r="N24" s="168"/>
      <c r="O24" s="11" t="s">
        <v>63</v>
      </c>
      <c r="P24" s="173"/>
      <c r="Q24" s="174"/>
      <c r="R24" s="175"/>
      <c r="S24" s="179"/>
      <c r="T24" s="174"/>
      <c r="U24" s="174"/>
      <c r="V24" s="175"/>
    </row>
    <row r="25" ht="15.75" customHeight="1">
      <c r="A25" s="134">
        <v>22.0</v>
      </c>
      <c r="B25" s="145" t="str">
        <f>IF(Preenchimento!B31="","-",Preenchimento!B31)</f>
        <v>-</v>
      </c>
      <c r="C25" s="180" t="str">
        <f>'Avaliações'!D25</f>
        <v/>
      </c>
      <c r="D25" s="181" t="str">
        <f>IF(Preenchimento!D31="","-",Preenchimento!D31)</f>
        <v>-</v>
      </c>
      <c r="E25" s="143" t="str">
        <f>IF(Preenchimento!E31="","",Preenchimento!E31)</f>
        <v/>
      </c>
      <c r="F25" s="182" t="str">
        <f t="shared" si="1"/>
        <v>-</v>
      </c>
      <c r="G25" s="183" t="str">
        <f t="shared" si="2"/>
        <v>-</v>
      </c>
      <c r="H25" s="184" t="str">
        <f t="shared" si="3"/>
        <v>-</v>
      </c>
      <c r="I25" s="182" t="str">
        <f t="shared" si="4"/>
        <v>-</v>
      </c>
      <c r="J25" s="183" t="str">
        <f t="shared" si="5"/>
        <v>-</v>
      </c>
      <c r="K25" s="183" t="str">
        <f t="shared" si="6"/>
        <v>-</v>
      </c>
      <c r="L25" s="184" t="str">
        <f t="shared" si="7"/>
        <v>-</v>
      </c>
      <c r="M25" s="185" t="str">
        <f>if(or('Avaliações'!D25="falta",'Avaliações'!D25=""),"-",if('Avaliações'!D25="presente", IF(IF(AND(F25="",G25="",H25=""),SUM(I25:L25)/4,SUM(F25:L25)/7)=0,"-",IF(AND(F25="",G25="",H25=""),SUM(I25:L25)/4,SUM(F25:L25)/7))))</f>
        <v>-</v>
      </c>
      <c r="N25" s="168"/>
      <c r="O25" s="11" t="s">
        <v>64</v>
      </c>
      <c r="P25" s="186"/>
      <c r="Q25" s="187"/>
      <c r="R25" s="188"/>
      <c r="S25" s="189"/>
      <c r="T25" s="187"/>
      <c r="U25" s="187"/>
      <c r="V25" s="188"/>
    </row>
    <row r="26" ht="15.75" customHeight="1">
      <c r="A26" s="134">
        <v>23.0</v>
      </c>
      <c r="B26" s="139" t="str">
        <f>IF(Preenchimento!B32="","-",Preenchimento!B32)</f>
        <v>-</v>
      </c>
      <c r="C26" s="171" t="str">
        <f>'Avaliações'!D26</f>
        <v/>
      </c>
      <c r="D26" s="190" t="str">
        <f>IF(Preenchimento!D32="","-",Preenchimento!D32)</f>
        <v>-</v>
      </c>
      <c r="E26" s="138" t="str">
        <f>IF(Preenchimento!E32="","",Preenchimento!E32)</f>
        <v/>
      </c>
      <c r="F26" s="173" t="str">
        <f t="shared" si="1"/>
        <v>-</v>
      </c>
      <c r="G26" s="174" t="str">
        <f t="shared" si="2"/>
        <v>-</v>
      </c>
      <c r="H26" s="175" t="str">
        <f t="shared" si="3"/>
        <v>-</v>
      </c>
      <c r="I26" s="173" t="str">
        <f t="shared" si="4"/>
        <v>-</v>
      </c>
      <c r="J26" s="174" t="str">
        <f t="shared" si="5"/>
        <v>-</v>
      </c>
      <c r="K26" s="174" t="str">
        <f t="shared" si="6"/>
        <v>-</v>
      </c>
      <c r="L26" s="175" t="str">
        <f t="shared" si="7"/>
        <v>-</v>
      </c>
      <c r="M26" s="138" t="str">
        <f>if(or('Avaliações'!D26="falta",'Avaliações'!D26=""),"-",if('Avaliações'!D26="presente", IF(IF(AND(F26="",G26="",H26=""),SUM(I26:L26)/4,SUM(F26:L26)/7)=0,"-",IF(AND(F26="",G26="",H26=""),SUM(I26:L26)/4,SUM(F26:L26)/7))))</f>
        <v>-</v>
      </c>
      <c r="N26" s="168"/>
      <c r="O26" s="11" t="s">
        <v>65</v>
      </c>
      <c r="P26" s="173"/>
      <c r="Q26" s="174"/>
      <c r="R26" s="175"/>
      <c r="S26" s="179"/>
      <c r="T26" s="174"/>
      <c r="U26" s="174"/>
      <c r="V26" s="175"/>
    </row>
    <row r="27" ht="15.75" customHeight="1">
      <c r="A27" s="134">
        <v>24.0</v>
      </c>
      <c r="B27" s="145" t="str">
        <f>IF(Preenchimento!B33="","-",Preenchimento!B33)</f>
        <v>-</v>
      </c>
      <c r="C27" s="180" t="str">
        <f>'Avaliações'!D27</f>
        <v/>
      </c>
      <c r="D27" s="181" t="str">
        <f>IF(Preenchimento!D33="","-",Preenchimento!D33)</f>
        <v>-</v>
      </c>
      <c r="E27" s="143" t="str">
        <f>IF(Preenchimento!E33="","",Preenchimento!E33)</f>
        <v/>
      </c>
      <c r="F27" s="182" t="str">
        <f t="shared" si="1"/>
        <v>-</v>
      </c>
      <c r="G27" s="183" t="str">
        <f t="shared" si="2"/>
        <v>-</v>
      </c>
      <c r="H27" s="184" t="str">
        <f t="shared" si="3"/>
        <v>-</v>
      </c>
      <c r="I27" s="182" t="str">
        <f t="shared" si="4"/>
        <v>-</v>
      </c>
      <c r="J27" s="183" t="str">
        <f t="shared" si="5"/>
        <v>-</v>
      </c>
      <c r="K27" s="183" t="str">
        <f t="shared" si="6"/>
        <v>-</v>
      </c>
      <c r="L27" s="184" t="str">
        <f t="shared" si="7"/>
        <v>-</v>
      </c>
      <c r="M27" s="185" t="str">
        <f>if(or('Avaliações'!D27="falta",'Avaliações'!D27=""),"-",if('Avaliações'!D27="presente", IF(IF(AND(F27="",G27="",H27=""),SUM(I27:L27)/4,SUM(F27:L27)/7)=0,"-",IF(AND(F27="",G27="",H27=""),SUM(I27:L27)/4,SUM(F27:L27)/7))))</f>
        <v>-</v>
      </c>
      <c r="N27" s="168"/>
      <c r="O27" s="11" t="s">
        <v>66</v>
      </c>
      <c r="P27" s="186"/>
      <c r="Q27" s="187"/>
      <c r="R27" s="188"/>
      <c r="S27" s="189"/>
      <c r="T27" s="187"/>
      <c r="U27" s="187"/>
      <c r="V27" s="188"/>
    </row>
    <row r="28" ht="15.75" customHeight="1">
      <c r="A28" s="134">
        <v>25.0</v>
      </c>
      <c r="B28" s="139" t="str">
        <f>IF(Preenchimento!B34="","-",Preenchimento!B34)</f>
        <v>-</v>
      </c>
      <c r="C28" s="171" t="str">
        <f>'Avaliações'!D28</f>
        <v/>
      </c>
      <c r="D28" s="190" t="str">
        <f>IF(Preenchimento!D34="","-",Preenchimento!D34)</f>
        <v>-</v>
      </c>
      <c r="E28" s="138" t="str">
        <f>IF(Preenchimento!E34="","",Preenchimento!E34)</f>
        <v/>
      </c>
      <c r="F28" s="173" t="str">
        <f t="shared" si="1"/>
        <v>-</v>
      </c>
      <c r="G28" s="174" t="str">
        <f t="shared" si="2"/>
        <v>-</v>
      </c>
      <c r="H28" s="175" t="str">
        <f t="shared" si="3"/>
        <v>-</v>
      </c>
      <c r="I28" s="173" t="str">
        <f t="shared" si="4"/>
        <v>-</v>
      </c>
      <c r="J28" s="174" t="str">
        <f t="shared" si="5"/>
        <v>-</v>
      </c>
      <c r="K28" s="174" t="str">
        <f t="shared" si="6"/>
        <v>-</v>
      </c>
      <c r="L28" s="175" t="str">
        <f t="shared" si="7"/>
        <v>-</v>
      </c>
      <c r="M28" s="138" t="str">
        <f>if(or('Avaliações'!D28="falta",'Avaliações'!D28=""),"-",if('Avaliações'!D28="presente", IF(IF(AND(F28="",G28="",H28=""),SUM(I28:L28)/4,SUM(F28:L28)/7)=0,"-",IF(AND(F28="",G28="",H28=""),SUM(I28:L28)/4,SUM(F28:L28)/7))))</f>
        <v>-</v>
      </c>
      <c r="N28" s="168"/>
      <c r="O28" s="11" t="s">
        <v>67</v>
      </c>
      <c r="P28" s="173"/>
      <c r="Q28" s="174"/>
      <c r="R28" s="175"/>
      <c r="S28" s="179"/>
      <c r="T28" s="174"/>
      <c r="U28" s="174"/>
      <c r="V28" s="175"/>
    </row>
    <row r="29" ht="15.75" customHeight="1">
      <c r="A29" s="134">
        <v>26.0</v>
      </c>
      <c r="B29" s="145" t="str">
        <f>IF(Preenchimento!B35="","-",Preenchimento!B35)</f>
        <v>-</v>
      </c>
      <c r="C29" s="180" t="str">
        <f>'Avaliações'!D29</f>
        <v/>
      </c>
      <c r="D29" s="181" t="str">
        <f>IF(Preenchimento!D35="","-",Preenchimento!D35)</f>
        <v>-</v>
      </c>
      <c r="E29" s="143" t="str">
        <f>IF(Preenchimento!E35="","",Preenchimento!E35)</f>
        <v/>
      </c>
      <c r="F29" s="182" t="str">
        <f t="shared" si="1"/>
        <v>-</v>
      </c>
      <c r="G29" s="183" t="str">
        <f t="shared" si="2"/>
        <v>-</v>
      </c>
      <c r="H29" s="184" t="str">
        <f t="shared" si="3"/>
        <v>-</v>
      </c>
      <c r="I29" s="182" t="str">
        <f t="shared" si="4"/>
        <v>-</v>
      </c>
      <c r="J29" s="183" t="str">
        <f t="shared" si="5"/>
        <v>-</v>
      </c>
      <c r="K29" s="183" t="str">
        <f t="shared" si="6"/>
        <v>-</v>
      </c>
      <c r="L29" s="184" t="str">
        <f t="shared" si="7"/>
        <v>-</v>
      </c>
      <c r="M29" s="185" t="str">
        <f>if(or('Avaliações'!D29="falta",'Avaliações'!D29=""),"-",if('Avaliações'!D29="presente", IF(IF(AND(F29="",G29="",H29=""),SUM(I29:L29)/4,SUM(F29:L29)/7)=0,"-",IF(AND(F29="",G29="",H29=""),SUM(I29:L29)/4,SUM(F29:L29)/7))))</f>
        <v>-</v>
      </c>
      <c r="N29" s="191"/>
      <c r="O29" s="29" t="s">
        <v>68</v>
      </c>
      <c r="P29" s="192"/>
      <c r="Q29" s="193"/>
      <c r="R29" s="194"/>
      <c r="S29" s="195"/>
      <c r="T29" s="193"/>
      <c r="U29" s="193"/>
      <c r="V29" s="194"/>
    </row>
    <row r="30" ht="15.75" customHeight="1">
      <c r="A30" s="134">
        <v>27.0</v>
      </c>
      <c r="B30" s="139" t="str">
        <f>IF(Preenchimento!B36="","-",Preenchimento!B36)</f>
        <v>-</v>
      </c>
      <c r="C30" s="171" t="str">
        <f>'Avaliações'!D30</f>
        <v/>
      </c>
      <c r="D30" s="190" t="str">
        <f>IF(Preenchimento!D36="","-",Preenchimento!D36)</f>
        <v>-</v>
      </c>
      <c r="E30" s="138" t="str">
        <f>IF(Preenchimento!E36="","",Preenchimento!E36)</f>
        <v/>
      </c>
      <c r="F30" s="173" t="str">
        <f t="shared" si="1"/>
        <v>-</v>
      </c>
      <c r="G30" s="174" t="str">
        <f t="shared" si="2"/>
        <v>-</v>
      </c>
      <c r="H30" s="175" t="str">
        <f t="shared" si="3"/>
        <v>-</v>
      </c>
      <c r="I30" s="173" t="str">
        <f t="shared" si="4"/>
        <v>-</v>
      </c>
      <c r="J30" s="174" t="str">
        <f t="shared" si="5"/>
        <v>-</v>
      </c>
      <c r="K30" s="174" t="str">
        <f t="shared" si="6"/>
        <v>-</v>
      </c>
      <c r="L30" s="175" t="str">
        <f t="shared" si="7"/>
        <v>-</v>
      </c>
      <c r="M30" s="138" t="str">
        <f>if(or('Avaliações'!D30="falta",'Avaliações'!D30=""),"-",if('Avaliações'!D30="presente", IF(IF(AND(F30="",G30="",H30=""),SUM(I30:L30)/4,SUM(F30:L30)/7)=0,"-",IF(AND(F30="",G30="",H30=""),SUM(I30:L30)/4,SUM(F30:L30)/7))))</f>
        <v>-</v>
      </c>
      <c r="N30" s="168"/>
    </row>
    <row r="31" ht="15.75" customHeight="1">
      <c r="A31" s="134">
        <v>28.0</v>
      </c>
      <c r="B31" s="145" t="str">
        <f>IF(Preenchimento!B37="","-",Preenchimento!B37)</f>
        <v>-</v>
      </c>
      <c r="C31" s="180" t="str">
        <f>'Avaliações'!D31</f>
        <v/>
      </c>
      <c r="D31" s="181" t="str">
        <f>IF(Preenchimento!D37="","-",Preenchimento!D37)</f>
        <v>-</v>
      </c>
      <c r="E31" s="143" t="str">
        <f>IF(Preenchimento!E37="","",Preenchimento!E37)</f>
        <v/>
      </c>
      <c r="F31" s="182" t="str">
        <f t="shared" si="1"/>
        <v>-</v>
      </c>
      <c r="G31" s="183" t="str">
        <f t="shared" si="2"/>
        <v>-</v>
      </c>
      <c r="H31" s="184" t="str">
        <f t="shared" si="3"/>
        <v>-</v>
      </c>
      <c r="I31" s="182" t="str">
        <f t="shared" si="4"/>
        <v>-</v>
      </c>
      <c r="J31" s="183" t="str">
        <f t="shared" si="5"/>
        <v>-</v>
      </c>
      <c r="K31" s="183" t="str">
        <f t="shared" si="6"/>
        <v>-</v>
      </c>
      <c r="L31" s="184" t="str">
        <f t="shared" si="7"/>
        <v>-</v>
      </c>
      <c r="M31" s="185" t="str">
        <f>if(or('Avaliações'!D31="falta",'Avaliações'!D31=""),"-",if('Avaliações'!D31="presente", IF(IF(AND(F31="",G31="",H31=""),SUM(I31:L31)/4,SUM(F31:L31)/7)=0,"-",IF(AND(F31="",G31="",H31=""),SUM(I31:L31)/4,SUM(F31:L31)/7))))</f>
        <v>-</v>
      </c>
      <c r="N31" s="168"/>
    </row>
    <row r="32" ht="15.75" customHeight="1">
      <c r="A32" s="134">
        <v>29.0</v>
      </c>
      <c r="B32" s="139" t="str">
        <f>IF(Preenchimento!B38="","-",Preenchimento!B38)</f>
        <v>-</v>
      </c>
      <c r="C32" s="171" t="str">
        <f>'Avaliações'!D32</f>
        <v/>
      </c>
      <c r="D32" s="190" t="str">
        <f>IF(Preenchimento!D38="","-",Preenchimento!D38)</f>
        <v>-</v>
      </c>
      <c r="E32" s="138" t="str">
        <f>IF(Preenchimento!E38="","",Preenchimento!E38)</f>
        <v/>
      </c>
      <c r="F32" s="173" t="str">
        <f t="shared" si="1"/>
        <v>-</v>
      </c>
      <c r="G32" s="174" t="str">
        <f t="shared" si="2"/>
        <v>-</v>
      </c>
      <c r="H32" s="175" t="str">
        <f t="shared" si="3"/>
        <v>-</v>
      </c>
      <c r="I32" s="173" t="str">
        <f t="shared" si="4"/>
        <v>-</v>
      </c>
      <c r="J32" s="174" t="str">
        <f t="shared" si="5"/>
        <v>-</v>
      </c>
      <c r="K32" s="174" t="str">
        <f t="shared" si="6"/>
        <v>-</v>
      </c>
      <c r="L32" s="175" t="str">
        <f t="shared" si="7"/>
        <v>-</v>
      </c>
      <c r="M32" s="138" t="str">
        <f>if(or('Avaliações'!D32="falta",'Avaliações'!D32=""),"-",if('Avaliações'!D32="presente", IF(IF(AND(F32="",G32="",H32=""),SUM(I32:L32)/4,SUM(F32:L32)/7)=0,"-",IF(AND(F32="",G32="",H32=""),SUM(I32:L32)/4,SUM(F32:L32)/7))))</f>
        <v>-</v>
      </c>
      <c r="N32" s="168"/>
    </row>
    <row r="33" ht="15.75" customHeight="1">
      <c r="A33" s="134">
        <v>30.0</v>
      </c>
      <c r="B33" s="145" t="str">
        <f>IF(Preenchimento!B39="","-",Preenchimento!B39)</f>
        <v>-</v>
      </c>
      <c r="C33" s="180" t="str">
        <f>'Avaliações'!D33</f>
        <v/>
      </c>
      <c r="D33" s="181" t="str">
        <f>IF(Preenchimento!D39="","-",Preenchimento!D39)</f>
        <v>-</v>
      </c>
      <c r="E33" s="143" t="str">
        <f>IF(Preenchimento!E39="","",Preenchimento!E39)</f>
        <v/>
      </c>
      <c r="F33" s="182" t="str">
        <f t="shared" si="1"/>
        <v>-</v>
      </c>
      <c r="G33" s="183" t="str">
        <f t="shared" si="2"/>
        <v>-</v>
      </c>
      <c r="H33" s="184" t="str">
        <f t="shared" si="3"/>
        <v>-</v>
      </c>
      <c r="I33" s="182" t="str">
        <f t="shared" si="4"/>
        <v>-</v>
      </c>
      <c r="J33" s="183" t="str">
        <f t="shared" si="5"/>
        <v>-</v>
      </c>
      <c r="K33" s="183" t="str">
        <f t="shared" si="6"/>
        <v>-</v>
      </c>
      <c r="L33" s="184" t="str">
        <f t="shared" si="7"/>
        <v>-</v>
      </c>
      <c r="M33" s="185" t="str">
        <f>if(or('Avaliações'!D33="falta",'Avaliações'!D33=""),"-",if('Avaliações'!D33="presente", IF(IF(AND(F33="",G33="",H33=""),SUM(I33:L33)/4,SUM(F33:L33)/7)=0,"-",IF(AND(F33="",G33="",H33=""),SUM(I33:L33)/4,SUM(F33:L33)/7))))</f>
        <v>-</v>
      </c>
      <c r="N33" s="168"/>
    </row>
    <row r="34" ht="15.75" customHeight="1">
      <c r="A34" s="134">
        <v>31.0</v>
      </c>
      <c r="B34" s="139" t="str">
        <f>IF(Preenchimento!B40="","-",Preenchimento!B40)</f>
        <v>-</v>
      </c>
      <c r="C34" s="171" t="str">
        <f>'Avaliações'!D34</f>
        <v/>
      </c>
      <c r="D34" s="190" t="str">
        <f>IF(Preenchimento!D40="","-",Preenchimento!D40)</f>
        <v>-</v>
      </c>
      <c r="E34" s="138" t="str">
        <f>IF(Preenchimento!E40="","",Preenchimento!E40)</f>
        <v/>
      </c>
      <c r="F34" s="173" t="str">
        <f t="shared" si="1"/>
        <v>-</v>
      </c>
      <c r="G34" s="174" t="str">
        <f t="shared" si="2"/>
        <v>-</v>
      </c>
      <c r="H34" s="175" t="str">
        <f t="shared" si="3"/>
        <v>-</v>
      </c>
      <c r="I34" s="173" t="str">
        <f t="shared" si="4"/>
        <v>-</v>
      </c>
      <c r="J34" s="174" t="str">
        <f t="shared" si="5"/>
        <v>-</v>
      </c>
      <c r="K34" s="174" t="str">
        <f t="shared" si="6"/>
        <v>-</v>
      </c>
      <c r="L34" s="175" t="str">
        <f t="shared" si="7"/>
        <v>-</v>
      </c>
      <c r="M34" s="138" t="str">
        <f>if(or('Avaliações'!D34="falta",'Avaliações'!D34=""),"-",if('Avaliações'!D34="presente", IF(IF(AND(F34="",G34="",H34=""),SUM(I34:L34)/4,SUM(F34:L34)/7)=0,"-",IF(AND(F34="",G34="",H34=""),SUM(I34:L34)/4,SUM(F34:L34)/7))))</f>
        <v>-</v>
      </c>
      <c r="N34" s="168"/>
    </row>
    <row r="35" ht="15.75" customHeight="1">
      <c r="A35" s="134">
        <v>32.0</v>
      </c>
      <c r="B35" s="145" t="str">
        <f>IF(Preenchimento!B41="","-",Preenchimento!B41)</f>
        <v>-</v>
      </c>
      <c r="C35" s="180" t="str">
        <f>'Avaliações'!D35</f>
        <v/>
      </c>
      <c r="D35" s="181" t="str">
        <f>IF(Preenchimento!D41="","-",Preenchimento!D41)</f>
        <v>-</v>
      </c>
      <c r="E35" s="143" t="str">
        <f>IF(Preenchimento!E41="","",Preenchimento!E41)</f>
        <v/>
      </c>
      <c r="F35" s="182" t="str">
        <f t="shared" si="1"/>
        <v>-</v>
      </c>
      <c r="G35" s="183" t="str">
        <f t="shared" si="2"/>
        <v>-</v>
      </c>
      <c r="H35" s="184" t="str">
        <f t="shared" si="3"/>
        <v>-</v>
      </c>
      <c r="I35" s="182" t="str">
        <f t="shared" si="4"/>
        <v>-</v>
      </c>
      <c r="J35" s="183" t="str">
        <f t="shared" si="5"/>
        <v>-</v>
      </c>
      <c r="K35" s="183" t="str">
        <f t="shared" si="6"/>
        <v>-</v>
      </c>
      <c r="L35" s="184" t="str">
        <f t="shared" si="7"/>
        <v>-</v>
      </c>
      <c r="M35" s="185" t="str">
        <f>if(or('Avaliações'!D35="falta",'Avaliações'!D35=""),"-",if('Avaliações'!D35="presente", IF(IF(AND(F35="",G35="",H35=""),SUM(I35:L35)/4,SUM(F35:L35)/7)=0,"-",IF(AND(F35="",G35="",H35=""),SUM(I35:L35)/4,SUM(F35:L35)/7))))</f>
        <v>-</v>
      </c>
      <c r="N35" s="168"/>
    </row>
    <row r="36" ht="15.75" customHeight="1">
      <c r="A36" s="134">
        <v>33.0</v>
      </c>
      <c r="B36" s="139" t="str">
        <f>IF(Preenchimento!B42="","-",Preenchimento!B42)</f>
        <v>-</v>
      </c>
      <c r="C36" s="171" t="str">
        <f>'Avaliações'!D36</f>
        <v/>
      </c>
      <c r="D36" s="190" t="str">
        <f>IF(Preenchimento!D42="","-",Preenchimento!D42)</f>
        <v>-</v>
      </c>
      <c r="E36" s="138" t="str">
        <f>IF(Preenchimento!E42="","",Preenchimento!E42)</f>
        <v/>
      </c>
      <c r="F36" s="173" t="str">
        <f t="shared" si="1"/>
        <v>-</v>
      </c>
      <c r="G36" s="174" t="str">
        <f t="shared" si="2"/>
        <v>-</v>
      </c>
      <c r="H36" s="175" t="str">
        <f t="shared" si="3"/>
        <v>-</v>
      </c>
      <c r="I36" s="173" t="str">
        <f t="shared" si="4"/>
        <v>-</v>
      </c>
      <c r="J36" s="174" t="str">
        <f t="shared" si="5"/>
        <v>-</v>
      </c>
      <c r="K36" s="174" t="str">
        <f t="shared" si="6"/>
        <v>-</v>
      </c>
      <c r="L36" s="175" t="str">
        <f t="shared" si="7"/>
        <v>-</v>
      </c>
      <c r="M36" s="138" t="str">
        <f>if(or('Avaliações'!D36="falta",'Avaliações'!D36=""),"-",if('Avaliações'!D36="presente", IF(IF(AND(F36="",G36="",H36=""),SUM(I36:L36)/4,SUM(F36:L36)/7)=0,"-",IF(AND(F36="",G36="",H36=""),SUM(I36:L36)/4,SUM(F36:L36)/7))))</f>
        <v>-</v>
      </c>
      <c r="N36" s="168"/>
    </row>
    <row r="37" ht="15.75" customHeight="1">
      <c r="A37" s="134">
        <v>34.0</v>
      </c>
      <c r="B37" s="145" t="str">
        <f>IF(Preenchimento!B43="","-",Preenchimento!B43)</f>
        <v>-</v>
      </c>
      <c r="C37" s="180" t="str">
        <f>'Avaliações'!D37</f>
        <v/>
      </c>
      <c r="D37" s="181" t="str">
        <f>IF(Preenchimento!D43="","-",Preenchimento!D43)</f>
        <v>-</v>
      </c>
      <c r="E37" s="143" t="str">
        <f>IF(Preenchimento!E43="","",Preenchimento!E43)</f>
        <v/>
      </c>
      <c r="F37" s="182" t="str">
        <f t="shared" si="1"/>
        <v>-</v>
      </c>
      <c r="G37" s="183" t="str">
        <f t="shared" si="2"/>
        <v>-</v>
      </c>
      <c r="H37" s="184" t="str">
        <f t="shared" si="3"/>
        <v>-</v>
      </c>
      <c r="I37" s="182" t="str">
        <f t="shared" si="4"/>
        <v>-</v>
      </c>
      <c r="J37" s="183" t="str">
        <f t="shared" si="5"/>
        <v>-</v>
      </c>
      <c r="K37" s="183" t="str">
        <f t="shared" si="6"/>
        <v>-</v>
      </c>
      <c r="L37" s="184" t="str">
        <f t="shared" si="7"/>
        <v>-</v>
      </c>
      <c r="M37" s="185" t="str">
        <f>if(or('Avaliações'!D37="falta",'Avaliações'!D37=""),"-",if('Avaliações'!D37="presente", IF(IF(AND(F37="",G37="",H37=""),SUM(I37:L37)/4,SUM(F37:L37)/7)=0,"-",IF(AND(F37="",G37="",H37=""),SUM(I37:L37)/4,SUM(F37:L37)/7))))</f>
        <v>-</v>
      </c>
      <c r="N37" s="168"/>
    </row>
    <row r="38" ht="15.75" customHeight="1">
      <c r="A38" s="134">
        <v>35.0</v>
      </c>
      <c r="B38" s="139" t="str">
        <f>IF(Preenchimento!B44="","-",Preenchimento!B44)</f>
        <v>-</v>
      </c>
      <c r="C38" s="171" t="str">
        <f>'Avaliações'!D38</f>
        <v/>
      </c>
      <c r="D38" s="190" t="str">
        <f>IF(Preenchimento!D44="","-",Preenchimento!D44)</f>
        <v>-</v>
      </c>
      <c r="E38" s="138" t="str">
        <f>IF(Preenchimento!E44="","",Preenchimento!E44)</f>
        <v/>
      </c>
      <c r="F38" s="173" t="str">
        <f t="shared" si="1"/>
        <v>-</v>
      </c>
      <c r="G38" s="174" t="str">
        <f t="shared" si="2"/>
        <v>-</v>
      </c>
      <c r="H38" s="175" t="str">
        <f t="shared" si="3"/>
        <v>-</v>
      </c>
      <c r="I38" s="173" t="str">
        <f t="shared" si="4"/>
        <v>-</v>
      </c>
      <c r="J38" s="174" t="str">
        <f t="shared" si="5"/>
        <v>-</v>
      </c>
      <c r="K38" s="174" t="str">
        <f t="shared" si="6"/>
        <v>-</v>
      </c>
      <c r="L38" s="175" t="str">
        <f t="shared" si="7"/>
        <v>-</v>
      </c>
      <c r="M38" s="138" t="str">
        <f>if(or('Avaliações'!D38="falta",'Avaliações'!D38=""),"-",if('Avaliações'!D38="presente", IF(IF(AND(F38="",G38="",H38=""),SUM(I38:L38)/4,SUM(F38:L38)/7)=0,"-",IF(AND(F38="",G38="",H38=""),SUM(I38:L38)/4,SUM(F38:L38)/7))))</f>
        <v>-</v>
      </c>
      <c r="N38" s="168"/>
    </row>
    <row r="39" ht="15.75" customHeight="1">
      <c r="A39" s="134">
        <v>36.0</v>
      </c>
      <c r="B39" s="145" t="str">
        <f>IF(Preenchimento!B45="","-",Preenchimento!B45)</f>
        <v>-</v>
      </c>
      <c r="C39" s="180" t="str">
        <f>'Avaliações'!D39</f>
        <v/>
      </c>
      <c r="D39" s="181" t="str">
        <f>IF(Preenchimento!D45="","-",Preenchimento!D45)</f>
        <v>-</v>
      </c>
      <c r="E39" s="143" t="str">
        <f>IF(Preenchimento!E45="","",Preenchimento!E45)</f>
        <v/>
      </c>
      <c r="F39" s="182" t="str">
        <f t="shared" si="1"/>
        <v>-</v>
      </c>
      <c r="G39" s="183" t="str">
        <f t="shared" si="2"/>
        <v>-</v>
      </c>
      <c r="H39" s="184" t="str">
        <f t="shared" si="3"/>
        <v>-</v>
      </c>
      <c r="I39" s="182" t="str">
        <f t="shared" si="4"/>
        <v>-</v>
      </c>
      <c r="J39" s="183" t="str">
        <f t="shared" si="5"/>
        <v>-</v>
      </c>
      <c r="K39" s="183" t="str">
        <f t="shared" si="6"/>
        <v>-</v>
      </c>
      <c r="L39" s="184" t="str">
        <f t="shared" si="7"/>
        <v>-</v>
      </c>
      <c r="M39" s="185" t="str">
        <f>if(or('Avaliações'!D39="falta",'Avaliações'!D39=""),"-",if('Avaliações'!D39="presente", IF(IF(AND(F39="",G39="",H39=""),SUM(I39:L39)/4,SUM(F39:L39)/7)=0,"-",IF(AND(F39="",G39="",H39=""),SUM(I39:L39)/4,SUM(F39:L39)/7))))</f>
        <v>-</v>
      </c>
      <c r="N39" s="168"/>
    </row>
    <row r="40" ht="15.75" customHeight="1">
      <c r="A40" s="134">
        <v>37.0</v>
      </c>
      <c r="B40" s="139" t="str">
        <f>IF(Preenchimento!B46="","-",Preenchimento!B46)</f>
        <v>-</v>
      </c>
      <c r="C40" s="171" t="str">
        <f>'Avaliações'!D40</f>
        <v/>
      </c>
      <c r="D40" s="190" t="str">
        <f>IF(Preenchimento!D46="","-",Preenchimento!D46)</f>
        <v>-</v>
      </c>
      <c r="E40" s="138" t="str">
        <f>IF(Preenchimento!E46="","",Preenchimento!E46)</f>
        <v/>
      </c>
      <c r="F40" s="173" t="str">
        <f t="shared" si="1"/>
        <v>-</v>
      </c>
      <c r="G40" s="174" t="str">
        <f t="shared" si="2"/>
        <v>-</v>
      </c>
      <c r="H40" s="175" t="str">
        <f t="shared" si="3"/>
        <v>-</v>
      </c>
      <c r="I40" s="173" t="str">
        <f t="shared" si="4"/>
        <v>-</v>
      </c>
      <c r="J40" s="174" t="str">
        <f t="shared" si="5"/>
        <v>-</v>
      </c>
      <c r="K40" s="174" t="str">
        <f t="shared" si="6"/>
        <v>-</v>
      </c>
      <c r="L40" s="175" t="str">
        <f t="shared" si="7"/>
        <v>-</v>
      </c>
      <c r="M40" s="138" t="str">
        <f>if(or('Avaliações'!D40="falta",'Avaliações'!D40=""),"-",if('Avaliações'!D40="presente", IF(IF(AND(F40="",G40="",H40=""),SUM(I40:L40)/4,SUM(F40:L40)/7)=0,"-",IF(AND(F40="",G40="",H40=""),SUM(I40:L40)/4,SUM(F40:L40)/7))))</f>
        <v>-</v>
      </c>
      <c r="N40" s="168"/>
    </row>
    <row r="41" ht="15.75" customHeight="1">
      <c r="A41" s="134">
        <v>38.0</v>
      </c>
      <c r="B41" s="145" t="str">
        <f>IF(Preenchimento!B47="","-",Preenchimento!B47)</f>
        <v>-</v>
      </c>
      <c r="C41" s="180" t="str">
        <f>'Avaliações'!D41</f>
        <v/>
      </c>
      <c r="D41" s="181" t="str">
        <f>IF(Preenchimento!D47="","-",Preenchimento!D47)</f>
        <v>-</v>
      </c>
      <c r="E41" s="143" t="str">
        <f>IF(Preenchimento!E47="","",Preenchimento!E47)</f>
        <v/>
      </c>
      <c r="F41" s="182" t="str">
        <f t="shared" si="1"/>
        <v>-</v>
      </c>
      <c r="G41" s="183" t="str">
        <f t="shared" si="2"/>
        <v>-</v>
      </c>
      <c r="H41" s="184" t="str">
        <f t="shared" si="3"/>
        <v>-</v>
      </c>
      <c r="I41" s="182" t="str">
        <f t="shared" si="4"/>
        <v>-</v>
      </c>
      <c r="J41" s="183" t="str">
        <f t="shared" si="5"/>
        <v>-</v>
      </c>
      <c r="K41" s="183" t="str">
        <f t="shared" si="6"/>
        <v>-</v>
      </c>
      <c r="L41" s="184" t="str">
        <f t="shared" si="7"/>
        <v>-</v>
      </c>
      <c r="M41" s="185" t="str">
        <f>if(or('Avaliações'!D41="falta",'Avaliações'!D41=""),"-",if('Avaliações'!D41="presente", IF(IF(AND(F41="",G41="",H41=""),SUM(I41:L41)/4,SUM(F41:L41)/7)=0,"-",IF(AND(F41="",G41="",H41=""),SUM(I41:L41)/4,SUM(F41:L41)/7))))</f>
        <v>-</v>
      </c>
      <c r="N41" s="168"/>
    </row>
    <row r="42" ht="15.75" customHeight="1">
      <c r="A42" s="134">
        <v>39.0</v>
      </c>
      <c r="B42" s="139" t="str">
        <f>IF(Preenchimento!B48="","-",Preenchimento!B48)</f>
        <v>-</v>
      </c>
      <c r="C42" s="171" t="str">
        <f>'Avaliações'!D42</f>
        <v/>
      </c>
      <c r="D42" s="190" t="str">
        <f>IF(Preenchimento!D48="","-",Preenchimento!D48)</f>
        <v>-</v>
      </c>
      <c r="E42" s="138" t="str">
        <f>IF(Preenchimento!E48="","",Preenchimento!E48)</f>
        <v/>
      </c>
      <c r="F42" s="173" t="str">
        <f t="shared" si="1"/>
        <v>-</v>
      </c>
      <c r="G42" s="174" t="str">
        <f t="shared" si="2"/>
        <v>-</v>
      </c>
      <c r="H42" s="175" t="str">
        <f t="shared" si="3"/>
        <v>-</v>
      </c>
      <c r="I42" s="173" t="str">
        <f t="shared" si="4"/>
        <v>-</v>
      </c>
      <c r="J42" s="174" t="str">
        <f t="shared" si="5"/>
        <v>-</v>
      </c>
      <c r="K42" s="174" t="str">
        <f t="shared" si="6"/>
        <v>-</v>
      </c>
      <c r="L42" s="175" t="str">
        <f t="shared" si="7"/>
        <v>-</v>
      </c>
      <c r="M42" s="138" t="str">
        <f>if(or('Avaliações'!D42="falta",'Avaliações'!D42=""),"-",if('Avaliações'!D42="presente", IF(IF(AND(F42="",G42="",H42=""),SUM(I42:L42)/4,SUM(F42:L42)/7)=0,"-",IF(AND(F42="",G42="",H42=""),SUM(I42:L42)/4,SUM(F42:L42)/7))))</f>
        <v>-</v>
      </c>
      <c r="N42" s="168"/>
    </row>
    <row r="43" ht="15.75" customHeight="1">
      <c r="A43" s="134">
        <v>40.0</v>
      </c>
      <c r="B43" s="145" t="str">
        <f>IF(Preenchimento!B49="","-",Preenchimento!B49)</f>
        <v>-</v>
      </c>
      <c r="C43" s="180" t="str">
        <f>'Avaliações'!D43</f>
        <v/>
      </c>
      <c r="D43" s="181" t="str">
        <f>IF(Preenchimento!D49="","-",Preenchimento!D49)</f>
        <v>-</v>
      </c>
      <c r="E43" s="143" t="str">
        <f>IF(Preenchimento!E49="","",Preenchimento!E49)</f>
        <v/>
      </c>
      <c r="F43" s="186" t="str">
        <f t="shared" si="1"/>
        <v>-</v>
      </c>
      <c r="G43" s="187" t="str">
        <f t="shared" si="2"/>
        <v>-</v>
      </c>
      <c r="H43" s="188" t="str">
        <f t="shared" si="3"/>
        <v>-</v>
      </c>
      <c r="I43" s="186" t="str">
        <f t="shared" si="4"/>
        <v>-</v>
      </c>
      <c r="J43" s="187" t="str">
        <f t="shared" si="5"/>
        <v>-</v>
      </c>
      <c r="K43" s="187" t="str">
        <f t="shared" si="6"/>
        <v>-</v>
      </c>
      <c r="L43" s="188" t="str">
        <f t="shared" si="7"/>
        <v>-</v>
      </c>
      <c r="M43" s="185" t="str">
        <f>if(or('Avaliações'!D43="falta",'Avaliações'!D43=""),"-",if('Avaliações'!D43="presente", IF(IF(AND(F43="",G43="",H43=""),SUM(I43:L43)/4,SUM(F43:L43)/7)=0,"-",IF(AND(F43="",G43="",H43=""),SUM(I43:L43)/4,SUM(F43:L43)/7))))</f>
        <v>-</v>
      </c>
      <c r="N43" s="168"/>
    </row>
    <row r="44" ht="15.75" customHeight="1">
      <c r="A44" s="134">
        <v>41.0</v>
      </c>
      <c r="B44" s="139" t="str">
        <f>IF(Preenchimento!B50="","-",Preenchimento!B50)</f>
        <v>-</v>
      </c>
      <c r="C44" s="171" t="str">
        <f>'Avaliações'!D44</f>
        <v/>
      </c>
      <c r="D44" s="190" t="str">
        <f>IF(Preenchimento!D50="","-",Preenchimento!D50)</f>
        <v>-</v>
      </c>
      <c r="E44" s="138" t="str">
        <f>IF(Preenchimento!E50="","",Preenchimento!E50)</f>
        <v/>
      </c>
      <c r="F44" s="173" t="str">
        <f t="shared" si="1"/>
        <v>-</v>
      </c>
      <c r="G44" s="174" t="str">
        <f t="shared" si="2"/>
        <v>-</v>
      </c>
      <c r="H44" s="175" t="str">
        <f t="shared" si="3"/>
        <v>-</v>
      </c>
      <c r="I44" s="173" t="str">
        <f t="shared" si="4"/>
        <v>-</v>
      </c>
      <c r="J44" s="174" t="str">
        <f t="shared" si="5"/>
        <v>-</v>
      </c>
      <c r="K44" s="174" t="str">
        <f t="shared" si="6"/>
        <v>-</v>
      </c>
      <c r="L44" s="175" t="str">
        <f t="shared" si="7"/>
        <v>-</v>
      </c>
      <c r="M44" s="138" t="str">
        <f>if(or('Avaliações'!D44="falta",'Avaliações'!D44=""),"-",if('Avaliações'!D44="presente", IF(IF(AND(F44="",G44="",H44=""),SUM(I44:L44)/4,SUM(F44:L44)/7)=0,"-",IF(AND(F44="",G44="",H44=""),SUM(I44:L44)/4,SUM(F44:L44)/7))))</f>
        <v>-</v>
      </c>
      <c r="N44" s="168"/>
    </row>
    <row r="45" ht="15.75" customHeight="1">
      <c r="A45" s="134">
        <v>42.0</v>
      </c>
      <c r="B45" s="145" t="str">
        <f>IF(Preenchimento!B51="","-",Preenchimento!B51)</f>
        <v>-</v>
      </c>
      <c r="C45" s="180" t="str">
        <f>'Avaliações'!D45</f>
        <v/>
      </c>
      <c r="D45" s="181" t="str">
        <f>IF(Preenchimento!D51="","-",Preenchimento!D51)</f>
        <v>-</v>
      </c>
      <c r="E45" s="143" t="str">
        <f>IF(Preenchimento!E51="","",Preenchimento!E51)</f>
        <v/>
      </c>
      <c r="F45" s="186" t="str">
        <f t="shared" si="1"/>
        <v>-</v>
      </c>
      <c r="G45" s="187" t="str">
        <f t="shared" si="2"/>
        <v>-</v>
      </c>
      <c r="H45" s="188" t="str">
        <f t="shared" si="3"/>
        <v>-</v>
      </c>
      <c r="I45" s="186" t="str">
        <f t="shared" si="4"/>
        <v>-</v>
      </c>
      <c r="J45" s="187" t="str">
        <f t="shared" si="5"/>
        <v>-</v>
      </c>
      <c r="K45" s="187" t="str">
        <f t="shared" si="6"/>
        <v>-</v>
      </c>
      <c r="L45" s="188" t="str">
        <f t="shared" si="7"/>
        <v>-</v>
      </c>
      <c r="M45" s="185" t="str">
        <f>if(or('Avaliações'!D45="falta",'Avaliações'!D45=""),"-",if('Avaliações'!D45="presente", IF(IF(AND(F45="",G45="",H45=""),SUM(I45:L45)/4,SUM(F45:L45)/7)=0,"-",IF(AND(F45="",G45="",H45=""),SUM(I45:L45)/4,SUM(F45:L45)/7))))</f>
        <v>-</v>
      </c>
      <c r="N45" s="168"/>
    </row>
    <row r="46" ht="15.75" customHeight="1">
      <c r="A46" s="134">
        <v>43.0</v>
      </c>
      <c r="B46" s="139" t="str">
        <f>IF(Preenchimento!B52="","-",Preenchimento!B52)</f>
        <v>-</v>
      </c>
      <c r="C46" s="171" t="str">
        <f>'Avaliações'!D46</f>
        <v/>
      </c>
      <c r="D46" s="190" t="str">
        <f>IF(Preenchimento!D52="","-",Preenchimento!D52)</f>
        <v>-</v>
      </c>
      <c r="E46" s="138" t="str">
        <f>IF(Preenchimento!E52="","",Preenchimento!E52)</f>
        <v/>
      </c>
      <c r="F46" s="173" t="str">
        <f t="shared" si="1"/>
        <v>-</v>
      </c>
      <c r="G46" s="174" t="str">
        <f t="shared" si="2"/>
        <v>-</v>
      </c>
      <c r="H46" s="175" t="str">
        <f t="shared" si="3"/>
        <v>-</v>
      </c>
      <c r="I46" s="173" t="str">
        <f t="shared" si="4"/>
        <v>-</v>
      </c>
      <c r="J46" s="174" t="str">
        <f t="shared" si="5"/>
        <v>-</v>
      </c>
      <c r="K46" s="174" t="str">
        <f t="shared" si="6"/>
        <v>-</v>
      </c>
      <c r="L46" s="175" t="str">
        <f t="shared" si="7"/>
        <v>-</v>
      </c>
      <c r="M46" s="138" t="str">
        <f>if(or('Avaliações'!D46="falta",'Avaliações'!D46=""),"-",if('Avaliações'!D46="presente", IF(IF(AND(F46="",G46="",H46=""),SUM(I46:L46)/4,SUM(F46:L46)/7)=0,"-",IF(AND(F46="",G46="",H46=""),SUM(I46:L46)/4,SUM(F46:L46)/7))))</f>
        <v>-</v>
      </c>
      <c r="N46" s="168"/>
    </row>
    <row r="47" ht="15.75" customHeight="1">
      <c r="A47" s="134">
        <v>44.0</v>
      </c>
      <c r="B47" s="145" t="str">
        <f>IF(Preenchimento!B53="","-",Preenchimento!B53)</f>
        <v>-</v>
      </c>
      <c r="C47" s="180" t="str">
        <f>'Avaliações'!D47</f>
        <v/>
      </c>
      <c r="D47" s="181" t="str">
        <f>IF(Preenchimento!D53="","-",Preenchimento!D53)</f>
        <v>-</v>
      </c>
      <c r="E47" s="143" t="str">
        <f>IF(Preenchimento!E53="","",Preenchimento!E53)</f>
        <v/>
      </c>
      <c r="F47" s="186" t="str">
        <f t="shared" si="1"/>
        <v>-</v>
      </c>
      <c r="G47" s="187" t="str">
        <f t="shared" si="2"/>
        <v>-</v>
      </c>
      <c r="H47" s="188" t="str">
        <f t="shared" si="3"/>
        <v>-</v>
      </c>
      <c r="I47" s="186" t="str">
        <f t="shared" si="4"/>
        <v>-</v>
      </c>
      <c r="J47" s="187" t="str">
        <f t="shared" si="5"/>
        <v>-</v>
      </c>
      <c r="K47" s="187" t="str">
        <f t="shared" si="6"/>
        <v>-</v>
      </c>
      <c r="L47" s="188" t="str">
        <f t="shared" si="7"/>
        <v>-</v>
      </c>
      <c r="M47" s="185" t="str">
        <f>if(or('Avaliações'!D47="falta",'Avaliações'!D47=""),"-",if('Avaliações'!D47="presente", IF(IF(AND(F47="",G47="",H47=""),SUM(I47:L47)/4,SUM(F47:L47)/7)=0,"-",IF(AND(F47="",G47="",H47=""),SUM(I47:L47)/4,SUM(F47:L47)/7))))</f>
        <v>-</v>
      </c>
      <c r="N47" s="168"/>
    </row>
    <row r="48" ht="15.75" customHeight="1">
      <c r="A48" s="134">
        <v>45.0</v>
      </c>
      <c r="B48" s="139" t="str">
        <f>IF(Preenchimento!B54="","-",Preenchimento!B54)</f>
        <v>-</v>
      </c>
      <c r="C48" s="171" t="str">
        <f>'Avaliações'!D48</f>
        <v/>
      </c>
      <c r="D48" s="190" t="str">
        <f>IF(Preenchimento!D54="","-",Preenchimento!D54)</f>
        <v>-</v>
      </c>
      <c r="E48" s="138" t="str">
        <f>IF(Preenchimento!E54="","",Preenchimento!E54)</f>
        <v/>
      </c>
      <c r="F48" s="173" t="str">
        <f t="shared" si="1"/>
        <v>-</v>
      </c>
      <c r="G48" s="174" t="str">
        <f t="shared" si="2"/>
        <v>-</v>
      </c>
      <c r="H48" s="175" t="str">
        <f t="shared" si="3"/>
        <v>-</v>
      </c>
      <c r="I48" s="173" t="str">
        <f t="shared" si="4"/>
        <v>-</v>
      </c>
      <c r="J48" s="174" t="str">
        <f t="shared" si="5"/>
        <v>-</v>
      </c>
      <c r="K48" s="174" t="str">
        <f t="shared" si="6"/>
        <v>-</v>
      </c>
      <c r="L48" s="175" t="str">
        <f t="shared" si="7"/>
        <v>-</v>
      </c>
      <c r="M48" s="138" t="str">
        <f>if(or('Avaliações'!D48="falta",'Avaliações'!D48=""),"-",if('Avaliações'!D48="presente", IF(IF(AND(F48="",G48="",H48=""),SUM(I48:L48)/4,SUM(F48:L48)/7)=0,"-",IF(AND(F48="",G48="",H48=""),SUM(I48:L48)/4,SUM(F48:L48)/7))))</f>
        <v>-</v>
      </c>
      <c r="N48" s="168"/>
    </row>
    <row r="49" ht="15.75" customHeight="1">
      <c r="A49" s="134">
        <v>46.0</v>
      </c>
      <c r="B49" s="145" t="str">
        <f>IF(Preenchimento!B55="","-",Preenchimento!B55)</f>
        <v>-</v>
      </c>
      <c r="C49" s="180" t="str">
        <f>'Avaliações'!D49</f>
        <v/>
      </c>
      <c r="D49" s="181" t="str">
        <f>IF(Preenchimento!D55="","-",Preenchimento!D55)</f>
        <v>-</v>
      </c>
      <c r="E49" s="143" t="str">
        <f>IF(Preenchimento!E55="","",Preenchimento!E55)</f>
        <v/>
      </c>
      <c r="F49" s="186" t="str">
        <f t="shared" si="1"/>
        <v>-</v>
      </c>
      <c r="G49" s="187" t="str">
        <f t="shared" si="2"/>
        <v>-</v>
      </c>
      <c r="H49" s="188" t="str">
        <f t="shared" si="3"/>
        <v>-</v>
      </c>
      <c r="I49" s="186" t="str">
        <f t="shared" si="4"/>
        <v>-</v>
      </c>
      <c r="J49" s="187" t="str">
        <f t="shared" si="5"/>
        <v>-</v>
      </c>
      <c r="K49" s="187" t="str">
        <f t="shared" si="6"/>
        <v>-</v>
      </c>
      <c r="L49" s="188" t="str">
        <f t="shared" si="7"/>
        <v>-</v>
      </c>
      <c r="M49" s="185" t="str">
        <f>if(or('Avaliações'!D49="falta",'Avaliações'!D49=""),"-",if('Avaliações'!D49="presente", IF(IF(AND(F49="",G49="",H49=""),SUM(I49:L49)/4,SUM(F49:L49)/7)=0,"-",IF(AND(F49="",G49="",H49=""),SUM(I49:L49)/4,SUM(F49:L49)/7))))</f>
        <v>-</v>
      </c>
      <c r="N49" s="168"/>
    </row>
    <row r="50" ht="15.75" customHeight="1">
      <c r="A50" s="134">
        <v>47.0</v>
      </c>
      <c r="B50" s="139" t="str">
        <f>IF(Preenchimento!B56="","-",Preenchimento!B56)</f>
        <v>-</v>
      </c>
      <c r="C50" s="171" t="str">
        <f>'Avaliações'!D50</f>
        <v/>
      </c>
      <c r="D50" s="190" t="str">
        <f>IF(Preenchimento!D56="","-",Preenchimento!D56)</f>
        <v>-</v>
      </c>
      <c r="E50" s="138" t="str">
        <f>IF(Preenchimento!E56="","",Preenchimento!E56)</f>
        <v/>
      </c>
      <c r="F50" s="173" t="str">
        <f t="shared" si="1"/>
        <v>-</v>
      </c>
      <c r="G50" s="174" t="str">
        <f t="shared" si="2"/>
        <v>-</v>
      </c>
      <c r="H50" s="175" t="str">
        <f t="shared" si="3"/>
        <v>-</v>
      </c>
      <c r="I50" s="173" t="str">
        <f t="shared" si="4"/>
        <v>-</v>
      </c>
      <c r="J50" s="174" t="str">
        <f t="shared" si="5"/>
        <v>-</v>
      </c>
      <c r="K50" s="174" t="str">
        <f t="shared" si="6"/>
        <v>-</v>
      </c>
      <c r="L50" s="175" t="str">
        <f t="shared" si="7"/>
        <v>-</v>
      </c>
      <c r="M50" s="138" t="str">
        <f>if(or('Avaliações'!D50="falta",'Avaliações'!D50=""),"-",if('Avaliações'!D50="presente", IF(IF(AND(F50="",G50="",H50=""),SUM(I50:L50)/4,SUM(F50:L50)/7)=0,"-",IF(AND(F50="",G50="",H50=""),SUM(I50:L50)/4,SUM(F50:L50)/7))))</f>
        <v>-</v>
      </c>
      <c r="N50" s="168"/>
    </row>
    <row r="51" ht="15.75" customHeight="1">
      <c r="A51" s="134">
        <v>48.0</v>
      </c>
      <c r="B51" s="145" t="str">
        <f>IF(Preenchimento!B57="","-",Preenchimento!B57)</f>
        <v>-</v>
      </c>
      <c r="C51" s="180" t="str">
        <f>'Avaliações'!D51</f>
        <v/>
      </c>
      <c r="D51" s="181" t="str">
        <f>IF(Preenchimento!D57="","-",Preenchimento!D57)</f>
        <v>-</v>
      </c>
      <c r="E51" s="143" t="str">
        <f>IF(Preenchimento!E57="","",Preenchimento!E57)</f>
        <v/>
      </c>
      <c r="F51" s="186" t="str">
        <f t="shared" si="1"/>
        <v>-</v>
      </c>
      <c r="G51" s="187" t="str">
        <f t="shared" si="2"/>
        <v>-</v>
      </c>
      <c r="H51" s="188" t="str">
        <f t="shared" si="3"/>
        <v>-</v>
      </c>
      <c r="I51" s="186" t="str">
        <f t="shared" si="4"/>
        <v>-</v>
      </c>
      <c r="J51" s="187" t="str">
        <f t="shared" si="5"/>
        <v>-</v>
      </c>
      <c r="K51" s="187" t="str">
        <f t="shared" si="6"/>
        <v>-</v>
      </c>
      <c r="L51" s="188" t="str">
        <f t="shared" si="7"/>
        <v>-</v>
      </c>
      <c r="M51" s="185" t="str">
        <f>if(or('Avaliações'!D51="falta",'Avaliações'!D51=""),"-",if('Avaliações'!D51="presente", IF(IF(AND(F51="",G51="",H51=""),SUM(I51:L51)/4,SUM(F51:L51)/7)=0,"-",IF(AND(F51="",G51="",H51=""),SUM(I51:L51)/4,SUM(F51:L51)/7))))</f>
        <v>-</v>
      </c>
      <c r="N51" s="168"/>
    </row>
    <row r="52" ht="15.75" customHeight="1">
      <c r="A52" s="134">
        <v>49.0</v>
      </c>
      <c r="B52" s="139" t="str">
        <f>IF(Preenchimento!B58="","-",Preenchimento!B58)</f>
        <v>-</v>
      </c>
      <c r="C52" s="171" t="str">
        <f>'Avaliações'!D52</f>
        <v/>
      </c>
      <c r="D52" s="190" t="str">
        <f>IF(Preenchimento!D58="","-",Preenchimento!D58)</f>
        <v>-</v>
      </c>
      <c r="E52" s="138" t="str">
        <f>IF(Preenchimento!E58="","",Preenchimento!E58)</f>
        <v/>
      </c>
      <c r="F52" s="173" t="str">
        <f t="shared" si="1"/>
        <v>-</v>
      </c>
      <c r="G52" s="174" t="str">
        <f t="shared" si="2"/>
        <v>-</v>
      </c>
      <c r="H52" s="175" t="str">
        <f t="shared" si="3"/>
        <v>-</v>
      </c>
      <c r="I52" s="173" t="str">
        <f t="shared" si="4"/>
        <v>-</v>
      </c>
      <c r="J52" s="174" t="str">
        <f t="shared" si="5"/>
        <v>-</v>
      </c>
      <c r="K52" s="174" t="str">
        <f t="shared" si="6"/>
        <v>-</v>
      </c>
      <c r="L52" s="175" t="str">
        <f t="shared" si="7"/>
        <v>-</v>
      </c>
      <c r="M52" s="138" t="str">
        <f>if(or('Avaliações'!D52="falta",'Avaliações'!D52=""),"-",if('Avaliações'!D52="presente", IF(IF(AND(F52="",G52="",H52=""),SUM(I52:L52)/4,SUM(F52:L52)/7)=0,"-",IF(AND(F52="",G52="",H52=""),SUM(I52:L52)/4,SUM(F52:L52)/7))))</f>
        <v>-</v>
      </c>
      <c r="N52" s="168"/>
    </row>
    <row r="53" ht="15.75" customHeight="1">
      <c r="A53" s="134">
        <v>50.0</v>
      </c>
      <c r="B53" s="151" t="str">
        <f>IF(Preenchimento!B59="","-",Preenchimento!B59)</f>
        <v>-</v>
      </c>
      <c r="C53" s="180" t="str">
        <f>'Avaliações'!D53</f>
        <v/>
      </c>
      <c r="D53" s="196" t="str">
        <f>IF(Preenchimento!D59="","-",Preenchimento!D59)</f>
        <v>-</v>
      </c>
      <c r="E53" s="150" t="str">
        <f>IF(Preenchimento!E59="","",Preenchimento!E59)</f>
        <v/>
      </c>
      <c r="F53" s="192" t="str">
        <f t="shared" si="1"/>
        <v>-</v>
      </c>
      <c r="G53" s="193" t="str">
        <f t="shared" si="2"/>
        <v>-</v>
      </c>
      <c r="H53" s="194" t="str">
        <f t="shared" si="3"/>
        <v>-</v>
      </c>
      <c r="I53" s="192" t="str">
        <f t="shared" si="4"/>
        <v>-</v>
      </c>
      <c r="J53" s="193" t="str">
        <f t="shared" si="5"/>
        <v>-</v>
      </c>
      <c r="K53" s="193" t="str">
        <f t="shared" si="6"/>
        <v>-</v>
      </c>
      <c r="L53" s="194" t="str">
        <f t="shared" si="7"/>
        <v>-</v>
      </c>
      <c r="M53" s="185" t="str">
        <f>if(or('Avaliações'!D53="falta",'Avaliações'!D53=""),"-",if('Avaliações'!D53="presente", IF(IF(AND(F53="",G53="",H53=""),SUM(I53:L53)/4,SUM(F53:L53)/7)=0,"-",IF(AND(F53="",G53="",H53=""),SUM(I53:L53)/4,SUM(F53:L53)/7))))</f>
        <v>-</v>
      </c>
      <c r="N53" s="168"/>
    </row>
    <row r="54" ht="15.75" customHeight="1">
      <c r="A54" s="134">
        <v>51.0</v>
      </c>
      <c r="B54" s="154" t="str">
        <f>IF(Preenchimento!B60="","-",Preenchimento!B60)</f>
        <v>-</v>
      </c>
      <c r="C54" s="171" t="str">
        <f>'Avaliações'!D54</f>
        <v/>
      </c>
      <c r="D54" s="172" t="str">
        <f>IF(Preenchimento!D60="","-",Preenchimento!D60)</f>
        <v>-</v>
      </c>
      <c r="E54" s="138" t="str">
        <f>IF(Preenchimento!E60="","",Preenchimento!E60)</f>
        <v/>
      </c>
      <c r="F54" s="173" t="str">
        <f t="shared" si="1"/>
        <v>-</v>
      </c>
      <c r="G54" s="174" t="str">
        <f t="shared" si="2"/>
        <v>-</v>
      </c>
      <c r="H54" s="175" t="str">
        <f t="shared" si="3"/>
        <v>-</v>
      </c>
      <c r="I54" s="173" t="str">
        <f t="shared" si="4"/>
        <v>-</v>
      </c>
      <c r="J54" s="174" t="str">
        <f t="shared" si="5"/>
        <v>-</v>
      </c>
      <c r="K54" s="174" t="str">
        <f t="shared" si="6"/>
        <v>-</v>
      </c>
      <c r="L54" s="175" t="str">
        <f t="shared" si="7"/>
        <v>-</v>
      </c>
      <c r="M54" s="138" t="str">
        <f>IF(OR('Avaliações'!D54="falta",'Avaliações'!D54=""),"-",IF('Avaliações'!D54="presente", IF(IF(AND(F54="",G54="",H54=""),SUM(I54:L54)/4,SUM(F54:L54)/7)=0,"-",IF(AND(F54="",G54="",H54=""),SUM(I54:L54)/4,SUM(F54:L54)/7))))</f>
        <v>-</v>
      </c>
    </row>
    <row r="55" ht="15.75" customHeight="1">
      <c r="A55" s="134">
        <v>52.0</v>
      </c>
      <c r="B55" s="145" t="str">
        <f>IF(Preenchimento!B61="","-",Preenchimento!B61)</f>
        <v>-</v>
      </c>
      <c r="C55" s="180" t="str">
        <f>'Avaliações'!D55</f>
        <v/>
      </c>
      <c r="D55" s="181" t="str">
        <f>IF(Preenchimento!D61="","-",Preenchimento!D61)</f>
        <v>-</v>
      </c>
      <c r="E55" s="143" t="str">
        <f>IF(Preenchimento!E61="","",Preenchimento!E61)</f>
        <v/>
      </c>
      <c r="F55" s="182" t="str">
        <f t="shared" si="1"/>
        <v>-</v>
      </c>
      <c r="G55" s="183" t="str">
        <f t="shared" si="2"/>
        <v>-</v>
      </c>
      <c r="H55" s="184" t="str">
        <f t="shared" si="3"/>
        <v>-</v>
      </c>
      <c r="I55" s="182" t="str">
        <f t="shared" si="4"/>
        <v>-</v>
      </c>
      <c r="J55" s="183" t="str">
        <f t="shared" si="5"/>
        <v>-</v>
      </c>
      <c r="K55" s="183" t="str">
        <f t="shared" si="6"/>
        <v>-</v>
      </c>
      <c r="L55" s="184" t="str">
        <f t="shared" si="7"/>
        <v>-</v>
      </c>
      <c r="M55" s="185" t="str">
        <f>IF(OR('Avaliações'!D55="falta",'Avaliações'!D55=""),"-",IF('Avaliações'!D55="presente", IF(IF(AND(F55="",G55="",H55=""),SUM(I55:L55)/4,SUM(F55:L55)/7)=0,"-",IF(AND(F55="",G55="",H55=""),SUM(I55:L55)/4,SUM(F55:L55)/7))))</f>
        <v>-</v>
      </c>
    </row>
    <row r="56" ht="15.75" customHeight="1">
      <c r="A56" s="134">
        <v>53.0</v>
      </c>
      <c r="B56" s="139" t="str">
        <f>IF(Preenchimento!B62="","-",Preenchimento!B62)</f>
        <v>-</v>
      </c>
      <c r="C56" s="171" t="str">
        <f>'Avaliações'!D56</f>
        <v/>
      </c>
      <c r="D56" s="190" t="str">
        <f>IF(Preenchimento!D62="","-",Preenchimento!D62)</f>
        <v>-</v>
      </c>
      <c r="E56" s="138" t="str">
        <f>IF(Preenchimento!E62="","",Preenchimento!E62)</f>
        <v/>
      </c>
      <c r="F56" s="173" t="str">
        <f t="shared" si="1"/>
        <v>-</v>
      </c>
      <c r="G56" s="174" t="str">
        <f t="shared" si="2"/>
        <v>-</v>
      </c>
      <c r="H56" s="175" t="str">
        <f t="shared" si="3"/>
        <v>-</v>
      </c>
      <c r="I56" s="173" t="str">
        <f t="shared" si="4"/>
        <v>-</v>
      </c>
      <c r="J56" s="174" t="str">
        <f t="shared" si="5"/>
        <v>-</v>
      </c>
      <c r="K56" s="174" t="str">
        <f t="shared" si="6"/>
        <v>-</v>
      </c>
      <c r="L56" s="175" t="str">
        <f t="shared" si="7"/>
        <v>-</v>
      </c>
      <c r="M56" s="138" t="str">
        <f>IF(OR('Avaliações'!D56="falta",'Avaliações'!D56=""),"-",IF('Avaliações'!D56="presente", IF(IF(AND(F56="",G56="",H56=""),SUM(I56:L56)/4,SUM(F56:L56)/7)=0,"-",IF(AND(F56="",G56="",H56=""),SUM(I56:L56)/4,SUM(F56:L56)/7))))</f>
        <v>-</v>
      </c>
    </row>
    <row r="57" ht="15.75" customHeight="1">
      <c r="A57" s="134">
        <v>54.0</v>
      </c>
      <c r="B57" s="145" t="str">
        <f>IF(Preenchimento!B63="","-",Preenchimento!B63)</f>
        <v>-</v>
      </c>
      <c r="C57" s="180" t="str">
        <f>'Avaliações'!D57</f>
        <v/>
      </c>
      <c r="D57" s="181" t="str">
        <f>IF(Preenchimento!D63="","-",Preenchimento!D63)</f>
        <v>-</v>
      </c>
      <c r="E57" s="143" t="str">
        <f>IF(Preenchimento!E63="","",Preenchimento!E63)</f>
        <v/>
      </c>
      <c r="F57" s="182" t="str">
        <f t="shared" si="1"/>
        <v>-</v>
      </c>
      <c r="G57" s="183" t="str">
        <f t="shared" si="2"/>
        <v>-</v>
      </c>
      <c r="H57" s="184" t="str">
        <f t="shared" si="3"/>
        <v>-</v>
      </c>
      <c r="I57" s="182" t="str">
        <f t="shared" si="4"/>
        <v>-</v>
      </c>
      <c r="J57" s="183" t="str">
        <f t="shared" si="5"/>
        <v>-</v>
      </c>
      <c r="K57" s="183" t="str">
        <f t="shared" si="6"/>
        <v>-</v>
      </c>
      <c r="L57" s="184" t="str">
        <f t="shared" si="7"/>
        <v>-</v>
      </c>
      <c r="M57" s="185" t="str">
        <f>IF(OR('Avaliações'!D57="falta",'Avaliações'!D57=""),"-",IF('Avaliações'!D57="presente", IF(IF(AND(F57="",G57="",H57=""),SUM(I57:L57)/4,SUM(F57:L57)/7)=0,"-",IF(AND(F57="",G57="",H57=""),SUM(I57:L57)/4,SUM(F57:L57)/7))))</f>
        <v>-</v>
      </c>
    </row>
    <row r="58" ht="15.75" customHeight="1">
      <c r="A58" s="134">
        <v>55.0</v>
      </c>
      <c r="B58" s="139" t="str">
        <f>IF(Preenchimento!B64="","-",Preenchimento!B64)</f>
        <v>-</v>
      </c>
      <c r="C58" s="171" t="str">
        <f>'Avaliações'!D58</f>
        <v/>
      </c>
      <c r="D58" s="190" t="str">
        <f>IF(Preenchimento!D64="","-",Preenchimento!D64)</f>
        <v>-</v>
      </c>
      <c r="E58" s="138" t="str">
        <f>IF(Preenchimento!E64="","",Preenchimento!E64)</f>
        <v/>
      </c>
      <c r="F58" s="173" t="str">
        <f t="shared" si="1"/>
        <v>-</v>
      </c>
      <c r="G58" s="174" t="str">
        <f t="shared" si="2"/>
        <v>-</v>
      </c>
      <c r="H58" s="175" t="str">
        <f t="shared" si="3"/>
        <v>-</v>
      </c>
      <c r="I58" s="173" t="str">
        <f t="shared" si="4"/>
        <v>-</v>
      </c>
      <c r="J58" s="174" t="str">
        <f t="shared" si="5"/>
        <v>-</v>
      </c>
      <c r="K58" s="174" t="str">
        <f t="shared" si="6"/>
        <v>-</v>
      </c>
      <c r="L58" s="175" t="str">
        <f t="shared" si="7"/>
        <v>-</v>
      </c>
      <c r="M58" s="138" t="str">
        <f>IF(OR('Avaliações'!D58="falta",'Avaliações'!D58=""),"-",IF('Avaliações'!D58="presente", IF(IF(AND(F58="",G58="",H58=""),SUM(I58:L58)/4,SUM(F58:L58)/7)=0,"-",IF(AND(F58="",G58="",H58=""),SUM(I58:L58)/4,SUM(F58:L58)/7))))</f>
        <v>-</v>
      </c>
    </row>
    <row r="59" ht="15.75" customHeight="1">
      <c r="A59" s="134">
        <v>56.0</v>
      </c>
      <c r="B59" s="145" t="str">
        <f>IF(Preenchimento!B65="","-",Preenchimento!B65)</f>
        <v>-</v>
      </c>
      <c r="C59" s="180" t="str">
        <f>'Avaliações'!D59</f>
        <v/>
      </c>
      <c r="D59" s="181" t="str">
        <f>IF(Preenchimento!D65="","-",Preenchimento!D65)</f>
        <v>-</v>
      </c>
      <c r="E59" s="143" t="str">
        <f>IF(Preenchimento!E65="","",Preenchimento!E65)</f>
        <v/>
      </c>
      <c r="F59" s="182" t="str">
        <f t="shared" si="1"/>
        <v>-</v>
      </c>
      <c r="G59" s="183" t="str">
        <f t="shared" si="2"/>
        <v>-</v>
      </c>
      <c r="H59" s="184" t="str">
        <f t="shared" si="3"/>
        <v>-</v>
      </c>
      <c r="I59" s="182" t="str">
        <f t="shared" si="4"/>
        <v>-</v>
      </c>
      <c r="J59" s="183" t="str">
        <f t="shared" si="5"/>
        <v>-</v>
      </c>
      <c r="K59" s="183" t="str">
        <f t="shared" si="6"/>
        <v>-</v>
      </c>
      <c r="L59" s="184" t="str">
        <f t="shared" si="7"/>
        <v>-</v>
      </c>
      <c r="M59" s="185" t="str">
        <f>IF(OR('Avaliações'!D59="falta",'Avaliações'!D59=""),"-",IF('Avaliações'!D59="presente", IF(IF(AND(F59="",G59="",H59=""),SUM(I59:L59)/4,SUM(F59:L59)/7)=0,"-",IF(AND(F59="",G59="",H59=""),SUM(I59:L59)/4,SUM(F59:L59)/7))))</f>
        <v>-</v>
      </c>
    </row>
    <row r="60" ht="15.75" customHeight="1">
      <c r="A60" s="134">
        <v>57.0</v>
      </c>
      <c r="B60" s="139" t="str">
        <f>IF(Preenchimento!B66="","-",Preenchimento!B66)</f>
        <v>-</v>
      </c>
      <c r="C60" s="171" t="str">
        <f>'Avaliações'!D60</f>
        <v/>
      </c>
      <c r="D60" s="190" t="str">
        <f>IF(Preenchimento!D66="","-",Preenchimento!D66)</f>
        <v>-</v>
      </c>
      <c r="E60" s="138" t="str">
        <f>IF(Preenchimento!E66="","",Preenchimento!E66)</f>
        <v/>
      </c>
      <c r="F60" s="173" t="str">
        <f t="shared" si="1"/>
        <v>-</v>
      </c>
      <c r="G60" s="174" t="str">
        <f t="shared" si="2"/>
        <v>-</v>
      </c>
      <c r="H60" s="175" t="str">
        <f t="shared" si="3"/>
        <v>-</v>
      </c>
      <c r="I60" s="173" t="str">
        <f t="shared" si="4"/>
        <v>-</v>
      </c>
      <c r="J60" s="174" t="str">
        <f t="shared" si="5"/>
        <v>-</v>
      </c>
      <c r="K60" s="174" t="str">
        <f t="shared" si="6"/>
        <v>-</v>
      </c>
      <c r="L60" s="175" t="str">
        <f t="shared" si="7"/>
        <v>-</v>
      </c>
      <c r="M60" s="138" t="str">
        <f>IF(OR('Avaliações'!D60="falta",'Avaliações'!D60=""),"-",IF('Avaliações'!D60="presente", IF(IF(AND(F60="",G60="",H60=""),SUM(I60:L60)/4,SUM(F60:L60)/7)=0,"-",IF(AND(F60="",G60="",H60=""),SUM(I60:L60)/4,SUM(F60:L60)/7))))</f>
        <v>-</v>
      </c>
    </row>
    <row r="61" ht="15.75" customHeight="1">
      <c r="A61" s="134">
        <v>58.0</v>
      </c>
      <c r="B61" s="145" t="str">
        <f>IF(Preenchimento!B67="","-",Preenchimento!B67)</f>
        <v>-</v>
      </c>
      <c r="C61" s="180" t="str">
        <f>'Avaliações'!D61</f>
        <v/>
      </c>
      <c r="D61" s="181" t="str">
        <f>IF(Preenchimento!D67="","-",Preenchimento!D67)</f>
        <v>-</v>
      </c>
      <c r="E61" s="143" t="str">
        <f>IF(Preenchimento!E67="","",Preenchimento!E67)</f>
        <v/>
      </c>
      <c r="F61" s="182" t="str">
        <f t="shared" si="1"/>
        <v>-</v>
      </c>
      <c r="G61" s="183" t="str">
        <f t="shared" si="2"/>
        <v>-</v>
      </c>
      <c r="H61" s="184" t="str">
        <f t="shared" si="3"/>
        <v>-</v>
      </c>
      <c r="I61" s="182" t="str">
        <f t="shared" si="4"/>
        <v>-</v>
      </c>
      <c r="J61" s="183" t="str">
        <f t="shared" si="5"/>
        <v>-</v>
      </c>
      <c r="K61" s="183" t="str">
        <f t="shared" si="6"/>
        <v>-</v>
      </c>
      <c r="L61" s="184" t="str">
        <f t="shared" si="7"/>
        <v>-</v>
      </c>
      <c r="M61" s="185" t="str">
        <f>IF(OR('Avaliações'!D61="falta",'Avaliações'!D61=""),"-",IF('Avaliações'!D61="presente", IF(IF(AND(F61="",G61="",H61=""),SUM(I61:L61)/4,SUM(F61:L61)/7)=0,"-",IF(AND(F61="",G61="",H61=""),SUM(I61:L61)/4,SUM(F61:L61)/7))))</f>
        <v>-</v>
      </c>
    </row>
    <row r="62" ht="15.75" customHeight="1">
      <c r="A62" s="134">
        <v>59.0</v>
      </c>
      <c r="B62" s="139" t="str">
        <f>IF(Preenchimento!B68="","-",Preenchimento!B68)</f>
        <v>-</v>
      </c>
      <c r="C62" s="171" t="str">
        <f>'Avaliações'!D62</f>
        <v/>
      </c>
      <c r="D62" s="190" t="str">
        <f>IF(Preenchimento!D68="","-",Preenchimento!D68)</f>
        <v>-</v>
      </c>
      <c r="E62" s="138" t="str">
        <f>IF(Preenchimento!E68="","",Preenchimento!E68)</f>
        <v/>
      </c>
      <c r="F62" s="173" t="str">
        <f t="shared" si="1"/>
        <v>-</v>
      </c>
      <c r="G62" s="174" t="str">
        <f t="shared" si="2"/>
        <v>-</v>
      </c>
      <c r="H62" s="175" t="str">
        <f t="shared" si="3"/>
        <v>-</v>
      </c>
      <c r="I62" s="173" t="str">
        <f t="shared" si="4"/>
        <v>-</v>
      </c>
      <c r="J62" s="174" t="str">
        <f t="shared" si="5"/>
        <v>-</v>
      </c>
      <c r="K62" s="174" t="str">
        <f t="shared" si="6"/>
        <v>-</v>
      </c>
      <c r="L62" s="175" t="str">
        <f t="shared" si="7"/>
        <v>-</v>
      </c>
      <c r="M62" s="138" t="str">
        <f>IF(OR('Avaliações'!D62="falta",'Avaliações'!D62=""),"-",IF('Avaliações'!D62="presente", IF(IF(AND(F62="",G62="",H62=""),SUM(I62:L62)/4,SUM(F62:L62)/7)=0,"-",IF(AND(F62="",G62="",H62=""),SUM(I62:L62)/4,SUM(F62:L62)/7))))</f>
        <v>-</v>
      </c>
    </row>
    <row r="63" ht="15.75" customHeight="1">
      <c r="A63" s="134">
        <v>60.0</v>
      </c>
      <c r="B63" s="145" t="str">
        <f>IF(Preenchimento!B69="","-",Preenchimento!B69)</f>
        <v>-</v>
      </c>
      <c r="C63" s="180" t="str">
        <f>'Avaliações'!D63</f>
        <v/>
      </c>
      <c r="D63" s="181" t="str">
        <f>IF(Preenchimento!D69="","-",Preenchimento!D69)</f>
        <v>-</v>
      </c>
      <c r="E63" s="143" t="str">
        <f>IF(Preenchimento!E69="","",Preenchimento!E69)</f>
        <v/>
      </c>
      <c r="F63" s="182" t="str">
        <f t="shared" si="1"/>
        <v>-</v>
      </c>
      <c r="G63" s="183" t="str">
        <f t="shared" si="2"/>
        <v>-</v>
      </c>
      <c r="H63" s="184" t="str">
        <f t="shared" si="3"/>
        <v>-</v>
      </c>
      <c r="I63" s="182" t="str">
        <f t="shared" si="4"/>
        <v>-</v>
      </c>
      <c r="J63" s="183" t="str">
        <f t="shared" si="5"/>
        <v>-</v>
      </c>
      <c r="K63" s="183" t="str">
        <f t="shared" si="6"/>
        <v>-</v>
      </c>
      <c r="L63" s="184" t="str">
        <f t="shared" si="7"/>
        <v>-</v>
      </c>
      <c r="M63" s="185" t="str">
        <f>IF(OR('Avaliações'!D63="falta",'Avaliações'!D63=""),"-",IF('Avaliações'!D63="presente", IF(IF(AND(F63="",G63="",H63=""),SUM(I63:L63)/4,SUM(F63:L63)/7)=0,"-",IF(AND(F63="",G63="",H63=""),SUM(I63:L63)/4,SUM(F63:L63)/7))))</f>
        <v>-</v>
      </c>
    </row>
    <row r="64" ht="15.75" customHeight="1">
      <c r="A64" s="134">
        <v>61.0</v>
      </c>
      <c r="B64" s="139" t="str">
        <f>IF(Preenchimento!B70="","-",Preenchimento!B70)</f>
        <v>-</v>
      </c>
      <c r="C64" s="171" t="str">
        <f>'Avaliações'!D64</f>
        <v/>
      </c>
      <c r="D64" s="190" t="str">
        <f>IF(Preenchimento!D70="","-",Preenchimento!D70)</f>
        <v>-</v>
      </c>
      <c r="E64" s="138" t="str">
        <f>IF(Preenchimento!E70="","",Preenchimento!E70)</f>
        <v/>
      </c>
      <c r="F64" s="173" t="str">
        <f t="shared" si="1"/>
        <v>-</v>
      </c>
      <c r="G64" s="174" t="str">
        <f t="shared" si="2"/>
        <v>-</v>
      </c>
      <c r="H64" s="175" t="str">
        <f t="shared" si="3"/>
        <v>-</v>
      </c>
      <c r="I64" s="173" t="str">
        <f t="shared" si="4"/>
        <v>-</v>
      </c>
      <c r="J64" s="174" t="str">
        <f t="shared" si="5"/>
        <v>-</v>
      </c>
      <c r="K64" s="174" t="str">
        <f t="shared" si="6"/>
        <v>-</v>
      </c>
      <c r="L64" s="175" t="str">
        <f t="shared" si="7"/>
        <v>-</v>
      </c>
      <c r="M64" s="138" t="str">
        <f>IF(OR('Avaliações'!D64="falta",'Avaliações'!D64=""),"-",IF('Avaliações'!D64="presente", IF(IF(AND(F64="",G64="",H64=""),SUM(I64:L64)/4,SUM(F64:L64)/7)=0,"-",IF(AND(F64="",G64="",H64=""),SUM(I64:L64)/4,SUM(F64:L64)/7))))</f>
        <v>-</v>
      </c>
    </row>
    <row r="65" ht="15.75" customHeight="1">
      <c r="A65" s="134">
        <v>62.0</v>
      </c>
      <c r="B65" s="145" t="str">
        <f>IF(Preenchimento!B71="","-",Preenchimento!B71)</f>
        <v>-</v>
      </c>
      <c r="C65" s="180" t="str">
        <f>'Avaliações'!D65</f>
        <v/>
      </c>
      <c r="D65" s="181" t="str">
        <f>IF(Preenchimento!D71="","-",Preenchimento!D71)</f>
        <v>-</v>
      </c>
      <c r="E65" s="143" t="str">
        <f>IF(Preenchimento!E71="","",Preenchimento!E71)</f>
        <v/>
      </c>
      <c r="F65" s="182" t="str">
        <f t="shared" si="1"/>
        <v>-</v>
      </c>
      <c r="G65" s="183" t="str">
        <f t="shared" si="2"/>
        <v>-</v>
      </c>
      <c r="H65" s="184" t="str">
        <f t="shared" si="3"/>
        <v>-</v>
      </c>
      <c r="I65" s="182" t="str">
        <f t="shared" si="4"/>
        <v>-</v>
      </c>
      <c r="J65" s="183" t="str">
        <f t="shared" si="5"/>
        <v>-</v>
      </c>
      <c r="K65" s="183" t="str">
        <f t="shared" si="6"/>
        <v>-</v>
      </c>
      <c r="L65" s="184" t="str">
        <f t="shared" si="7"/>
        <v>-</v>
      </c>
      <c r="M65" s="185" t="str">
        <f>IF(OR('Avaliações'!D65="falta",'Avaliações'!D65=""),"-",IF('Avaliações'!D65="presente", IF(IF(AND(F65="",G65="",H65=""),SUM(I65:L65)/4,SUM(F65:L65)/7)=0,"-",IF(AND(F65="",G65="",H65=""),SUM(I65:L65)/4,SUM(F65:L65)/7))))</f>
        <v>-</v>
      </c>
    </row>
    <row r="66" ht="15.75" customHeight="1">
      <c r="A66" s="134">
        <v>63.0</v>
      </c>
      <c r="B66" s="139" t="str">
        <f>IF(Preenchimento!B72="","-",Preenchimento!B72)</f>
        <v>-</v>
      </c>
      <c r="C66" s="171" t="str">
        <f>'Avaliações'!D66</f>
        <v/>
      </c>
      <c r="D66" s="190" t="str">
        <f>IF(Preenchimento!D72="","-",Preenchimento!D72)</f>
        <v>-</v>
      </c>
      <c r="E66" s="138" t="str">
        <f>IF(Preenchimento!E72="","",Preenchimento!E72)</f>
        <v/>
      </c>
      <c r="F66" s="173" t="str">
        <f t="shared" si="1"/>
        <v>-</v>
      </c>
      <c r="G66" s="174" t="str">
        <f t="shared" si="2"/>
        <v>-</v>
      </c>
      <c r="H66" s="175" t="str">
        <f t="shared" si="3"/>
        <v>-</v>
      </c>
      <c r="I66" s="173" t="str">
        <f t="shared" si="4"/>
        <v>-</v>
      </c>
      <c r="J66" s="174" t="str">
        <f t="shared" si="5"/>
        <v>-</v>
      </c>
      <c r="K66" s="174" t="str">
        <f t="shared" si="6"/>
        <v>-</v>
      </c>
      <c r="L66" s="175" t="str">
        <f t="shared" si="7"/>
        <v>-</v>
      </c>
      <c r="M66" s="138" t="str">
        <f>IF(OR('Avaliações'!D66="falta",'Avaliações'!D66=""),"-",IF('Avaliações'!D66="presente", IF(IF(AND(F66="",G66="",H66=""),SUM(I66:L66)/4,SUM(F66:L66)/7)=0,"-",IF(AND(F66="",G66="",H66=""),SUM(I66:L66)/4,SUM(F66:L66)/7))))</f>
        <v>-</v>
      </c>
    </row>
    <row r="67" ht="15.75" customHeight="1">
      <c r="A67" s="134">
        <v>64.0</v>
      </c>
      <c r="B67" s="145" t="str">
        <f>IF(Preenchimento!B73="","-",Preenchimento!B73)</f>
        <v>-</v>
      </c>
      <c r="C67" s="180" t="str">
        <f>'Avaliações'!D67</f>
        <v/>
      </c>
      <c r="D67" s="181" t="str">
        <f>IF(Preenchimento!D73="","-",Preenchimento!D73)</f>
        <v>-</v>
      </c>
      <c r="E67" s="143" t="str">
        <f>IF(Preenchimento!E73="","",Preenchimento!E73)</f>
        <v/>
      </c>
      <c r="F67" s="182" t="str">
        <f t="shared" si="1"/>
        <v>-</v>
      </c>
      <c r="G67" s="183" t="str">
        <f t="shared" si="2"/>
        <v>-</v>
      </c>
      <c r="H67" s="184" t="str">
        <f t="shared" si="3"/>
        <v>-</v>
      </c>
      <c r="I67" s="182" t="str">
        <f t="shared" si="4"/>
        <v>-</v>
      </c>
      <c r="J67" s="183" t="str">
        <f t="shared" si="5"/>
        <v>-</v>
      </c>
      <c r="K67" s="183" t="str">
        <f t="shared" si="6"/>
        <v>-</v>
      </c>
      <c r="L67" s="184" t="str">
        <f t="shared" si="7"/>
        <v>-</v>
      </c>
      <c r="M67" s="185" t="str">
        <f>IF(OR('Avaliações'!D67="falta",'Avaliações'!D67=""),"-",IF('Avaliações'!D67="presente", IF(IF(AND(F67="",G67="",H67=""),SUM(I67:L67)/4,SUM(F67:L67)/7)=0,"-",IF(AND(F67="",G67="",H67=""),SUM(I67:L67)/4,SUM(F67:L67)/7))))</f>
        <v>-</v>
      </c>
    </row>
    <row r="68" ht="15.75" customHeight="1">
      <c r="A68" s="134">
        <v>65.0</v>
      </c>
      <c r="B68" s="139" t="str">
        <f>IF(Preenchimento!B74="","-",Preenchimento!B74)</f>
        <v>-</v>
      </c>
      <c r="C68" s="171" t="str">
        <f>'Avaliações'!D68</f>
        <v/>
      </c>
      <c r="D68" s="190" t="str">
        <f>IF(Preenchimento!D74="","-",Preenchimento!D74)</f>
        <v>-</v>
      </c>
      <c r="E68" s="138" t="str">
        <f>IF(Preenchimento!E74="","",Preenchimento!E74)</f>
        <v/>
      </c>
      <c r="F68" s="173" t="str">
        <f t="shared" si="1"/>
        <v>-</v>
      </c>
      <c r="G68" s="174" t="str">
        <f t="shared" si="2"/>
        <v>-</v>
      </c>
      <c r="H68" s="175" t="str">
        <f t="shared" si="3"/>
        <v>-</v>
      </c>
      <c r="I68" s="173" t="str">
        <f t="shared" si="4"/>
        <v>-</v>
      </c>
      <c r="J68" s="174" t="str">
        <f t="shared" si="5"/>
        <v>-</v>
      </c>
      <c r="K68" s="174" t="str">
        <f t="shared" si="6"/>
        <v>-</v>
      </c>
      <c r="L68" s="175" t="str">
        <f t="shared" si="7"/>
        <v>-</v>
      </c>
      <c r="M68" s="138" t="str">
        <f>IF(OR('Avaliações'!D68="falta",'Avaliações'!D68=""),"-",IF('Avaliações'!D68="presente", IF(IF(AND(F68="",G68="",H68=""),SUM(I68:L68)/4,SUM(F68:L68)/7)=0,"-",IF(AND(F68="",G68="",H68=""),SUM(I68:L68)/4,SUM(F68:L68)/7))))</f>
        <v>-</v>
      </c>
    </row>
    <row r="69" ht="15.75" customHeight="1">
      <c r="A69" s="134">
        <v>66.0</v>
      </c>
      <c r="B69" s="145" t="str">
        <f>IF(Preenchimento!B75="","-",Preenchimento!B75)</f>
        <v>-</v>
      </c>
      <c r="C69" s="180" t="str">
        <f>'Avaliações'!D69</f>
        <v/>
      </c>
      <c r="D69" s="181" t="str">
        <f>IF(Preenchimento!D75="","-",Preenchimento!D75)</f>
        <v>-</v>
      </c>
      <c r="E69" s="143" t="str">
        <f>IF(Preenchimento!E75="","",Preenchimento!E75)</f>
        <v/>
      </c>
      <c r="F69" s="182" t="str">
        <f t="shared" si="1"/>
        <v>-</v>
      </c>
      <c r="G69" s="183" t="str">
        <f t="shared" si="2"/>
        <v>-</v>
      </c>
      <c r="H69" s="184" t="str">
        <f t="shared" si="3"/>
        <v>-</v>
      </c>
      <c r="I69" s="182" t="str">
        <f t="shared" si="4"/>
        <v>-</v>
      </c>
      <c r="J69" s="183" t="str">
        <f t="shared" si="5"/>
        <v>-</v>
      </c>
      <c r="K69" s="183" t="str">
        <f t="shared" si="6"/>
        <v>-</v>
      </c>
      <c r="L69" s="184" t="str">
        <f t="shared" si="7"/>
        <v>-</v>
      </c>
      <c r="M69" s="185" t="str">
        <f>IF(OR('Avaliações'!D69="falta",'Avaliações'!D69=""),"-",IF('Avaliações'!D69="presente", IF(IF(AND(F69="",G69="",H69=""),SUM(I69:L69)/4,SUM(F69:L69)/7)=0,"-",IF(AND(F69="",G69="",H69=""),SUM(I69:L69)/4,SUM(F69:L69)/7))))</f>
        <v>-</v>
      </c>
    </row>
    <row r="70" ht="15.75" customHeight="1">
      <c r="A70" s="134">
        <v>67.0</v>
      </c>
      <c r="B70" s="139" t="str">
        <f>IF(Preenchimento!B76="","-",Preenchimento!B76)</f>
        <v>-</v>
      </c>
      <c r="C70" s="171" t="str">
        <f>'Avaliações'!D70</f>
        <v/>
      </c>
      <c r="D70" s="190" t="str">
        <f>IF(Preenchimento!D76="","-",Preenchimento!D76)</f>
        <v>-</v>
      </c>
      <c r="E70" s="138" t="str">
        <f>IF(Preenchimento!E76="","",Preenchimento!E76)</f>
        <v/>
      </c>
      <c r="F70" s="173" t="str">
        <f t="shared" si="1"/>
        <v>-</v>
      </c>
      <c r="G70" s="174" t="str">
        <f t="shared" si="2"/>
        <v>-</v>
      </c>
      <c r="H70" s="175" t="str">
        <f t="shared" si="3"/>
        <v>-</v>
      </c>
      <c r="I70" s="173" t="str">
        <f t="shared" si="4"/>
        <v>-</v>
      </c>
      <c r="J70" s="174" t="str">
        <f t="shared" si="5"/>
        <v>-</v>
      </c>
      <c r="K70" s="174" t="str">
        <f t="shared" si="6"/>
        <v>-</v>
      </c>
      <c r="L70" s="175" t="str">
        <f t="shared" si="7"/>
        <v>-</v>
      </c>
      <c r="M70" s="138" t="str">
        <f>IF(OR('Avaliações'!D70="falta",'Avaliações'!D70=""),"-",IF('Avaliações'!D70="presente", IF(IF(AND(F70="",G70="",H70=""),SUM(I70:L70)/4,SUM(F70:L70)/7)=0,"-",IF(AND(F70="",G70="",H70=""),SUM(I70:L70)/4,SUM(F70:L70)/7))))</f>
        <v>-</v>
      </c>
    </row>
    <row r="71" ht="15.75" customHeight="1">
      <c r="A71" s="134">
        <v>68.0</v>
      </c>
      <c r="B71" s="145" t="str">
        <f>IF(Preenchimento!B77="","-",Preenchimento!B77)</f>
        <v>-</v>
      </c>
      <c r="C71" s="180" t="str">
        <f>'Avaliações'!D71</f>
        <v/>
      </c>
      <c r="D71" s="181" t="str">
        <f>IF(Preenchimento!D77="","-",Preenchimento!D77)</f>
        <v>-</v>
      </c>
      <c r="E71" s="143" t="str">
        <f>IF(Preenchimento!E77="","",Preenchimento!E77)</f>
        <v/>
      </c>
      <c r="F71" s="182" t="str">
        <f t="shared" si="1"/>
        <v>-</v>
      </c>
      <c r="G71" s="183" t="str">
        <f t="shared" si="2"/>
        <v>-</v>
      </c>
      <c r="H71" s="184" t="str">
        <f t="shared" si="3"/>
        <v>-</v>
      </c>
      <c r="I71" s="182" t="str">
        <f t="shared" si="4"/>
        <v>-</v>
      </c>
      <c r="J71" s="183" t="str">
        <f t="shared" si="5"/>
        <v>-</v>
      </c>
      <c r="K71" s="183" t="str">
        <f t="shared" si="6"/>
        <v>-</v>
      </c>
      <c r="L71" s="184" t="str">
        <f t="shared" si="7"/>
        <v>-</v>
      </c>
      <c r="M71" s="185" t="str">
        <f>IF(OR('Avaliações'!D71="falta",'Avaliações'!D71=""),"-",IF('Avaliações'!D71="presente", IF(IF(AND(F71="",G71="",H71=""),SUM(I71:L71)/4,SUM(F71:L71)/7)=0,"-",IF(AND(F71="",G71="",H71=""),SUM(I71:L71)/4,SUM(F71:L71)/7))))</f>
        <v>-</v>
      </c>
    </row>
    <row r="72" ht="15.75" customHeight="1">
      <c r="A72" s="134">
        <v>69.0</v>
      </c>
      <c r="B72" s="139" t="str">
        <f>IF(Preenchimento!B78="","-",Preenchimento!B78)</f>
        <v>-</v>
      </c>
      <c r="C72" s="171" t="str">
        <f>'Avaliações'!D72</f>
        <v/>
      </c>
      <c r="D72" s="190" t="str">
        <f>IF(Preenchimento!D78="","-",Preenchimento!D78)</f>
        <v>-</v>
      </c>
      <c r="E72" s="138" t="str">
        <f>IF(Preenchimento!E78="","",Preenchimento!E78)</f>
        <v/>
      </c>
      <c r="F72" s="173" t="str">
        <f t="shared" si="1"/>
        <v>-</v>
      </c>
      <c r="G72" s="174" t="str">
        <f t="shared" si="2"/>
        <v>-</v>
      </c>
      <c r="H72" s="175" t="str">
        <f t="shared" si="3"/>
        <v>-</v>
      </c>
      <c r="I72" s="173" t="str">
        <f t="shared" si="4"/>
        <v>-</v>
      </c>
      <c r="J72" s="174" t="str">
        <f t="shared" si="5"/>
        <v>-</v>
      </c>
      <c r="K72" s="174" t="str">
        <f t="shared" si="6"/>
        <v>-</v>
      </c>
      <c r="L72" s="175" t="str">
        <f t="shared" si="7"/>
        <v>-</v>
      </c>
      <c r="M72" s="138" t="str">
        <f>IF(OR('Avaliações'!D72="falta",'Avaliações'!D72=""),"-",IF('Avaliações'!D72="presente", IF(IF(AND(F72="",G72="",H72=""),SUM(I72:L72)/4,SUM(F72:L72)/7)=0,"-",IF(AND(F72="",G72="",H72=""),SUM(I72:L72)/4,SUM(F72:L72)/7))))</f>
        <v>-</v>
      </c>
    </row>
    <row r="73" ht="15.75" customHeight="1">
      <c r="A73" s="134">
        <v>70.0</v>
      </c>
      <c r="B73" s="145" t="str">
        <f>IF(Preenchimento!B79="","-",Preenchimento!B79)</f>
        <v>-</v>
      </c>
      <c r="C73" s="180" t="str">
        <f>'Avaliações'!D73</f>
        <v/>
      </c>
      <c r="D73" s="181" t="str">
        <f>IF(Preenchimento!D79="","-",Preenchimento!D79)</f>
        <v>-</v>
      </c>
      <c r="E73" s="143" t="str">
        <f>IF(Preenchimento!E79="","",Preenchimento!E79)</f>
        <v/>
      </c>
      <c r="F73" s="182" t="str">
        <f t="shared" si="1"/>
        <v>-</v>
      </c>
      <c r="G73" s="183" t="str">
        <f t="shared" si="2"/>
        <v>-</v>
      </c>
      <c r="H73" s="184" t="str">
        <f t="shared" si="3"/>
        <v>-</v>
      </c>
      <c r="I73" s="182" t="str">
        <f t="shared" si="4"/>
        <v>-</v>
      </c>
      <c r="J73" s="183" t="str">
        <f t="shared" si="5"/>
        <v>-</v>
      </c>
      <c r="K73" s="183" t="str">
        <f t="shared" si="6"/>
        <v>-</v>
      </c>
      <c r="L73" s="184" t="str">
        <f t="shared" si="7"/>
        <v>-</v>
      </c>
      <c r="M73" s="185" t="str">
        <f>IF(OR('Avaliações'!D73="falta",'Avaliações'!D73=""),"-",IF('Avaliações'!D73="presente", IF(IF(AND(F73="",G73="",H73=""),SUM(I73:L73)/4,SUM(F73:L73)/7)=0,"-",IF(AND(F73="",G73="",H73=""),SUM(I73:L73)/4,SUM(F73:L73)/7))))</f>
        <v>-</v>
      </c>
    </row>
    <row r="74" ht="15.75" customHeight="1">
      <c r="A74" s="134">
        <v>71.0</v>
      </c>
      <c r="B74" s="139" t="str">
        <f>IF(Preenchimento!B80="","-",Preenchimento!B80)</f>
        <v>-</v>
      </c>
      <c r="C74" s="171" t="str">
        <f>'Avaliações'!D74</f>
        <v/>
      </c>
      <c r="D74" s="190" t="str">
        <f>IF(Preenchimento!D80="","-",Preenchimento!D80)</f>
        <v>-</v>
      </c>
      <c r="E74" s="138" t="str">
        <f>IF(Preenchimento!E80="","",Preenchimento!E80)</f>
        <v/>
      </c>
      <c r="F74" s="173" t="str">
        <f t="shared" si="1"/>
        <v>-</v>
      </c>
      <c r="G74" s="174" t="str">
        <f t="shared" si="2"/>
        <v>-</v>
      </c>
      <c r="H74" s="175" t="str">
        <f t="shared" si="3"/>
        <v>-</v>
      </c>
      <c r="I74" s="173" t="str">
        <f t="shared" si="4"/>
        <v>-</v>
      </c>
      <c r="J74" s="174" t="str">
        <f t="shared" si="5"/>
        <v>-</v>
      </c>
      <c r="K74" s="174" t="str">
        <f t="shared" si="6"/>
        <v>-</v>
      </c>
      <c r="L74" s="175" t="str">
        <f t="shared" si="7"/>
        <v>-</v>
      </c>
      <c r="M74" s="138" t="str">
        <f>IF(OR('Avaliações'!D74="falta",'Avaliações'!D74=""),"-",IF('Avaliações'!D74="presente", IF(IF(AND(F74="",G74="",H74=""),SUM(I74:L74)/4,SUM(F74:L74)/7)=0,"-",IF(AND(F74="",G74="",H74=""),SUM(I74:L74)/4,SUM(F74:L74)/7))))</f>
        <v>-</v>
      </c>
    </row>
    <row r="75" ht="15.75" customHeight="1">
      <c r="A75" s="134">
        <v>72.0</v>
      </c>
      <c r="B75" s="145" t="str">
        <f>IF(Preenchimento!B81="","-",Preenchimento!B81)</f>
        <v>-</v>
      </c>
      <c r="C75" s="180" t="str">
        <f>'Avaliações'!D75</f>
        <v/>
      </c>
      <c r="D75" s="181" t="str">
        <f>IF(Preenchimento!D81="","-",Preenchimento!D81)</f>
        <v>-</v>
      </c>
      <c r="E75" s="143" t="str">
        <f>IF(Preenchimento!E81="","",Preenchimento!E81)</f>
        <v/>
      </c>
      <c r="F75" s="182" t="str">
        <f t="shared" si="1"/>
        <v>-</v>
      </c>
      <c r="G75" s="183" t="str">
        <f t="shared" si="2"/>
        <v>-</v>
      </c>
      <c r="H75" s="184" t="str">
        <f t="shared" si="3"/>
        <v>-</v>
      </c>
      <c r="I75" s="182" t="str">
        <f t="shared" si="4"/>
        <v>-</v>
      </c>
      <c r="J75" s="183" t="str">
        <f t="shared" si="5"/>
        <v>-</v>
      </c>
      <c r="K75" s="183" t="str">
        <f t="shared" si="6"/>
        <v>-</v>
      </c>
      <c r="L75" s="184" t="str">
        <f t="shared" si="7"/>
        <v>-</v>
      </c>
      <c r="M75" s="185" t="str">
        <f>IF(OR('Avaliações'!D75="falta",'Avaliações'!D75=""),"-",IF('Avaliações'!D75="presente", IF(IF(AND(F75="",G75="",H75=""),SUM(I75:L75)/4,SUM(F75:L75)/7)=0,"-",IF(AND(F75="",G75="",H75=""),SUM(I75:L75)/4,SUM(F75:L75)/7))))</f>
        <v>-</v>
      </c>
    </row>
    <row r="76" ht="15.75" customHeight="1">
      <c r="A76" s="134">
        <v>73.0</v>
      </c>
      <c r="B76" s="139" t="str">
        <f>IF(Preenchimento!B82="","-",Preenchimento!B82)</f>
        <v>-</v>
      </c>
      <c r="C76" s="171" t="str">
        <f>'Avaliações'!D76</f>
        <v/>
      </c>
      <c r="D76" s="190" t="str">
        <f>IF(Preenchimento!D82="","-",Preenchimento!D82)</f>
        <v>-</v>
      </c>
      <c r="E76" s="138" t="str">
        <f>IF(Preenchimento!E82="","",Preenchimento!E82)</f>
        <v/>
      </c>
      <c r="F76" s="173" t="str">
        <f t="shared" si="1"/>
        <v>-</v>
      </c>
      <c r="G76" s="174" t="str">
        <f t="shared" si="2"/>
        <v>-</v>
      </c>
      <c r="H76" s="175" t="str">
        <f t="shared" si="3"/>
        <v>-</v>
      </c>
      <c r="I76" s="173" t="str">
        <f t="shared" si="4"/>
        <v>-</v>
      </c>
      <c r="J76" s="174" t="str">
        <f t="shared" si="5"/>
        <v>-</v>
      </c>
      <c r="K76" s="174" t="str">
        <f t="shared" si="6"/>
        <v>-</v>
      </c>
      <c r="L76" s="175" t="str">
        <f t="shared" si="7"/>
        <v>-</v>
      </c>
      <c r="M76" s="138" t="str">
        <f>IF(OR('Avaliações'!D76="falta",'Avaliações'!D76=""),"-",IF('Avaliações'!D76="presente", IF(IF(AND(F76="",G76="",H76=""),SUM(I76:L76)/4,SUM(F76:L76)/7)=0,"-",IF(AND(F76="",G76="",H76=""),SUM(I76:L76)/4,SUM(F76:L76)/7))))</f>
        <v>-</v>
      </c>
    </row>
    <row r="77" ht="15.75" customHeight="1">
      <c r="A77" s="134">
        <v>74.0</v>
      </c>
      <c r="B77" s="145" t="str">
        <f>IF(Preenchimento!B83="","-",Preenchimento!B83)</f>
        <v>-</v>
      </c>
      <c r="C77" s="180" t="str">
        <f>'Avaliações'!D77</f>
        <v/>
      </c>
      <c r="D77" s="181" t="str">
        <f>IF(Preenchimento!D83="","-",Preenchimento!D83)</f>
        <v>-</v>
      </c>
      <c r="E77" s="143" t="str">
        <f>IF(Preenchimento!E83="","",Preenchimento!E83)</f>
        <v/>
      </c>
      <c r="F77" s="182" t="str">
        <f t="shared" si="1"/>
        <v>-</v>
      </c>
      <c r="G77" s="183" t="str">
        <f t="shared" si="2"/>
        <v>-</v>
      </c>
      <c r="H77" s="184" t="str">
        <f t="shared" si="3"/>
        <v>-</v>
      </c>
      <c r="I77" s="182" t="str">
        <f t="shared" si="4"/>
        <v>-</v>
      </c>
      <c r="J77" s="183" t="str">
        <f t="shared" si="5"/>
        <v>-</v>
      </c>
      <c r="K77" s="183" t="str">
        <f t="shared" si="6"/>
        <v>-</v>
      </c>
      <c r="L77" s="184" t="str">
        <f t="shared" si="7"/>
        <v>-</v>
      </c>
      <c r="M77" s="185" t="str">
        <f>IF(OR('Avaliações'!D77="falta",'Avaliações'!D77=""),"-",IF('Avaliações'!D77="presente", IF(IF(AND(F77="",G77="",H77=""),SUM(I77:L77)/4,SUM(F77:L77)/7)=0,"-",IF(AND(F77="",G77="",H77=""),SUM(I77:L77)/4,SUM(F77:L77)/7))))</f>
        <v>-</v>
      </c>
    </row>
    <row r="78" ht="15.75" customHeight="1">
      <c r="A78" s="134">
        <v>75.0</v>
      </c>
      <c r="B78" s="139" t="str">
        <f>IF(Preenchimento!B84="","-",Preenchimento!B84)</f>
        <v>-</v>
      </c>
      <c r="C78" s="171" t="str">
        <f>'Avaliações'!D78</f>
        <v/>
      </c>
      <c r="D78" s="190" t="str">
        <f>IF(Preenchimento!D84="","-",Preenchimento!D84)</f>
        <v>-</v>
      </c>
      <c r="E78" s="138" t="str">
        <f>IF(Preenchimento!E84="","",Preenchimento!E84)</f>
        <v/>
      </c>
      <c r="F78" s="173" t="str">
        <f t="shared" si="1"/>
        <v>-</v>
      </c>
      <c r="G78" s="174" t="str">
        <f t="shared" si="2"/>
        <v>-</v>
      </c>
      <c r="H78" s="175" t="str">
        <f t="shared" si="3"/>
        <v>-</v>
      </c>
      <c r="I78" s="173" t="str">
        <f t="shared" si="4"/>
        <v>-</v>
      </c>
      <c r="J78" s="174" t="str">
        <f t="shared" si="5"/>
        <v>-</v>
      </c>
      <c r="K78" s="174" t="str">
        <f t="shared" si="6"/>
        <v>-</v>
      </c>
      <c r="L78" s="175" t="str">
        <f t="shared" si="7"/>
        <v>-</v>
      </c>
      <c r="M78" s="138" t="str">
        <f>IF(OR('Avaliações'!D78="falta",'Avaliações'!D78=""),"-",IF('Avaliações'!D78="presente", IF(IF(AND(F78="",G78="",H78=""),SUM(I78:L78)/4,SUM(F78:L78)/7)=0,"-",IF(AND(F78="",G78="",H78=""),SUM(I78:L78)/4,SUM(F78:L78)/7))))</f>
        <v>-</v>
      </c>
    </row>
    <row r="79" ht="15.75" customHeight="1">
      <c r="A79" s="134">
        <v>81.0</v>
      </c>
      <c r="B79" s="145" t="str">
        <f>IF(Preenchimento!B85="","-",Preenchimento!B85)</f>
        <v>-</v>
      </c>
      <c r="C79" s="180" t="str">
        <f>'Avaliações'!D79</f>
        <v/>
      </c>
      <c r="D79" s="181" t="str">
        <f>IF(Preenchimento!D85="","-",Preenchimento!D85)</f>
        <v>-</v>
      </c>
      <c r="E79" s="143" t="str">
        <f>IF(Preenchimento!E85="","",Preenchimento!E85)</f>
        <v/>
      </c>
      <c r="F79" s="182" t="str">
        <f t="shared" si="1"/>
        <v>-</v>
      </c>
      <c r="G79" s="183" t="str">
        <f t="shared" si="2"/>
        <v>-</v>
      </c>
      <c r="H79" s="184" t="str">
        <f t="shared" si="3"/>
        <v>-</v>
      </c>
      <c r="I79" s="182" t="str">
        <f t="shared" si="4"/>
        <v>-</v>
      </c>
      <c r="J79" s="183" t="str">
        <f t="shared" si="5"/>
        <v>-</v>
      </c>
      <c r="K79" s="183" t="str">
        <f t="shared" si="6"/>
        <v>-</v>
      </c>
      <c r="L79" s="184" t="str">
        <f t="shared" si="7"/>
        <v>-</v>
      </c>
      <c r="M79" s="185" t="str">
        <f>IF(OR('Avaliações'!D79="falta",'Avaliações'!D79=""),"-",IF('Avaliações'!D79="presente", IF(IF(AND(F79="",G79="",H79=""),SUM(I79:L79)/4,SUM(F79:L79)/7)=0,"-",IF(AND(F79="",G79="",H79=""),SUM(I79:L79)/4,SUM(F79:L79)/7))))</f>
        <v>-</v>
      </c>
    </row>
    <row r="80" ht="15.75" customHeight="1">
      <c r="A80" s="134">
        <v>77.0</v>
      </c>
      <c r="B80" s="139" t="str">
        <f>IF(Preenchimento!B86="","-",Preenchimento!B86)</f>
        <v>-</v>
      </c>
      <c r="C80" s="171" t="str">
        <f>'Avaliações'!D80</f>
        <v/>
      </c>
      <c r="D80" s="190" t="str">
        <f>IF(Preenchimento!D86="","-",Preenchimento!D86)</f>
        <v>-</v>
      </c>
      <c r="E80" s="138" t="str">
        <f>IF(Preenchimento!E86="","",Preenchimento!E86)</f>
        <v/>
      </c>
      <c r="F80" s="173" t="str">
        <f t="shared" si="1"/>
        <v>-</v>
      </c>
      <c r="G80" s="174" t="str">
        <f t="shared" si="2"/>
        <v>-</v>
      </c>
      <c r="H80" s="175" t="str">
        <f t="shared" si="3"/>
        <v>-</v>
      </c>
      <c r="I80" s="173" t="str">
        <f t="shared" si="4"/>
        <v>-</v>
      </c>
      <c r="J80" s="174" t="str">
        <f t="shared" si="5"/>
        <v>-</v>
      </c>
      <c r="K80" s="174" t="str">
        <f t="shared" si="6"/>
        <v>-</v>
      </c>
      <c r="L80" s="175" t="str">
        <f t="shared" si="7"/>
        <v>-</v>
      </c>
      <c r="M80" s="138" t="str">
        <f>IF(OR('Avaliações'!D80="falta",'Avaliações'!D80=""),"-",IF('Avaliações'!D80="presente", IF(IF(AND(F80="",G80="",H80=""),SUM(I80:L80)/4,SUM(F80:L80)/7)=0,"-",IF(AND(F80="",G80="",H80=""),SUM(I80:L80)/4,SUM(F80:L80)/7))))</f>
        <v>-</v>
      </c>
    </row>
    <row r="81" ht="15.75" customHeight="1">
      <c r="A81" s="134">
        <v>78.0</v>
      </c>
      <c r="B81" s="145" t="str">
        <f>IF(Preenchimento!B87="","-",Preenchimento!B87)</f>
        <v>-</v>
      </c>
      <c r="C81" s="180" t="str">
        <f>'Avaliações'!D81</f>
        <v/>
      </c>
      <c r="D81" s="181" t="str">
        <f>IF(Preenchimento!D87="","-",Preenchimento!D87)</f>
        <v>-</v>
      </c>
      <c r="E81" s="143" t="str">
        <f>IF(Preenchimento!E87="","",Preenchimento!E87)</f>
        <v/>
      </c>
      <c r="F81" s="182" t="str">
        <f t="shared" si="1"/>
        <v>-</v>
      </c>
      <c r="G81" s="183" t="str">
        <f t="shared" si="2"/>
        <v>-</v>
      </c>
      <c r="H81" s="184" t="str">
        <f t="shared" si="3"/>
        <v>-</v>
      </c>
      <c r="I81" s="182" t="str">
        <f t="shared" si="4"/>
        <v>-</v>
      </c>
      <c r="J81" s="183" t="str">
        <f t="shared" si="5"/>
        <v>-</v>
      </c>
      <c r="K81" s="183" t="str">
        <f t="shared" si="6"/>
        <v>-</v>
      </c>
      <c r="L81" s="184" t="str">
        <f t="shared" si="7"/>
        <v>-</v>
      </c>
      <c r="M81" s="185" t="str">
        <f>IF(OR('Avaliações'!D81="falta",'Avaliações'!D81=""),"-",IF('Avaliações'!D81="presente", IF(IF(AND(F81="",G81="",H81=""),SUM(I81:L81)/4,SUM(F81:L81)/7)=0,"-",IF(AND(F81="",G81="",H81=""),SUM(I81:L81)/4,SUM(F81:L81)/7))))</f>
        <v>-</v>
      </c>
    </row>
    <row r="82" ht="15.75" customHeight="1">
      <c r="A82" s="134">
        <v>79.0</v>
      </c>
      <c r="B82" s="139" t="str">
        <f>IF(Preenchimento!B88="","-",Preenchimento!B88)</f>
        <v>-</v>
      </c>
      <c r="C82" s="171" t="str">
        <f>'Avaliações'!D82</f>
        <v/>
      </c>
      <c r="D82" s="190" t="str">
        <f>IF(Preenchimento!D88="","-",Preenchimento!D88)</f>
        <v>-</v>
      </c>
      <c r="E82" s="138" t="str">
        <f>IF(Preenchimento!E88="","",Preenchimento!E88)</f>
        <v/>
      </c>
      <c r="F82" s="173" t="str">
        <f t="shared" si="1"/>
        <v>-</v>
      </c>
      <c r="G82" s="174" t="str">
        <f t="shared" si="2"/>
        <v>-</v>
      </c>
      <c r="H82" s="175" t="str">
        <f t="shared" si="3"/>
        <v>-</v>
      </c>
      <c r="I82" s="173" t="str">
        <f t="shared" si="4"/>
        <v>-</v>
      </c>
      <c r="J82" s="174" t="str">
        <f t="shared" si="5"/>
        <v>-</v>
      </c>
      <c r="K82" s="174" t="str">
        <f t="shared" si="6"/>
        <v>-</v>
      </c>
      <c r="L82" s="175" t="str">
        <f t="shared" si="7"/>
        <v>-</v>
      </c>
      <c r="M82" s="138" t="str">
        <f>IF(OR('Avaliações'!D82="falta",'Avaliações'!D82=""),"-",IF('Avaliações'!D82="presente", IF(IF(AND(F82="",G82="",H82=""),SUM(I82:L82)/4,SUM(F82:L82)/7)=0,"-",IF(AND(F82="",G82="",H82=""),SUM(I82:L82)/4,SUM(F82:L82)/7))))</f>
        <v>-</v>
      </c>
    </row>
    <row r="83" ht="15.75" customHeight="1">
      <c r="A83" s="134">
        <v>80.0</v>
      </c>
      <c r="B83" s="145" t="str">
        <f>IF(Preenchimento!B89="","-",Preenchimento!B89)</f>
        <v>-</v>
      </c>
      <c r="C83" s="180" t="str">
        <f>'Avaliações'!D83</f>
        <v/>
      </c>
      <c r="D83" s="181" t="str">
        <f>IF(Preenchimento!D89="","-",Preenchimento!D89)</f>
        <v>-</v>
      </c>
      <c r="E83" s="143" t="str">
        <f>IF(Preenchimento!E89="","",Preenchimento!E89)</f>
        <v/>
      </c>
      <c r="F83" s="182" t="str">
        <f t="shared" si="1"/>
        <v>-</v>
      </c>
      <c r="G83" s="183" t="str">
        <f t="shared" si="2"/>
        <v>-</v>
      </c>
      <c r="H83" s="184" t="str">
        <f t="shared" si="3"/>
        <v>-</v>
      </c>
      <c r="I83" s="182" t="str">
        <f t="shared" si="4"/>
        <v>-</v>
      </c>
      <c r="J83" s="183" t="str">
        <f t="shared" si="5"/>
        <v>-</v>
      </c>
      <c r="K83" s="183" t="str">
        <f t="shared" si="6"/>
        <v>-</v>
      </c>
      <c r="L83" s="184" t="str">
        <f t="shared" si="7"/>
        <v>-</v>
      </c>
      <c r="M83" s="185" t="str">
        <f>IF(OR('Avaliações'!D83="falta",'Avaliações'!D83=""),"-",IF('Avaliações'!D83="presente", IF(IF(AND(F83="",G83="",H83=""),SUM(I83:L83)/4,SUM(F83:L83)/7)=0,"-",IF(AND(F83="",G83="",H83=""),SUM(I83:L83)/4,SUM(F83:L83)/7))))</f>
        <v>-</v>
      </c>
    </row>
    <row r="84" ht="15.75" customHeight="1">
      <c r="A84" s="134">
        <v>81.0</v>
      </c>
      <c r="B84" s="139" t="str">
        <f>IF(Preenchimento!B90="","-",Preenchimento!B90)</f>
        <v>-</v>
      </c>
      <c r="C84" s="171" t="str">
        <f>'Avaliações'!D84</f>
        <v/>
      </c>
      <c r="D84" s="190" t="str">
        <f>IF(Preenchimento!D90="","-",Preenchimento!D90)</f>
        <v>-</v>
      </c>
      <c r="E84" s="138" t="str">
        <f>IF(Preenchimento!E90="","",Preenchimento!E90)</f>
        <v/>
      </c>
      <c r="F84" s="173" t="str">
        <f t="shared" si="1"/>
        <v>-</v>
      </c>
      <c r="G84" s="174" t="str">
        <f t="shared" si="2"/>
        <v>-</v>
      </c>
      <c r="H84" s="175" t="str">
        <f t="shared" si="3"/>
        <v>-</v>
      </c>
      <c r="I84" s="173" t="str">
        <f t="shared" si="4"/>
        <v>-</v>
      </c>
      <c r="J84" s="174" t="str">
        <f t="shared" si="5"/>
        <v>-</v>
      </c>
      <c r="K84" s="174" t="str">
        <f t="shared" si="6"/>
        <v>-</v>
      </c>
      <c r="L84" s="175" t="str">
        <f t="shared" si="7"/>
        <v>-</v>
      </c>
      <c r="M84" s="138" t="str">
        <f>IF(OR('Avaliações'!D84="falta",'Avaliações'!D84=""),"-",IF('Avaliações'!D84="presente", IF(IF(AND(F84="",G84="",H84=""),SUM(I84:L84)/4,SUM(F84:L84)/7)=0,"-",IF(AND(F84="",G84="",H84=""),SUM(I84:L84)/4,SUM(F84:L84)/7))))</f>
        <v>-</v>
      </c>
    </row>
    <row r="85" ht="15.75" customHeight="1">
      <c r="A85" s="134">
        <v>82.0</v>
      </c>
      <c r="B85" s="145" t="str">
        <f>IF(Preenchimento!B91="","-",Preenchimento!B91)</f>
        <v>-</v>
      </c>
      <c r="C85" s="180" t="str">
        <f>'Avaliações'!D85</f>
        <v/>
      </c>
      <c r="D85" s="181" t="str">
        <f>IF(Preenchimento!D91="","-",Preenchimento!D91)</f>
        <v>-</v>
      </c>
      <c r="E85" s="143" t="str">
        <f>IF(Preenchimento!E91="","",Preenchimento!E91)</f>
        <v/>
      </c>
      <c r="F85" s="182" t="str">
        <f t="shared" si="1"/>
        <v>-</v>
      </c>
      <c r="G85" s="183" t="str">
        <f t="shared" si="2"/>
        <v>-</v>
      </c>
      <c r="H85" s="184" t="str">
        <f t="shared" si="3"/>
        <v>-</v>
      </c>
      <c r="I85" s="182" t="str">
        <f t="shared" si="4"/>
        <v>-</v>
      </c>
      <c r="J85" s="183" t="str">
        <f t="shared" si="5"/>
        <v>-</v>
      </c>
      <c r="K85" s="183" t="str">
        <f t="shared" si="6"/>
        <v>-</v>
      </c>
      <c r="L85" s="184" t="str">
        <f t="shared" si="7"/>
        <v>-</v>
      </c>
      <c r="M85" s="185" t="str">
        <f>IF(OR('Avaliações'!D85="falta",'Avaliações'!D85=""),"-",IF('Avaliações'!D85="presente", IF(IF(AND(F85="",G85="",H85=""),SUM(I85:L85)/4,SUM(F85:L85)/7)=0,"-",IF(AND(F85="",G85="",H85=""),SUM(I85:L85)/4,SUM(F85:L85)/7))))</f>
        <v>-</v>
      </c>
    </row>
    <row r="86" ht="15.75" customHeight="1">
      <c r="A86" s="134">
        <v>83.0</v>
      </c>
      <c r="B86" s="139" t="str">
        <f>IF(Preenchimento!B92="","-",Preenchimento!B92)</f>
        <v>-</v>
      </c>
      <c r="C86" s="171" t="str">
        <f>'Avaliações'!D86</f>
        <v/>
      </c>
      <c r="D86" s="190" t="str">
        <f>IF(Preenchimento!D92="","-",Preenchimento!D92)</f>
        <v>-</v>
      </c>
      <c r="E86" s="138" t="str">
        <f>IF(Preenchimento!E92="","",Preenchimento!E92)</f>
        <v/>
      </c>
      <c r="F86" s="173" t="str">
        <f t="shared" si="1"/>
        <v>-</v>
      </c>
      <c r="G86" s="174" t="str">
        <f t="shared" si="2"/>
        <v>-</v>
      </c>
      <c r="H86" s="175" t="str">
        <f t="shared" si="3"/>
        <v>-</v>
      </c>
      <c r="I86" s="173" t="str">
        <f t="shared" si="4"/>
        <v>-</v>
      </c>
      <c r="J86" s="174" t="str">
        <f t="shared" si="5"/>
        <v>-</v>
      </c>
      <c r="K86" s="174" t="str">
        <f t="shared" si="6"/>
        <v>-</v>
      </c>
      <c r="L86" s="175" t="str">
        <f t="shared" si="7"/>
        <v>-</v>
      </c>
      <c r="M86" s="138" t="str">
        <f>IF(OR('Avaliações'!D86="falta",'Avaliações'!D86=""),"-",IF('Avaliações'!D86="presente", IF(IF(AND(F86="",G86="",H86=""),SUM(I86:L86)/4,SUM(F86:L86)/7)=0,"-",IF(AND(F86="",G86="",H86=""),SUM(I86:L86)/4,SUM(F86:L86)/7))))</f>
        <v>-</v>
      </c>
    </row>
    <row r="87" ht="15.75" customHeight="1">
      <c r="A87" s="134">
        <v>84.0</v>
      </c>
      <c r="B87" s="145" t="str">
        <f>IF(Preenchimento!B93="","-",Preenchimento!B93)</f>
        <v>-</v>
      </c>
      <c r="C87" s="180" t="str">
        <f>'Avaliações'!D87</f>
        <v/>
      </c>
      <c r="D87" s="181" t="str">
        <f>IF(Preenchimento!D93="","-",Preenchimento!D93)</f>
        <v>-</v>
      </c>
      <c r="E87" s="143" t="str">
        <f>IF(Preenchimento!E93="","",Preenchimento!E93)</f>
        <v/>
      </c>
      <c r="F87" s="182" t="str">
        <f t="shared" si="1"/>
        <v>-</v>
      </c>
      <c r="G87" s="183" t="str">
        <f t="shared" si="2"/>
        <v>-</v>
      </c>
      <c r="H87" s="184" t="str">
        <f t="shared" si="3"/>
        <v>-</v>
      </c>
      <c r="I87" s="182" t="str">
        <f t="shared" si="4"/>
        <v>-</v>
      </c>
      <c r="J87" s="183" t="str">
        <f t="shared" si="5"/>
        <v>-</v>
      </c>
      <c r="K87" s="183" t="str">
        <f t="shared" si="6"/>
        <v>-</v>
      </c>
      <c r="L87" s="184" t="str">
        <f t="shared" si="7"/>
        <v>-</v>
      </c>
      <c r="M87" s="185" t="str">
        <f>IF(OR('Avaliações'!D87="falta",'Avaliações'!D87=""),"-",IF('Avaliações'!D87="presente", IF(IF(AND(F87="",G87="",H87=""),SUM(I87:L87)/4,SUM(F87:L87)/7)=0,"-",IF(AND(F87="",G87="",H87=""),SUM(I87:L87)/4,SUM(F87:L87)/7))))</f>
        <v>-</v>
      </c>
    </row>
    <row r="88" ht="15.75" customHeight="1">
      <c r="A88" s="134">
        <v>85.0</v>
      </c>
      <c r="B88" s="139" t="str">
        <f>IF(Preenchimento!B94="","-",Preenchimento!B94)</f>
        <v>-</v>
      </c>
      <c r="C88" s="171" t="str">
        <f>'Avaliações'!D88</f>
        <v/>
      </c>
      <c r="D88" s="190" t="str">
        <f>IF(Preenchimento!D94="","-",Preenchimento!D94)</f>
        <v>-</v>
      </c>
      <c r="E88" s="138" t="str">
        <f>IF(Preenchimento!E94="","",Preenchimento!E94)</f>
        <v/>
      </c>
      <c r="F88" s="173" t="str">
        <f t="shared" si="1"/>
        <v>-</v>
      </c>
      <c r="G88" s="174" t="str">
        <f t="shared" si="2"/>
        <v>-</v>
      </c>
      <c r="H88" s="175" t="str">
        <f t="shared" si="3"/>
        <v>-</v>
      </c>
      <c r="I88" s="173" t="str">
        <f t="shared" si="4"/>
        <v>-</v>
      </c>
      <c r="J88" s="174" t="str">
        <f t="shared" si="5"/>
        <v>-</v>
      </c>
      <c r="K88" s="174" t="str">
        <f t="shared" si="6"/>
        <v>-</v>
      </c>
      <c r="L88" s="175" t="str">
        <f t="shared" si="7"/>
        <v>-</v>
      </c>
      <c r="M88" s="138" t="str">
        <f>IF(OR('Avaliações'!D88="falta",'Avaliações'!D88=""),"-",IF('Avaliações'!D88="presente", IF(IF(AND(F88="",G88="",H88=""),SUM(I88:L88)/4,SUM(F88:L88)/7)=0,"-",IF(AND(F88="",G88="",H88=""),SUM(I88:L88)/4,SUM(F88:L88)/7))))</f>
        <v>-</v>
      </c>
    </row>
    <row r="89" ht="15.75" customHeight="1">
      <c r="A89" s="134">
        <v>86.0</v>
      </c>
      <c r="B89" s="145" t="str">
        <f>IF(Preenchimento!B95="","-",Preenchimento!B95)</f>
        <v>-</v>
      </c>
      <c r="C89" s="180" t="str">
        <f>'Avaliações'!D89</f>
        <v/>
      </c>
      <c r="D89" s="181" t="str">
        <f>IF(Preenchimento!D95="","-",Preenchimento!D95)</f>
        <v>-</v>
      </c>
      <c r="E89" s="143" t="str">
        <f>IF(Preenchimento!E95="","",Preenchimento!E95)</f>
        <v/>
      </c>
      <c r="F89" s="182" t="str">
        <f t="shared" si="1"/>
        <v>-</v>
      </c>
      <c r="G89" s="183" t="str">
        <f t="shared" si="2"/>
        <v>-</v>
      </c>
      <c r="H89" s="184" t="str">
        <f t="shared" si="3"/>
        <v>-</v>
      </c>
      <c r="I89" s="182" t="str">
        <f t="shared" si="4"/>
        <v>-</v>
      </c>
      <c r="J89" s="183" t="str">
        <f t="shared" si="5"/>
        <v>-</v>
      </c>
      <c r="K89" s="183" t="str">
        <f t="shared" si="6"/>
        <v>-</v>
      </c>
      <c r="L89" s="184" t="str">
        <f t="shared" si="7"/>
        <v>-</v>
      </c>
      <c r="M89" s="185" t="str">
        <f>IF(OR('Avaliações'!D89="falta",'Avaliações'!D89=""),"-",IF('Avaliações'!D89="presente", IF(IF(AND(F89="",G89="",H89=""),SUM(I89:L89)/4,SUM(F89:L89)/7)=0,"-",IF(AND(F89="",G89="",H89=""),SUM(I89:L89)/4,SUM(F89:L89)/7))))</f>
        <v>-</v>
      </c>
    </row>
    <row r="90" ht="15.75" customHeight="1">
      <c r="A90" s="134">
        <v>87.0</v>
      </c>
      <c r="B90" s="139" t="str">
        <f>IF(Preenchimento!B96="","-",Preenchimento!B96)</f>
        <v>-</v>
      </c>
      <c r="C90" s="171" t="str">
        <f>'Avaliações'!D90</f>
        <v/>
      </c>
      <c r="D90" s="190" t="str">
        <f>IF(Preenchimento!D96="","-",Preenchimento!D96)</f>
        <v>-</v>
      </c>
      <c r="E90" s="138" t="str">
        <f>IF(Preenchimento!E96="","",Preenchimento!E96)</f>
        <v/>
      </c>
      <c r="F90" s="173" t="str">
        <f t="shared" si="1"/>
        <v>-</v>
      </c>
      <c r="G90" s="174" t="str">
        <f t="shared" si="2"/>
        <v>-</v>
      </c>
      <c r="H90" s="175" t="str">
        <f t="shared" si="3"/>
        <v>-</v>
      </c>
      <c r="I90" s="173" t="str">
        <f t="shared" si="4"/>
        <v>-</v>
      </c>
      <c r="J90" s="174" t="str">
        <f t="shared" si="5"/>
        <v>-</v>
      </c>
      <c r="K90" s="174" t="str">
        <f t="shared" si="6"/>
        <v>-</v>
      </c>
      <c r="L90" s="175" t="str">
        <f t="shared" si="7"/>
        <v>-</v>
      </c>
      <c r="M90" s="138" t="str">
        <f>IF(OR('Avaliações'!D90="falta",'Avaliações'!D90=""),"-",IF('Avaliações'!D90="presente", IF(IF(AND(F90="",G90="",H90=""),SUM(I90:L90)/4,SUM(F90:L90)/7)=0,"-",IF(AND(F90="",G90="",H90=""),SUM(I90:L90)/4,SUM(F90:L90)/7))))</f>
        <v>-</v>
      </c>
    </row>
    <row r="91" ht="15.75" customHeight="1">
      <c r="A91" s="134">
        <v>88.0</v>
      </c>
      <c r="B91" s="145" t="str">
        <f>IF(Preenchimento!B97="","-",Preenchimento!B97)</f>
        <v>-</v>
      </c>
      <c r="C91" s="180" t="str">
        <f>'Avaliações'!D91</f>
        <v/>
      </c>
      <c r="D91" s="181" t="str">
        <f>IF(Preenchimento!D97="","-",Preenchimento!D97)</f>
        <v>-</v>
      </c>
      <c r="E91" s="143" t="str">
        <f>IF(Preenchimento!E97="","",Preenchimento!E97)</f>
        <v/>
      </c>
      <c r="F91" s="182" t="str">
        <f t="shared" si="1"/>
        <v>-</v>
      </c>
      <c r="G91" s="183" t="str">
        <f t="shared" si="2"/>
        <v>-</v>
      </c>
      <c r="H91" s="184" t="str">
        <f t="shared" si="3"/>
        <v>-</v>
      </c>
      <c r="I91" s="182" t="str">
        <f t="shared" si="4"/>
        <v>-</v>
      </c>
      <c r="J91" s="183" t="str">
        <f t="shared" si="5"/>
        <v>-</v>
      </c>
      <c r="K91" s="183" t="str">
        <f t="shared" si="6"/>
        <v>-</v>
      </c>
      <c r="L91" s="184" t="str">
        <f t="shared" si="7"/>
        <v>-</v>
      </c>
      <c r="M91" s="185" t="str">
        <f>IF(OR('Avaliações'!D91="falta",'Avaliações'!D91=""),"-",IF('Avaliações'!D91="presente", IF(IF(AND(F91="",G91="",H91=""),SUM(I91:L91)/4,SUM(F91:L91)/7)=0,"-",IF(AND(F91="",G91="",H91=""),SUM(I91:L91)/4,SUM(F91:L91)/7))))</f>
        <v>-</v>
      </c>
    </row>
    <row r="92" ht="15.75" customHeight="1">
      <c r="A92" s="134">
        <v>89.0</v>
      </c>
      <c r="B92" s="139" t="str">
        <f>IF(Preenchimento!B98="","-",Preenchimento!B98)</f>
        <v>-</v>
      </c>
      <c r="C92" s="171" t="str">
        <f>'Avaliações'!D92</f>
        <v/>
      </c>
      <c r="D92" s="190" t="str">
        <f>IF(Preenchimento!D98="","-",Preenchimento!D98)</f>
        <v>-</v>
      </c>
      <c r="E92" s="138" t="str">
        <f>IF(Preenchimento!E98="","",Preenchimento!E98)</f>
        <v/>
      </c>
      <c r="F92" s="173" t="str">
        <f t="shared" si="1"/>
        <v>-</v>
      </c>
      <c r="G92" s="174" t="str">
        <f t="shared" si="2"/>
        <v>-</v>
      </c>
      <c r="H92" s="175" t="str">
        <f t="shared" si="3"/>
        <v>-</v>
      </c>
      <c r="I92" s="173" t="str">
        <f t="shared" si="4"/>
        <v>-</v>
      </c>
      <c r="J92" s="174" t="str">
        <f t="shared" si="5"/>
        <v>-</v>
      </c>
      <c r="K92" s="174" t="str">
        <f t="shared" si="6"/>
        <v>-</v>
      </c>
      <c r="L92" s="175" t="str">
        <f t="shared" si="7"/>
        <v>-</v>
      </c>
      <c r="M92" s="138" t="str">
        <f>IF(OR('Avaliações'!D92="falta",'Avaliações'!D92=""),"-",IF('Avaliações'!D92="presente", IF(IF(AND(F92="",G92="",H92=""),SUM(I92:L92)/4,SUM(F92:L92)/7)=0,"-",IF(AND(F92="",G92="",H92=""),SUM(I92:L92)/4,SUM(F92:L92)/7))))</f>
        <v>-</v>
      </c>
    </row>
    <row r="93" ht="15.75" customHeight="1">
      <c r="A93" s="134">
        <v>90.0</v>
      </c>
      <c r="B93" s="145" t="str">
        <f>IF(Preenchimento!B99="","-",Preenchimento!B99)</f>
        <v>-</v>
      </c>
      <c r="C93" s="180" t="str">
        <f>'Avaliações'!D93</f>
        <v/>
      </c>
      <c r="D93" s="181" t="str">
        <f>IF(Preenchimento!D99="","-",Preenchimento!D99)</f>
        <v>-</v>
      </c>
      <c r="E93" s="143" t="str">
        <f>IF(Preenchimento!E99="","",Preenchimento!E99)</f>
        <v/>
      </c>
      <c r="F93" s="186" t="str">
        <f t="shared" si="1"/>
        <v>-</v>
      </c>
      <c r="G93" s="187" t="str">
        <f t="shared" si="2"/>
        <v>-</v>
      </c>
      <c r="H93" s="188" t="str">
        <f t="shared" si="3"/>
        <v>-</v>
      </c>
      <c r="I93" s="186" t="str">
        <f t="shared" si="4"/>
        <v>-</v>
      </c>
      <c r="J93" s="187" t="str">
        <f t="shared" si="5"/>
        <v>-</v>
      </c>
      <c r="K93" s="187" t="str">
        <f t="shared" si="6"/>
        <v>-</v>
      </c>
      <c r="L93" s="188" t="str">
        <f t="shared" si="7"/>
        <v>-</v>
      </c>
      <c r="M93" s="185" t="str">
        <f>IF(OR('Avaliações'!D93="falta",'Avaliações'!D93=""),"-",IF('Avaliações'!D93="presente", IF(IF(AND(F93="",G93="",H93=""),SUM(I93:L93)/4,SUM(F93:L93)/7)=0,"-",IF(AND(F93="",G93="",H93=""),SUM(I93:L93)/4,SUM(F93:L93)/7))))</f>
        <v>-</v>
      </c>
    </row>
    <row r="94" ht="15.75" customHeight="1">
      <c r="A94" s="134">
        <v>91.0</v>
      </c>
      <c r="B94" s="139" t="str">
        <f>IF(Preenchimento!B100="","-",Preenchimento!B100)</f>
        <v>-</v>
      </c>
      <c r="C94" s="171" t="str">
        <f>'Avaliações'!D94</f>
        <v/>
      </c>
      <c r="D94" s="190" t="str">
        <f>IF(Preenchimento!D100="","-",Preenchimento!D100)</f>
        <v>-</v>
      </c>
      <c r="E94" s="138" t="str">
        <f>IF(Preenchimento!E100="","",Preenchimento!E100)</f>
        <v/>
      </c>
      <c r="F94" s="173" t="str">
        <f t="shared" si="1"/>
        <v>-</v>
      </c>
      <c r="G94" s="174" t="str">
        <f t="shared" si="2"/>
        <v>-</v>
      </c>
      <c r="H94" s="175" t="str">
        <f t="shared" si="3"/>
        <v>-</v>
      </c>
      <c r="I94" s="173" t="str">
        <f t="shared" si="4"/>
        <v>-</v>
      </c>
      <c r="J94" s="174" t="str">
        <f t="shared" si="5"/>
        <v>-</v>
      </c>
      <c r="K94" s="174" t="str">
        <f t="shared" si="6"/>
        <v>-</v>
      </c>
      <c r="L94" s="175" t="str">
        <f t="shared" si="7"/>
        <v>-</v>
      </c>
      <c r="M94" s="138" t="str">
        <f>IF(OR('Avaliações'!D94="falta",'Avaliações'!D94=""),"-",IF('Avaliações'!D94="presente", IF(IF(AND(F94="",G94="",H94=""),SUM(I94:L94)/4,SUM(F94:L94)/7)=0,"-",IF(AND(F94="",G94="",H94=""),SUM(I94:L94)/4,SUM(F94:L94)/7))))</f>
        <v>-</v>
      </c>
    </row>
    <row r="95" ht="15.75" customHeight="1">
      <c r="A95" s="134">
        <v>92.0</v>
      </c>
      <c r="B95" s="145" t="str">
        <f>IF(Preenchimento!B101="","-",Preenchimento!B101)</f>
        <v>-</v>
      </c>
      <c r="C95" s="180" t="str">
        <f>'Avaliações'!D95</f>
        <v/>
      </c>
      <c r="D95" s="181" t="str">
        <f>IF(Preenchimento!D101="","-",Preenchimento!D101)</f>
        <v>-</v>
      </c>
      <c r="E95" s="143" t="str">
        <f>IF(Preenchimento!E101="","",Preenchimento!E101)</f>
        <v/>
      </c>
      <c r="F95" s="186" t="str">
        <f t="shared" si="1"/>
        <v>-</v>
      </c>
      <c r="G95" s="187" t="str">
        <f t="shared" si="2"/>
        <v>-</v>
      </c>
      <c r="H95" s="188" t="str">
        <f t="shared" si="3"/>
        <v>-</v>
      </c>
      <c r="I95" s="186" t="str">
        <f t="shared" si="4"/>
        <v>-</v>
      </c>
      <c r="J95" s="187" t="str">
        <f t="shared" si="5"/>
        <v>-</v>
      </c>
      <c r="K95" s="187" t="str">
        <f t="shared" si="6"/>
        <v>-</v>
      </c>
      <c r="L95" s="188" t="str">
        <f t="shared" si="7"/>
        <v>-</v>
      </c>
      <c r="M95" s="185" t="str">
        <f>IF(OR('Avaliações'!D95="falta",'Avaliações'!D95=""),"-",IF('Avaliações'!D95="presente", IF(IF(AND(F95="",G95="",H95=""),SUM(I95:L95)/4,SUM(F95:L95)/7)=0,"-",IF(AND(F95="",G95="",H95=""),SUM(I95:L95)/4,SUM(F95:L95)/7))))</f>
        <v>-</v>
      </c>
    </row>
    <row r="96" ht="15.75" customHeight="1">
      <c r="A96" s="134">
        <v>93.0</v>
      </c>
      <c r="B96" s="139" t="str">
        <f>IF(Preenchimento!B102="","-",Preenchimento!B102)</f>
        <v>-</v>
      </c>
      <c r="C96" s="171" t="str">
        <f>'Avaliações'!D96</f>
        <v/>
      </c>
      <c r="D96" s="190" t="str">
        <f>IF(Preenchimento!D102="","-",Preenchimento!D102)</f>
        <v>-</v>
      </c>
      <c r="E96" s="138" t="str">
        <f>IF(Preenchimento!E102="","",Preenchimento!E102)</f>
        <v/>
      </c>
      <c r="F96" s="173" t="str">
        <f t="shared" si="1"/>
        <v>-</v>
      </c>
      <c r="G96" s="174" t="str">
        <f t="shared" si="2"/>
        <v>-</v>
      </c>
      <c r="H96" s="175" t="str">
        <f t="shared" si="3"/>
        <v>-</v>
      </c>
      <c r="I96" s="173" t="str">
        <f t="shared" si="4"/>
        <v>-</v>
      </c>
      <c r="J96" s="174" t="str">
        <f t="shared" si="5"/>
        <v>-</v>
      </c>
      <c r="K96" s="174" t="str">
        <f t="shared" si="6"/>
        <v>-</v>
      </c>
      <c r="L96" s="175" t="str">
        <f t="shared" si="7"/>
        <v>-</v>
      </c>
      <c r="M96" s="138" t="str">
        <f>IF(OR('Avaliações'!D96="falta",'Avaliações'!D96=""),"-",IF('Avaliações'!D96="presente", IF(IF(AND(F96="",G96="",H96=""),SUM(I96:L96)/4,SUM(F96:L96)/7)=0,"-",IF(AND(F96="",G96="",H96=""),SUM(I96:L96)/4,SUM(F96:L96)/7))))</f>
        <v>-</v>
      </c>
    </row>
    <row r="97" ht="15.75" customHeight="1">
      <c r="A97" s="134">
        <v>94.0</v>
      </c>
      <c r="B97" s="145" t="str">
        <f>IF(Preenchimento!B103="","-",Preenchimento!B103)</f>
        <v>-</v>
      </c>
      <c r="C97" s="180" t="str">
        <f>'Avaliações'!D97</f>
        <v/>
      </c>
      <c r="D97" s="181" t="str">
        <f>IF(Preenchimento!D103="","-",Preenchimento!D103)</f>
        <v>-</v>
      </c>
      <c r="E97" s="143" t="str">
        <f>IF(Preenchimento!E103="","",Preenchimento!E103)</f>
        <v/>
      </c>
      <c r="F97" s="186" t="str">
        <f t="shared" si="1"/>
        <v>-</v>
      </c>
      <c r="G97" s="187" t="str">
        <f t="shared" si="2"/>
        <v>-</v>
      </c>
      <c r="H97" s="188" t="str">
        <f t="shared" si="3"/>
        <v>-</v>
      </c>
      <c r="I97" s="186" t="str">
        <f t="shared" si="4"/>
        <v>-</v>
      </c>
      <c r="J97" s="187" t="str">
        <f t="shared" si="5"/>
        <v>-</v>
      </c>
      <c r="K97" s="187" t="str">
        <f t="shared" si="6"/>
        <v>-</v>
      </c>
      <c r="L97" s="188" t="str">
        <f t="shared" si="7"/>
        <v>-</v>
      </c>
      <c r="M97" s="185" t="str">
        <f>IF(OR('Avaliações'!D97="falta",'Avaliações'!D97=""),"-",IF('Avaliações'!D97="presente", IF(IF(AND(F97="",G97="",H97=""),SUM(I97:L97)/4,SUM(F97:L97)/7)=0,"-",IF(AND(F97="",G97="",H97=""),SUM(I97:L97)/4,SUM(F97:L97)/7))))</f>
        <v>-</v>
      </c>
    </row>
    <row r="98" ht="15.75" customHeight="1">
      <c r="A98" s="134">
        <v>95.0</v>
      </c>
      <c r="B98" s="139" t="str">
        <f>IF(Preenchimento!B104="","-",Preenchimento!B104)</f>
        <v>-</v>
      </c>
      <c r="C98" s="171" t="str">
        <f>'Avaliações'!D98</f>
        <v/>
      </c>
      <c r="D98" s="190" t="str">
        <f>IF(Preenchimento!D104="","-",Preenchimento!D104)</f>
        <v>-</v>
      </c>
      <c r="E98" s="138" t="str">
        <f>IF(Preenchimento!E104="","",Preenchimento!E104)</f>
        <v/>
      </c>
      <c r="F98" s="173" t="str">
        <f t="shared" si="1"/>
        <v>-</v>
      </c>
      <c r="G98" s="174" t="str">
        <f t="shared" si="2"/>
        <v>-</v>
      </c>
      <c r="H98" s="175" t="str">
        <f t="shared" si="3"/>
        <v>-</v>
      </c>
      <c r="I98" s="173" t="str">
        <f t="shared" si="4"/>
        <v>-</v>
      </c>
      <c r="J98" s="174" t="str">
        <f t="shared" si="5"/>
        <v>-</v>
      </c>
      <c r="K98" s="174" t="str">
        <f t="shared" si="6"/>
        <v>-</v>
      </c>
      <c r="L98" s="175" t="str">
        <f t="shared" si="7"/>
        <v>-</v>
      </c>
      <c r="M98" s="138" t="str">
        <f>IF(OR('Avaliações'!D98="falta",'Avaliações'!D98=""),"-",IF('Avaliações'!D98="presente", IF(IF(AND(F98="",G98="",H98=""),SUM(I98:L98)/4,SUM(F98:L98)/7)=0,"-",IF(AND(F98="",G98="",H98=""),SUM(I98:L98)/4,SUM(F98:L98)/7))))</f>
        <v>-</v>
      </c>
    </row>
    <row r="99" ht="15.75" customHeight="1">
      <c r="A99" s="134">
        <v>96.0</v>
      </c>
      <c r="B99" s="145" t="str">
        <f>IF(Preenchimento!B105="","-",Preenchimento!B105)</f>
        <v>-</v>
      </c>
      <c r="C99" s="180" t="str">
        <f>'Avaliações'!D99</f>
        <v/>
      </c>
      <c r="D99" s="181" t="str">
        <f>IF(Preenchimento!D105="","-",Preenchimento!D105)</f>
        <v>-</v>
      </c>
      <c r="E99" s="143" t="str">
        <f>IF(Preenchimento!E105="","",Preenchimento!E105)</f>
        <v/>
      </c>
      <c r="F99" s="186" t="str">
        <f t="shared" si="1"/>
        <v>-</v>
      </c>
      <c r="G99" s="187" t="str">
        <f t="shared" si="2"/>
        <v>-</v>
      </c>
      <c r="H99" s="188" t="str">
        <f t="shared" si="3"/>
        <v>-</v>
      </c>
      <c r="I99" s="186" t="str">
        <f t="shared" si="4"/>
        <v>-</v>
      </c>
      <c r="J99" s="187" t="str">
        <f t="shared" si="5"/>
        <v>-</v>
      </c>
      <c r="K99" s="187" t="str">
        <f t="shared" si="6"/>
        <v>-</v>
      </c>
      <c r="L99" s="188" t="str">
        <f t="shared" si="7"/>
        <v>-</v>
      </c>
      <c r="M99" s="185" t="str">
        <f>IF(OR('Avaliações'!D99="falta",'Avaliações'!D99=""),"-",IF('Avaliações'!D99="presente", IF(IF(AND(F99="",G99="",H99=""),SUM(I99:L99)/4,SUM(F99:L99)/7)=0,"-",IF(AND(F99="",G99="",H99=""),SUM(I99:L99)/4,SUM(F99:L99)/7))))</f>
        <v>-</v>
      </c>
    </row>
    <row r="100" ht="15.75" customHeight="1">
      <c r="A100" s="134">
        <v>97.0</v>
      </c>
      <c r="B100" s="139" t="str">
        <f>IF(Preenchimento!B106="","-",Preenchimento!B106)</f>
        <v>-</v>
      </c>
      <c r="C100" s="171" t="str">
        <f>'Avaliações'!D100</f>
        <v/>
      </c>
      <c r="D100" s="190" t="str">
        <f>IF(Preenchimento!D106="","-",Preenchimento!D106)</f>
        <v>-</v>
      </c>
      <c r="E100" s="138" t="str">
        <f>IF(Preenchimento!E106="","",Preenchimento!E106)</f>
        <v/>
      </c>
      <c r="F100" s="173" t="str">
        <f t="shared" si="1"/>
        <v>-</v>
      </c>
      <c r="G100" s="174" t="str">
        <f t="shared" si="2"/>
        <v>-</v>
      </c>
      <c r="H100" s="175" t="str">
        <f t="shared" si="3"/>
        <v>-</v>
      </c>
      <c r="I100" s="173" t="str">
        <f t="shared" si="4"/>
        <v>-</v>
      </c>
      <c r="J100" s="174" t="str">
        <f t="shared" si="5"/>
        <v>-</v>
      </c>
      <c r="K100" s="174" t="str">
        <f t="shared" si="6"/>
        <v>-</v>
      </c>
      <c r="L100" s="175" t="str">
        <f t="shared" si="7"/>
        <v>-</v>
      </c>
      <c r="M100" s="138" t="str">
        <f>IF(OR('Avaliações'!D100="falta",'Avaliações'!D100=""),"-",IF('Avaliações'!D100="presente", IF(IF(AND(F100="",G100="",H100=""),SUM(I100:L100)/4,SUM(F100:L100)/7)=0,"-",IF(AND(F100="",G100="",H100=""),SUM(I100:L100)/4,SUM(F100:L100)/7))))</f>
        <v>-</v>
      </c>
    </row>
    <row r="101" ht="15.75" customHeight="1">
      <c r="A101" s="134">
        <v>98.0</v>
      </c>
      <c r="B101" s="145" t="str">
        <f>IF(Preenchimento!B107="","-",Preenchimento!B107)</f>
        <v>-</v>
      </c>
      <c r="C101" s="180" t="str">
        <f>'Avaliações'!D101</f>
        <v/>
      </c>
      <c r="D101" s="181" t="str">
        <f>IF(Preenchimento!D107="","-",Preenchimento!D107)</f>
        <v>-</v>
      </c>
      <c r="E101" s="143" t="str">
        <f>IF(Preenchimento!E107="","",Preenchimento!E107)</f>
        <v/>
      </c>
      <c r="F101" s="186" t="str">
        <f t="shared" si="1"/>
        <v>-</v>
      </c>
      <c r="G101" s="187" t="str">
        <f t="shared" si="2"/>
        <v>-</v>
      </c>
      <c r="H101" s="188" t="str">
        <f t="shared" si="3"/>
        <v>-</v>
      </c>
      <c r="I101" s="186" t="str">
        <f t="shared" si="4"/>
        <v>-</v>
      </c>
      <c r="J101" s="187" t="str">
        <f t="shared" si="5"/>
        <v>-</v>
      </c>
      <c r="K101" s="187" t="str">
        <f t="shared" si="6"/>
        <v>-</v>
      </c>
      <c r="L101" s="188" t="str">
        <f t="shared" si="7"/>
        <v>-</v>
      </c>
      <c r="M101" s="185" t="str">
        <f>IF(OR('Avaliações'!D101="falta",'Avaliações'!D101=""),"-",IF('Avaliações'!D101="presente", IF(IF(AND(F101="",G101="",H101=""),SUM(I101:L101)/4,SUM(F101:L101)/7)=0,"-",IF(AND(F101="",G101="",H101=""),SUM(I101:L101)/4,SUM(F101:L101)/7))))</f>
        <v>-</v>
      </c>
    </row>
    <row r="102" ht="15.75" customHeight="1">
      <c r="A102" s="134">
        <v>99.0</v>
      </c>
      <c r="B102" s="139" t="str">
        <f>IF(Preenchimento!B108="","-",Preenchimento!B108)</f>
        <v>-</v>
      </c>
      <c r="C102" s="171" t="str">
        <f>'Avaliações'!D102</f>
        <v/>
      </c>
      <c r="D102" s="190" t="str">
        <f>IF(Preenchimento!D108="","-",Preenchimento!D108)</f>
        <v>-</v>
      </c>
      <c r="E102" s="138" t="str">
        <f>IF(Preenchimento!E108="","",Preenchimento!E108)</f>
        <v/>
      </c>
      <c r="F102" s="173" t="str">
        <f t="shared" si="1"/>
        <v>-</v>
      </c>
      <c r="G102" s="174" t="str">
        <f t="shared" si="2"/>
        <v>-</v>
      </c>
      <c r="H102" s="175" t="str">
        <f t="shared" si="3"/>
        <v>-</v>
      </c>
      <c r="I102" s="173" t="str">
        <f t="shared" si="4"/>
        <v>-</v>
      </c>
      <c r="J102" s="174" t="str">
        <f t="shared" si="5"/>
        <v>-</v>
      </c>
      <c r="K102" s="174" t="str">
        <f t="shared" si="6"/>
        <v>-</v>
      </c>
      <c r="L102" s="175" t="str">
        <f t="shared" si="7"/>
        <v>-</v>
      </c>
      <c r="M102" s="138" t="str">
        <f>IF(OR('Avaliações'!D102="falta",'Avaliações'!D102=""),"-",IF('Avaliações'!D102="presente", IF(IF(AND(F102="",G102="",H102=""),SUM(I102:L102)/4,SUM(F102:L102)/7)=0,"-",IF(AND(F102="",G102="",H102=""),SUM(I102:L102)/4,SUM(F102:L102)/7))))</f>
        <v>-</v>
      </c>
    </row>
    <row r="103" ht="15.75" customHeight="1">
      <c r="A103" s="134">
        <v>100.0</v>
      </c>
      <c r="B103" s="151" t="str">
        <f>IF(Preenchimento!B109="","-",Preenchimento!B109)</f>
        <v>-</v>
      </c>
      <c r="C103" s="180" t="str">
        <f>'Avaliações'!D103</f>
        <v/>
      </c>
      <c r="D103" s="196" t="str">
        <f>IF(Preenchimento!D109="","-",Preenchimento!D109)</f>
        <v>-</v>
      </c>
      <c r="E103" s="150" t="str">
        <f>IF(Preenchimento!E109="","",Preenchimento!E109)</f>
        <v/>
      </c>
      <c r="F103" s="192" t="str">
        <f t="shared" si="1"/>
        <v>-</v>
      </c>
      <c r="G103" s="193" t="str">
        <f t="shared" si="2"/>
        <v>-</v>
      </c>
      <c r="H103" s="194" t="str">
        <f t="shared" si="3"/>
        <v>-</v>
      </c>
      <c r="I103" s="192" t="str">
        <f t="shared" si="4"/>
        <v>-</v>
      </c>
      <c r="J103" s="193" t="str">
        <f t="shared" si="5"/>
        <v>-</v>
      </c>
      <c r="K103" s="193" t="str">
        <f t="shared" si="6"/>
        <v>-</v>
      </c>
      <c r="L103" s="194" t="str">
        <f t="shared" si="7"/>
        <v>-</v>
      </c>
      <c r="M103" s="185" t="str">
        <f>IF(OR('Avaliações'!D103="falta",'Avaliações'!D103=""),"-",IF('Avaliações'!D103="presente", IF(IF(AND(F103="",G103="",H103=""),SUM(I103:L103)/4,SUM(F103:L103)/7)=0,"-",IF(AND(F103="",G103="",H103=""),SUM(I103:L103)/4,SUM(F103:L103)/7))))</f>
        <v>-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D1:E1"/>
    <mergeCell ref="F1:M1"/>
    <mergeCell ref="N1:V1"/>
    <mergeCell ref="F2:H2"/>
    <mergeCell ref="I2:L2"/>
    <mergeCell ref="P2:R2"/>
    <mergeCell ref="S2:V2"/>
  </mergeCells>
  <conditionalFormatting sqref="C4:M103">
    <cfRule type="expression" dxfId="1" priority="1">
      <formula>$C4="falta"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43"/>
    <col customWidth="1" min="2" max="2" width="34.86"/>
    <col customWidth="1" min="3" max="3" width="24.43"/>
    <col customWidth="1" min="4" max="4" width="18.0"/>
    <col customWidth="1" min="5" max="5" width="15.57"/>
    <col customWidth="1" min="6" max="6" width="16.0"/>
    <col customWidth="1" min="7" max="7" width="12.57"/>
    <col customWidth="1" min="8" max="8" width="18.14"/>
    <col customWidth="1" min="9" max="9" width="14.29"/>
  </cols>
  <sheetData>
    <row r="1" ht="23.25" customHeight="1">
      <c r="A1" s="197"/>
      <c r="B1" s="198" t="s">
        <v>69</v>
      </c>
      <c r="C1" s="9"/>
      <c r="D1" s="9"/>
      <c r="E1" s="9"/>
      <c r="F1" s="9"/>
      <c r="G1" s="9"/>
      <c r="H1" s="9"/>
      <c r="I1" s="9"/>
    </row>
    <row r="2">
      <c r="A2" s="199"/>
      <c r="B2" s="200" t="s">
        <v>6</v>
      </c>
      <c r="C2" s="200" t="s">
        <v>11</v>
      </c>
      <c r="D2" s="201" t="s">
        <v>70</v>
      </c>
      <c r="E2" s="202" t="s">
        <v>71</v>
      </c>
      <c r="F2" s="202" t="s">
        <v>72</v>
      </c>
      <c r="G2" s="202" t="s">
        <v>73</v>
      </c>
      <c r="H2" s="202" t="s">
        <v>8</v>
      </c>
      <c r="I2" s="203" t="s">
        <v>74</v>
      </c>
    </row>
    <row r="3">
      <c r="A3" s="204">
        <v>1.0</v>
      </c>
      <c r="B3" s="205" t="str">
        <f>IF(Preenchimento!B10="","-",Preenchimento!B10)</f>
        <v>-</v>
      </c>
      <c r="C3" s="206" t="str">
        <f>IF(Preenchimento!D10="","-",Preenchimento!D10)</f>
        <v>-</v>
      </c>
      <c r="D3" s="207" t="str">
        <f>Treinamentos!H3</f>
        <v>-</v>
      </c>
      <c r="E3" s="207" t="str">
        <f>IFERROR(AVERAGE('Avaliações'!E4:N4),"Sem Nota")</f>
        <v>Sem Nota</v>
      </c>
      <c r="F3" s="207" t="str">
        <f>IFERROR(AVERAGE('Avaliações'!O4:X4),"Sem Nota")</f>
        <v>Sem Nota</v>
      </c>
      <c r="G3" s="207" t="str">
        <f>DPO!I3</f>
        <v>-</v>
      </c>
      <c r="H3" s="208" t="str">
        <f>IF(NC!M4="-","-",IF(Preenchimento!$F$7="Stand e Apresentação de Palco",(SUM(NC!F4:L4)/7),IF(Preenchimento!$F$7="Stand",(SUM(NC!I4:L4)/4),"S.N.C")))</f>
        <v>-</v>
      </c>
      <c r="I3" s="208" t="str">
        <f t="shared" ref="I3:I102" si="1">IFERROR(IF(AND(D3="online",H3="S.N.C"),1+E3*0.25+F3*0.25+G3*0.1+3,IF(D3="online",1+E3*0.25+F3*0.25+G3*0.1+H3*0.3,IF(H3="S.N.C",D3*0.1+E3*0.25+F3*0.25+G3*0.1+3,D3*0.1+E3*0.25+F3*0.25+G3*0.1+H3*0.3))),"-")</f>
        <v>-</v>
      </c>
    </row>
    <row r="4">
      <c r="A4" s="204">
        <v>2.0</v>
      </c>
      <c r="B4" s="209" t="str">
        <f>IF(Preenchimento!B11="","-",Preenchimento!B11)</f>
        <v>-</v>
      </c>
      <c r="C4" s="141" t="str">
        <f>IF(Preenchimento!D11="","-",Preenchimento!D11)</f>
        <v>-</v>
      </c>
      <c r="D4" s="210" t="str">
        <f>Treinamentos!H4</f>
        <v>-</v>
      </c>
      <c r="E4" s="210" t="str">
        <f>IFERROR(AVERAGE('Avaliações'!E5:N5),"Sem Nota")</f>
        <v>Sem Nota</v>
      </c>
      <c r="F4" s="210" t="str">
        <f>IFERROR(AVERAGE('Avaliações'!O5:X5),"Sem Nota")</f>
        <v>Sem Nota</v>
      </c>
      <c r="G4" s="210" t="str">
        <f>DPO!I4</f>
        <v>-</v>
      </c>
      <c r="H4" s="211" t="str">
        <f>IF(NC!M5="-","-",IF(Preenchimento!$F$7="Stand e Apresentação de Palco",(SUM(NC!F5:L5)/7),IF(Preenchimento!$F$7="Stand",(SUM(NC!I5:L5)/4),"S.N.C")))</f>
        <v>-</v>
      </c>
      <c r="I4" s="208" t="str">
        <f t="shared" si="1"/>
        <v>-</v>
      </c>
    </row>
    <row r="5">
      <c r="A5" s="204">
        <v>3.0</v>
      </c>
      <c r="B5" s="212" t="str">
        <f>IF(Preenchimento!B12="","-",Preenchimento!B12)</f>
        <v>-</v>
      </c>
      <c r="C5" s="19" t="str">
        <f>IF(Preenchimento!D12="","-",Preenchimento!D12)</f>
        <v>-</v>
      </c>
      <c r="D5" s="207" t="str">
        <f>Treinamentos!H5</f>
        <v>-</v>
      </c>
      <c r="E5" s="207" t="str">
        <f>IFERROR(AVERAGE('Avaliações'!E6:N6),"Sem Nota")</f>
        <v>Sem Nota</v>
      </c>
      <c r="F5" s="207" t="str">
        <f>IFERROR(AVERAGE('Avaliações'!O6:X6),"Sem Nota")</f>
        <v>Sem Nota</v>
      </c>
      <c r="G5" s="207" t="str">
        <f>DPO!I5</f>
        <v>-</v>
      </c>
      <c r="H5" s="208" t="str">
        <f>IF(NC!M6="-","-",IF(Preenchimento!$F$7="Stand e Apresentação de Palco",(SUM(NC!F6:L6)/7),IF(Preenchimento!$F$7="Stand",(SUM(NC!I6:L6)/4),"S.N.C")))</f>
        <v>-</v>
      </c>
      <c r="I5" s="208" t="str">
        <f t="shared" si="1"/>
        <v>-</v>
      </c>
    </row>
    <row r="6">
      <c r="A6" s="204">
        <v>4.0</v>
      </c>
      <c r="B6" s="209" t="str">
        <f>IF(Preenchimento!B13="","-",Preenchimento!B13)</f>
        <v>-</v>
      </c>
      <c r="C6" s="141" t="str">
        <f>IF(Preenchimento!D13="","-",Preenchimento!D13)</f>
        <v>-</v>
      </c>
      <c r="D6" s="210" t="str">
        <f>Treinamentos!H6</f>
        <v>-</v>
      </c>
      <c r="E6" s="210" t="str">
        <f>IFERROR(AVERAGE('Avaliações'!E7:N7),"Sem Nota")</f>
        <v>Sem Nota</v>
      </c>
      <c r="F6" s="210" t="str">
        <f>IFERROR(AVERAGE('Avaliações'!O7:X7),"Sem Nota")</f>
        <v>Sem Nota</v>
      </c>
      <c r="G6" s="210" t="str">
        <f>DPO!I6</f>
        <v>-</v>
      </c>
      <c r="H6" s="211" t="str">
        <f>IF(NC!M7="-","-",IF(Preenchimento!$F$7="Stand e Apresentação de Palco",(SUM(NC!F7:L7)/7),IF(Preenchimento!$F$7="Stand",(SUM(NC!I7:L7)/4),"S.N.C")))</f>
        <v>-</v>
      </c>
      <c r="I6" s="208" t="str">
        <f t="shared" si="1"/>
        <v>-</v>
      </c>
    </row>
    <row r="7">
      <c r="A7" s="204">
        <v>5.0</v>
      </c>
      <c r="B7" s="212" t="str">
        <f>IF(Preenchimento!B14="","-",Preenchimento!B14)</f>
        <v>-</v>
      </c>
      <c r="C7" s="19" t="str">
        <f>IF(Preenchimento!D14="","-",Preenchimento!D14)</f>
        <v>-</v>
      </c>
      <c r="D7" s="207" t="str">
        <f>Treinamentos!H7</f>
        <v>-</v>
      </c>
      <c r="E7" s="207" t="str">
        <f>IFERROR(AVERAGE('Avaliações'!E8:N8),"Sem Nota")</f>
        <v>Sem Nota</v>
      </c>
      <c r="F7" s="207" t="str">
        <f>IFERROR(AVERAGE('Avaliações'!O8:X8),"Sem Nota")</f>
        <v>Sem Nota</v>
      </c>
      <c r="G7" s="207" t="str">
        <f>DPO!I7</f>
        <v>-</v>
      </c>
      <c r="H7" s="208" t="str">
        <f>IF(NC!M8="-","-",IF(Preenchimento!$F$7="Stand e Apresentação de Palco",(SUM(NC!F8:L8)/7),IF(Preenchimento!$F$7="Stand",(SUM(NC!I8:L8)/4),"S.N.C")))</f>
        <v>-</v>
      </c>
      <c r="I7" s="208" t="str">
        <f t="shared" si="1"/>
        <v>-</v>
      </c>
    </row>
    <row r="8">
      <c r="A8" s="204">
        <v>6.0</v>
      </c>
      <c r="B8" s="209" t="str">
        <f>IF(Preenchimento!B15="","-",Preenchimento!B15)</f>
        <v>-</v>
      </c>
      <c r="C8" s="141" t="str">
        <f>IF(Preenchimento!D15="","-",Preenchimento!D15)</f>
        <v>-</v>
      </c>
      <c r="D8" s="210" t="str">
        <f>Treinamentos!H8</f>
        <v>-</v>
      </c>
      <c r="E8" s="210" t="str">
        <f>IFERROR(AVERAGE('Avaliações'!E9:N9),"Sem Nota")</f>
        <v>Sem Nota</v>
      </c>
      <c r="F8" s="210" t="str">
        <f>IFERROR(AVERAGE('Avaliações'!O9:X9),"Sem Nota")</f>
        <v>Sem Nota</v>
      </c>
      <c r="G8" s="210" t="str">
        <f>DPO!I8</f>
        <v>-</v>
      </c>
      <c r="H8" s="211" t="str">
        <f>IF(NC!M9="-","-",IF(Preenchimento!$F$7="Stand e Apresentação de Palco",(SUM(NC!F9:L9)/7),IF(Preenchimento!$F$7="Stand",(SUM(NC!I9:L9)/4),"S.N.C")))</f>
        <v>-</v>
      </c>
      <c r="I8" s="208" t="str">
        <f t="shared" si="1"/>
        <v>-</v>
      </c>
    </row>
    <row r="9">
      <c r="A9" s="204">
        <v>7.0</v>
      </c>
      <c r="B9" s="212" t="str">
        <f>IF(Preenchimento!B16="","-",Preenchimento!B16)</f>
        <v>-</v>
      </c>
      <c r="C9" s="19" t="str">
        <f>IF(Preenchimento!D16="","-",Preenchimento!D16)</f>
        <v>-</v>
      </c>
      <c r="D9" s="207" t="str">
        <f>Treinamentos!H9</f>
        <v>-</v>
      </c>
      <c r="E9" s="207" t="str">
        <f>IFERROR(AVERAGE('Avaliações'!E10:N10),"Sem Nota")</f>
        <v>Sem Nota</v>
      </c>
      <c r="F9" s="207" t="str">
        <f>IFERROR(AVERAGE('Avaliações'!O10:X10),"Sem Nota")</f>
        <v>Sem Nota</v>
      </c>
      <c r="G9" s="207" t="str">
        <f>DPO!I9</f>
        <v>-</v>
      </c>
      <c r="H9" s="208" t="str">
        <f>IF(NC!M10="-","-",IF(Preenchimento!$F$7="Stand e Apresentação de Palco",(SUM(NC!F10:L10)/7),IF(Preenchimento!$F$7="Stand",(SUM(NC!I10:L10)/4),"S.N.C")))</f>
        <v>-</v>
      </c>
      <c r="I9" s="208" t="str">
        <f t="shared" si="1"/>
        <v>-</v>
      </c>
    </row>
    <row r="10">
      <c r="A10" s="204">
        <v>8.0</v>
      </c>
      <c r="B10" s="209" t="str">
        <f>IF(Preenchimento!B17="","-",Preenchimento!B17)</f>
        <v>-</v>
      </c>
      <c r="C10" s="141" t="str">
        <f>IF(Preenchimento!D17="","-",Preenchimento!D17)</f>
        <v>-</v>
      </c>
      <c r="D10" s="210" t="str">
        <f>Treinamentos!H10</f>
        <v>-</v>
      </c>
      <c r="E10" s="210" t="str">
        <f>IFERROR(AVERAGE('Avaliações'!E11:N11),"Sem Nota")</f>
        <v>Sem Nota</v>
      </c>
      <c r="F10" s="210" t="str">
        <f>IFERROR(AVERAGE('Avaliações'!O11:X11),"Sem Nota")</f>
        <v>Sem Nota</v>
      </c>
      <c r="G10" s="210" t="str">
        <f>DPO!I10</f>
        <v>-</v>
      </c>
      <c r="H10" s="211" t="str">
        <f>IF(NC!M11="-","-",IF(Preenchimento!$F$7="Stand e Apresentação de Palco",(SUM(NC!F11:L11)/7),IF(Preenchimento!$F$7="Stand",(SUM(NC!I11:L11)/4),"S.N.C")))</f>
        <v>-</v>
      </c>
      <c r="I10" s="208" t="str">
        <f t="shared" si="1"/>
        <v>-</v>
      </c>
    </row>
    <row r="11">
      <c r="A11" s="204">
        <v>9.0</v>
      </c>
      <c r="B11" s="212" t="str">
        <f>IF(Preenchimento!B18="","-",Preenchimento!B18)</f>
        <v>-</v>
      </c>
      <c r="C11" s="19" t="str">
        <f>IF(Preenchimento!D18="","-",Preenchimento!D18)</f>
        <v>-</v>
      </c>
      <c r="D11" s="207" t="str">
        <f>Treinamentos!H11</f>
        <v>-</v>
      </c>
      <c r="E11" s="207" t="str">
        <f>IFERROR(AVERAGE('Avaliações'!E12:N12),"Sem Nota")</f>
        <v>Sem Nota</v>
      </c>
      <c r="F11" s="207" t="str">
        <f>IFERROR(AVERAGE('Avaliações'!O12:X12),"Sem Nota")</f>
        <v>Sem Nota</v>
      </c>
      <c r="G11" s="207" t="str">
        <f>DPO!I11</f>
        <v>-</v>
      </c>
      <c r="H11" s="208" t="str">
        <f>IF(NC!M12="-","-",IF(Preenchimento!$F$7="Stand e Apresentação de Palco",(SUM(NC!F12:L12)/7),IF(Preenchimento!$F$7="Stand",(SUM(NC!I12:L12)/4),"S.N.C")))</f>
        <v>-</v>
      </c>
      <c r="I11" s="208" t="str">
        <f t="shared" si="1"/>
        <v>-</v>
      </c>
    </row>
    <row r="12">
      <c r="A12" s="204">
        <v>10.0</v>
      </c>
      <c r="B12" s="209" t="str">
        <f>IF(Preenchimento!B19="","-",Preenchimento!B19)</f>
        <v>-</v>
      </c>
      <c r="C12" s="141" t="str">
        <f>IF(Preenchimento!D19="","-",Preenchimento!D19)</f>
        <v>-</v>
      </c>
      <c r="D12" s="210" t="str">
        <f>Treinamentos!H12</f>
        <v>-</v>
      </c>
      <c r="E12" s="210" t="str">
        <f>IFERROR(AVERAGE('Avaliações'!E13:N13),"Sem Nota")</f>
        <v>Sem Nota</v>
      </c>
      <c r="F12" s="210" t="str">
        <f>IFERROR(AVERAGE('Avaliações'!O13:X13),"Sem Nota")</f>
        <v>Sem Nota</v>
      </c>
      <c r="G12" s="210" t="str">
        <f>DPO!I12</f>
        <v>-</v>
      </c>
      <c r="H12" s="211" t="str">
        <f>IF(NC!M13="-","-",IF(Preenchimento!$F$7="Stand e Apresentação de Palco",(SUM(NC!F13:L13)/7),IF(Preenchimento!$F$7="Stand",(SUM(NC!I13:L13)/4),"S.N.C")))</f>
        <v>-</v>
      </c>
      <c r="I12" s="208" t="str">
        <f t="shared" si="1"/>
        <v>-</v>
      </c>
    </row>
    <row r="13">
      <c r="A13" s="204">
        <v>11.0</v>
      </c>
      <c r="B13" s="212" t="str">
        <f>IF(Preenchimento!B20="","-",Preenchimento!B20)</f>
        <v>-</v>
      </c>
      <c r="C13" s="19" t="str">
        <f>IF(Preenchimento!D20="","-",Preenchimento!D20)</f>
        <v>-</v>
      </c>
      <c r="D13" s="207" t="str">
        <f>Treinamentos!H13</f>
        <v>-</v>
      </c>
      <c r="E13" s="207" t="str">
        <f>IFERROR(AVERAGE('Avaliações'!E14:N14),"Sem Nota")</f>
        <v>Sem Nota</v>
      </c>
      <c r="F13" s="207" t="str">
        <f>IFERROR(AVERAGE('Avaliações'!O14:X14),"Sem Nota")</f>
        <v>Sem Nota</v>
      </c>
      <c r="G13" s="207" t="str">
        <f>DPO!I13</f>
        <v>-</v>
      </c>
      <c r="H13" s="208" t="str">
        <f>IF(NC!M14="-","-",IF(Preenchimento!$F$7="Stand e Apresentação de Palco",(SUM(NC!F14:L14)/7),IF(Preenchimento!$F$7="Stand",(SUM(NC!I14:L14)/4),"S.N.C")))</f>
        <v>-</v>
      </c>
      <c r="I13" s="208" t="str">
        <f t="shared" si="1"/>
        <v>-</v>
      </c>
    </row>
    <row r="14">
      <c r="A14" s="204">
        <v>12.0</v>
      </c>
      <c r="B14" s="209" t="str">
        <f>IF(Preenchimento!B21="","-",Preenchimento!B21)</f>
        <v>-</v>
      </c>
      <c r="C14" s="141" t="str">
        <f>IF(Preenchimento!D21="","-",Preenchimento!D21)</f>
        <v>-</v>
      </c>
      <c r="D14" s="210" t="str">
        <f>Treinamentos!H14</f>
        <v>-</v>
      </c>
      <c r="E14" s="210" t="str">
        <f>IFERROR(AVERAGE('Avaliações'!E15:N15),"Sem Nota")</f>
        <v>Sem Nota</v>
      </c>
      <c r="F14" s="210" t="str">
        <f>IFERROR(AVERAGE('Avaliações'!O15:X15),"Sem Nota")</f>
        <v>Sem Nota</v>
      </c>
      <c r="G14" s="210" t="str">
        <f>DPO!I14</f>
        <v>-</v>
      </c>
      <c r="H14" s="211" t="str">
        <f>IF(NC!M15="-","-",IF(Preenchimento!$F$7="Stand e Apresentação de Palco",(SUM(NC!F15:L15)/7),IF(Preenchimento!$F$7="Stand",(SUM(NC!I15:L15)/4),"S.N.C")))</f>
        <v>-</v>
      </c>
      <c r="I14" s="208" t="str">
        <f t="shared" si="1"/>
        <v>-</v>
      </c>
    </row>
    <row r="15">
      <c r="A15" s="204">
        <v>13.0</v>
      </c>
      <c r="B15" s="212" t="str">
        <f>IF(Preenchimento!B22="","-",Preenchimento!B22)</f>
        <v>-</v>
      </c>
      <c r="C15" s="19" t="str">
        <f>IF(Preenchimento!D22="","-",Preenchimento!D22)</f>
        <v>-</v>
      </c>
      <c r="D15" s="207" t="str">
        <f>Treinamentos!H15</f>
        <v>-</v>
      </c>
      <c r="E15" s="207" t="str">
        <f>IFERROR(AVERAGE('Avaliações'!E16:N16),"Sem Nota")</f>
        <v>Sem Nota</v>
      </c>
      <c r="F15" s="207" t="str">
        <f>IFERROR(AVERAGE('Avaliações'!O16:X16),"Sem Nota")</f>
        <v>Sem Nota</v>
      </c>
      <c r="G15" s="207" t="str">
        <f>DPO!I15</f>
        <v>-</v>
      </c>
      <c r="H15" s="208" t="str">
        <f>IF(NC!M16="-","-",IF(Preenchimento!$F$7="Stand e Apresentação de Palco",(SUM(NC!F16:L16)/7),IF(Preenchimento!$F$7="Stand",(SUM(NC!I16:L16)/4),"S.N.C")))</f>
        <v>-</v>
      </c>
      <c r="I15" s="208" t="str">
        <f t="shared" si="1"/>
        <v>-</v>
      </c>
    </row>
    <row r="16">
      <c r="A16" s="204">
        <v>14.0</v>
      </c>
      <c r="B16" s="209" t="str">
        <f>IF(Preenchimento!B23="","-",Preenchimento!B23)</f>
        <v>-</v>
      </c>
      <c r="C16" s="141" t="str">
        <f>IF(Preenchimento!D23="","-",Preenchimento!D23)</f>
        <v>-</v>
      </c>
      <c r="D16" s="210" t="str">
        <f>Treinamentos!H16</f>
        <v>-</v>
      </c>
      <c r="E16" s="210" t="str">
        <f>IFERROR(AVERAGE('Avaliações'!E17:N17),"Sem Nota")</f>
        <v>Sem Nota</v>
      </c>
      <c r="F16" s="210" t="str">
        <f>IFERROR(AVERAGE('Avaliações'!O17:X17),"Sem Nota")</f>
        <v>Sem Nota</v>
      </c>
      <c r="G16" s="210" t="str">
        <f>DPO!I16</f>
        <v>-</v>
      </c>
      <c r="H16" s="211" t="str">
        <f>IF(NC!M17="-","-",IF(Preenchimento!$F$7="Stand e Apresentação de Palco",(SUM(NC!F17:L17)/7),IF(Preenchimento!$F$7="Stand",(SUM(NC!I17:L17)/4),"S.N.C")))</f>
        <v>-</v>
      </c>
      <c r="I16" s="208" t="str">
        <f t="shared" si="1"/>
        <v>-</v>
      </c>
    </row>
    <row r="17">
      <c r="A17" s="204">
        <v>15.0</v>
      </c>
      <c r="B17" s="212" t="str">
        <f>IF(Preenchimento!B24="","-",Preenchimento!B24)</f>
        <v>-</v>
      </c>
      <c r="C17" s="19" t="str">
        <f>IF(Preenchimento!D24="","-",Preenchimento!D24)</f>
        <v>-</v>
      </c>
      <c r="D17" s="207" t="str">
        <f>Treinamentos!H17</f>
        <v>-</v>
      </c>
      <c r="E17" s="207" t="str">
        <f>IFERROR(AVERAGE('Avaliações'!E18:N18),"Sem Nota")</f>
        <v>Sem Nota</v>
      </c>
      <c r="F17" s="207" t="str">
        <f>IFERROR(AVERAGE('Avaliações'!O18:X18),"Sem Nota")</f>
        <v>Sem Nota</v>
      </c>
      <c r="G17" s="207" t="str">
        <f>DPO!I17</f>
        <v>-</v>
      </c>
      <c r="H17" s="208" t="str">
        <f>IF(NC!M18="-","-",IF(Preenchimento!$F$7="Stand e Apresentação de Palco",(SUM(NC!F18:L18)/7),IF(Preenchimento!$F$7="Stand",(SUM(NC!I18:L18)/4),"S.N.C")))</f>
        <v>-</v>
      </c>
      <c r="I17" s="208" t="str">
        <f t="shared" si="1"/>
        <v>-</v>
      </c>
    </row>
    <row r="18">
      <c r="A18" s="204">
        <v>16.0</v>
      </c>
      <c r="B18" s="209" t="str">
        <f>IF(Preenchimento!B25="","-",Preenchimento!B25)</f>
        <v>-</v>
      </c>
      <c r="C18" s="141" t="str">
        <f>IF(Preenchimento!D25="","-",Preenchimento!D25)</f>
        <v>-</v>
      </c>
      <c r="D18" s="210" t="str">
        <f>Treinamentos!H18</f>
        <v>-</v>
      </c>
      <c r="E18" s="210" t="str">
        <f>IFERROR(AVERAGE('Avaliações'!E19:N19),"Sem Nota")</f>
        <v>Sem Nota</v>
      </c>
      <c r="F18" s="210" t="str">
        <f>IFERROR(AVERAGE('Avaliações'!O19:X19),"Sem Nota")</f>
        <v>Sem Nota</v>
      </c>
      <c r="G18" s="210" t="str">
        <f>DPO!I18</f>
        <v>-</v>
      </c>
      <c r="H18" s="211" t="str">
        <f>IF(NC!M19="-","-",IF(Preenchimento!$F$7="Stand e Apresentação de Palco",(SUM(NC!F19:L19)/7),IF(Preenchimento!$F$7="Stand",(SUM(NC!I19:L19)/4),"S.N.C")))</f>
        <v>-</v>
      </c>
      <c r="I18" s="208" t="str">
        <f t="shared" si="1"/>
        <v>-</v>
      </c>
    </row>
    <row r="19">
      <c r="A19" s="204">
        <v>17.0</v>
      </c>
      <c r="B19" s="212" t="str">
        <f>IF(Preenchimento!B26="","-",Preenchimento!B26)</f>
        <v>-</v>
      </c>
      <c r="C19" s="19" t="str">
        <f>IF(Preenchimento!D26="","-",Preenchimento!D26)</f>
        <v>-</v>
      </c>
      <c r="D19" s="207" t="str">
        <f>Treinamentos!H19</f>
        <v>-</v>
      </c>
      <c r="E19" s="207" t="str">
        <f>IFERROR(AVERAGE('Avaliações'!E20:N20),"Sem Nota")</f>
        <v>Sem Nota</v>
      </c>
      <c r="F19" s="207" t="str">
        <f>IFERROR(AVERAGE('Avaliações'!O20:X20),"Sem Nota")</f>
        <v>Sem Nota</v>
      </c>
      <c r="G19" s="207" t="str">
        <f>DPO!I19</f>
        <v>-</v>
      </c>
      <c r="H19" s="208" t="str">
        <f>IF(NC!M20="-","-",IF(Preenchimento!$F$7="Stand e Apresentação de Palco",(SUM(NC!F20:L20)/7),IF(Preenchimento!$F$7="Stand",(SUM(NC!I20:L20)/4),"S.N.C")))</f>
        <v>-</v>
      </c>
      <c r="I19" s="208" t="str">
        <f t="shared" si="1"/>
        <v>-</v>
      </c>
    </row>
    <row r="20">
      <c r="A20" s="204">
        <v>18.0</v>
      </c>
      <c r="B20" s="209" t="str">
        <f>IF(Preenchimento!B27="","-",Preenchimento!B27)</f>
        <v>-</v>
      </c>
      <c r="C20" s="141" t="str">
        <f>IF(Preenchimento!D27="","-",Preenchimento!D27)</f>
        <v>-</v>
      </c>
      <c r="D20" s="210" t="str">
        <f>Treinamentos!H20</f>
        <v>-</v>
      </c>
      <c r="E20" s="210" t="str">
        <f>IFERROR(AVERAGE('Avaliações'!E21:N21),"Sem Nota")</f>
        <v>Sem Nota</v>
      </c>
      <c r="F20" s="210" t="str">
        <f>IFERROR(AVERAGE('Avaliações'!O21:X21),"Sem Nota")</f>
        <v>Sem Nota</v>
      </c>
      <c r="G20" s="210" t="str">
        <f>DPO!I20</f>
        <v>-</v>
      </c>
      <c r="H20" s="211" t="str">
        <f>IF(NC!M21="-","-",IF(Preenchimento!$F$7="Stand e Apresentação de Palco",(SUM(NC!F21:L21)/7),IF(Preenchimento!$F$7="Stand",(SUM(NC!I21:L21)/4),"S.N.C")))</f>
        <v>-</v>
      </c>
      <c r="I20" s="208" t="str">
        <f t="shared" si="1"/>
        <v>-</v>
      </c>
    </row>
    <row r="21" ht="15.75" customHeight="1">
      <c r="A21" s="204">
        <v>19.0</v>
      </c>
      <c r="B21" s="212" t="str">
        <f>IF(Preenchimento!B28="","-",Preenchimento!B28)</f>
        <v>-</v>
      </c>
      <c r="C21" s="19" t="str">
        <f>IF(Preenchimento!D28="","-",Preenchimento!D28)</f>
        <v>-</v>
      </c>
      <c r="D21" s="207" t="str">
        <f>Treinamentos!H21</f>
        <v>-</v>
      </c>
      <c r="E21" s="207" t="str">
        <f>IFERROR(AVERAGE('Avaliações'!E22:N22),"Sem Nota")</f>
        <v>Sem Nota</v>
      </c>
      <c r="F21" s="207" t="str">
        <f>IFERROR(AVERAGE('Avaliações'!O22:X22),"Sem Nota")</f>
        <v>Sem Nota</v>
      </c>
      <c r="G21" s="207" t="str">
        <f>DPO!I21</f>
        <v>-</v>
      </c>
      <c r="H21" s="208" t="str">
        <f>IF(NC!M22="-","-",IF(Preenchimento!$F$7="Stand e Apresentação de Palco",(SUM(NC!F22:L22)/7),IF(Preenchimento!$F$7="Stand",(SUM(NC!I22:L22)/4),"S.N.C")))</f>
        <v>-</v>
      </c>
      <c r="I21" s="208" t="str">
        <f t="shared" si="1"/>
        <v>-</v>
      </c>
    </row>
    <row r="22" ht="15.75" customHeight="1">
      <c r="A22" s="204">
        <v>20.0</v>
      </c>
      <c r="B22" s="209" t="str">
        <f>IF(Preenchimento!B29="","-",Preenchimento!B29)</f>
        <v>-</v>
      </c>
      <c r="C22" s="141" t="str">
        <f>IF(Preenchimento!D29="","-",Preenchimento!D29)</f>
        <v>-</v>
      </c>
      <c r="D22" s="210" t="str">
        <f>Treinamentos!H22</f>
        <v>-</v>
      </c>
      <c r="E22" s="210" t="str">
        <f>IFERROR(AVERAGE('Avaliações'!E23:N23),"Sem Nota")</f>
        <v>Sem Nota</v>
      </c>
      <c r="F22" s="210" t="str">
        <f>IFERROR(AVERAGE('Avaliações'!O23:X23),"Sem Nota")</f>
        <v>Sem Nota</v>
      </c>
      <c r="G22" s="210" t="str">
        <f>DPO!I22</f>
        <v>-</v>
      </c>
      <c r="H22" s="211" t="str">
        <f>IF(NC!M23="-","-",IF(Preenchimento!$F$7="Stand e Apresentação de Palco",(SUM(NC!F23:L23)/7),IF(Preenchimento!$F$7="Stand",(SUM(NC!I23:L23)/4),"S.N.C")))</f>
        <v>-</v>
      </c>
      <c r="I22" s="208" t="str">
        <f t="shared" si="1"/>
        <v>-</v>
      </c>
    </row>
    <row r="23" ht="15.75" customHeight="1">
      <c r="A23" s="204">
        <v>21.0</v>
      </c>
      <c r="B23" s="212" t="str">
        <f>IF(Preenchimento!B30="","-",Preenchimento!B30)</f>
        <v>-</v>
      </c>
      <c r="C23" s="19" t="str">
        <f>IF(Preenchimento!D30="","-",Preenchimento!D30)</f>
        <v>-</v>
      </c>
      <c r="D23" s="207" t="str">
        <f>Treinamentos!H23</f>
        <v>-</v>
      </c>
      <c r="E23" s="207" t="str">
        <f>IFERROR(AVERAGE('Avaliações'!E24:N24),"Sem Nota")</f>
        <v>Sem Nota</v>
      </c>
      <c r="F23" s="207" t="str">
        <f>IFERROR(AVERAGE('Avaliações'!O24:X24),"Sem Nota")</f>
        <v>Sem Nota</v>
      </c>
      <c r="G23" s="207" t="str">
        <f>DPO!I23</f>
        <v>-</v>
      </c>
      <c r="H23" s="208" t="str">
        <f>IF(NC!M24="-","-",IF(Preenchimento!$F$7="Stand e Apresentação de Palco",(SUM(NC!F24:L24)/7),IF(Preenchimento!$F$7="Stand",(SUM(NC!I24:L24)/4),"S.N.C")))</f>
        <v>-</v>
      </c>
      <c r="I23" s="208" t="str">
        <f t="shared" si="1"/>
        <v>-</v>
      </c>
    </row>
    <row r="24" ht="15.75" customHeight="1">
      <c r="A24" s="204">
        <v>22.0</v>
      </c>
      <c r="B24" s="209" t="str">
        <f>IF(Preenchimento!B31="","-",Preenchimento!B31)</f>
        <v>-</v>
      </c>
      <c r="C24" s="141" t="str">
        <f>IF(Preenchimento!D31="","-",Preenchimento!D31)</f>
        <v>-</v>
      </c>
      <c r="D24" s="210" t="str">
        <f>Treinamentos!H24</f>
        <v>-</v>
      </c>
      <c r="E24" s="210" t="str">
        <f>IFERROR(AVERAGE('Avaliações'!E25:N25),"Sem Nota")</f>
        <v>Sem Nota</v>
      </c>
      <c r="F24" s="210" t="str">
        <f>IFERROR(AVERAGE('Avaliações'!O25:X25),"Sem Nota")</f>
        <v>Sem Nota</v>
      </c>
      <c r="G24" s="210" t="str">
        <f>DPO!I24</f>
        <v>-</v>
      </c>
      <c r="H24" s="211" t="str">
        <f>IF(NC!M25="-","-",IF(Preenchimento!$F$7="Stand e Apresentação de Palco",(SUM(NC!F25:L25)/7),IF(Preenchimento!$F$7="Stand",(SUM(NC!I25:L25)/4),"S.N.C")))</f>
        <v>-</v>
      </c>
      <c r="I24" s="208" t="str">
        <f t="shared" si="1"/>
        <v>-</v>
      </c>
    </row>
    <row r="25" ht="15.75" customHeight="1">
      <c r="A25" s="204">
        <v>23.0</v>
      </c>
      <c r="B25" s="212" t="str">
        <f>IF(Preenchimento!B32="","-",Preenchimento!B32)</f>
        <v>-</v>
      </c>
      <c r="C25" s="19" t="str">
        <f>IF(Preenchimento!D32="","-",Preenchimento!D32)</f>
        <v>-</v>
      </c>
      <c r="D25" s="207" t="str">
        <f>Treinamentos!H25</f>
        <v>-</v>
      </c>
      <c r="E25" s="207" t="str">
        <f>IFERROR(AVERAGE('Avaliações'!E26:N26),"Sem Nota")</f>
        <v>Sem Nota</v>
      </c>
      <c r="F25" s="207" t="str">
        <f>IFERROR(AVERAGE('Avaliações'!O26:X26),"Sem Nota")</f>
        <v>Sem Nota</v>
      </c>
      <c r="G25" s="207" t="str">
        <f>DPO!I25</f>
        <v>-</v>
      </c>
      <c r="H25" s="208" t="str">
        <f>IF(NC!M26="-","-",IF(Preenchimento!$F$7="Stand e Apresentação de Palco",(SUM(NC!F26:L26)/7),IF(Preenchimento!$F$7="Stand",(SUM(NC!I26:L26)/4),"S.N.C")))</f>
        <v>-</v>
      </c>
      <c r="I25" s="208" t="str">
        <f t="shared" si="1"/>
        <v>-</v>
      </c>
    </row>
    <row r="26" ht="15.75" customHeight="1">
      <c r="A26" s="204">
        <v>24.0</v>
      </c>
      <c r="B26" s="209" t="str">
        <f>IF(Preenchimento!B33="","-",Preenchimento!B33)</f>
        <v>-</v>
      </c>
      <c r="C26" s="141" t="str">
        <f>IF(Preenchimento!D33="","-",Preenchimento!D33)</f>
        <v>-</v>
      </c>
      <c r="D26" s="210" t="str">
        <f>Treinamentos!H26</f>
        <v>-</v>
      </c>
      <c r="E26" s="210" t="str">
        <f>IFERROR(AVERAGE('Avaliações'!E27:N27),"Sem Nota")</f>
        <v>Sem Nota</v>
      </c>
      <c r="F26" s="210" t="str">
        <f>IFERROR(AVERAGE('Avaliações'!O27:X27),"Sem Nota")</f>
        <v>Sem Nota</v>
      </c>
      <c r="G26" s="210" t="str">
        <f>DPO!I26</f>
        <v>-</v>
      </c>
      <c r="H26" s="211" t="str">
        <f>IF(NC!M27="-","-",IF(Preenchimento!$F$7="Stand e Apresentação de Palco",(SUM(NC!F27:L27)/7),IF(Preenchimento!$F$7="Stand",(SUM(NC!I27:L27)/4),"S.N.C")))</f>
        <v>-</v>
      </c>
      <c r="I26" s="208" t="str">
        <f t="shared" si="1"/>
        <v>-</v>
      </c>
    </row>
    <row r="27" ht="15.75" customHeight="1">
      <c r="A27" s="204">
        <v>25.0</v>
      </c>
      <c r="B27" s="212" t="str">
        <f>IF(Preenchimento!B34="","-",Preenchimento!B34)</f>
        <v>-</v>
      </c>
      <c r="C27" s="19" t="str">
        <f>IF(Preenchimento!D34="","-",Preenchimento!D34)</f>
        <v>-</v>
      </c>
      <c r="D27" s="207" t="str">
        <f>Treinamentos!H27</f>
        <v>-</v>
      </c>
      <c r="E27" s="207" t="str">
        <f>IFERROR(AVERAGE('Avaliações'!E28:N28),"Sem Nota")</f>
        <v>Sem Nota</v>
      </c>
      <c r="F27" s="207" t="str">
        <f>IFERROR(AVERAGE('Avaliações'!O28:X28),"Sem Nota")</f>
        <v>Sem Nota</v>
      </c>
      <c r="G27" s="207" t="str">
        <f>DPO!I27</f>
        <v>-</v>
      </c>
      <c r="H27" s="208" t="str">
        <f>IF(NC!M28="-","-",IF(Preenchimento!$F$7="Stand e Apresentação de Palco",(SUM(NC!F28:L28)/7),IF(Preenchimento!$F$7="Stand",(SUM(NC!I28:L28)/4),"S.N.C")))</f>
        <v>-</v>
      </c>
      <c r="I27" s="208" t="str">
        <f t="shared" si="1"/>
        <v>-</v>
      </c>
    </row>
    <row r="28" ht="15.75" customHeight="1">
      <c r="A28" s="204">
        <v>26.0</v>
      </c>
      <c r="B28" s="209" t="str">
        <f>IF(Preenchimento!B35="","-",Preenchimento!B35)</f>
        <v>-</v>
      </c>
      <c r="C28" s="141" t="str">
        <f>IF(Preenchimento!D35="","-",Preenchimento!D35)</f>
        <v>-</v>
      </c>
      <c r="D28" s="210" t="str">
        <f>Treinamentos!H28</f>
        <v>-</v>
      </c>
      <c r="E28" s="210" t="str">
        <f>IFERROR(AVERAGE('Avaliações'!E29:N29),"Sem Nota")</f>
        <v>Sem Nota</v>
      </c>
      <c r="F28" s="210" t="str">
        <f>IFERROR(AVERAGE('Avaliações'!O29:X29),"Sem Nota")</f>
        <v>Sem Nota</v>
      </c>
      <c r="G28" s="210" t="str">
        <f>DPO!I28</f>
        <v>-</v>
      </c>
      <c r="H28" s="211" t="str">
        <f>IF(NC!M29="-","-",IF(Preenchimento!$F$7="Stand e Apresentação de Palco",(SUM(NC!F29:L29)/7),IF(Preenchimento!$F$7="Stand",(SUM(NC!I29:L29)/4),"S.N.C")))</f>
        <v>-</v>
      </c>
      <c r="I28" s="208" t="str">
        <f t="shared" si="1"/>
        <v>-</v>
      </c>
    </row>
    <row r="29" ht="15.75" customHeight="1">
      <c r="A29" s="204">
        <v>27.0</v>
      </c>
      <c r="B29" s="212" t="str">
        <f>IF(Preenchimento!B36="","-",Preenchimento!B36)</f>
        <v>-</v>
      </c>
      <c r="C29" s="19" t="str">
        <f>IF(Preenchimento!D36="","-",Preenchimento!D36)</f>
        <v>-</v>
      </c>
      <c r="D29" s="207" t="str">
        <f>Treinamentos!H29</f>
        <v>-</v>
      </c>
      <c r="E29" s="207" t="str">
        <f>IFERROR(AVERAGE('Avaliações'!E30:N30),"Sem Nota")</f>
        <v>Sem Nota</v>
      </c>
      <c r="F29" s="207" t="str">
        <f>IFERROR(AVERAGE('Avaliações'!O30:X30),"Sem Nota")</f>
        <v>Sem Nota</v>
      </c>
      <c r="G29" s="207" t="str">
        <f>DPO!I29</f>
        <v>-</v>
      </c>
      <c r="H29" s="208" t="str">
        <f>IF(NC!M30="-","-",IF(Preenchimento!$F$7="Stand e Apresentação de Palco",(SUM(NC!F30:L30)/7),IF(Preenchimento!$F$7="Stand",(SUM(NC!I30:L30)/4),"S.N.C")))</f>
        <v>-</v>
      </c>
      <c r="I29" s="208" t="str">
        <f t="shared" si="1"/>
        <v>-</v>
      </c>
    </row>
    <row r="30" ht="15.75" customHeight="1">
      <c r="A30" s="204">
        <v>28.0</v>
      </c>
      <c r="B30" s="209" t="str">
        <f>IF(Preenchimento!B37="","-",Preenchimento!B37)</f>
        <v>-</v>
      </c>
      <c r="C30" s="141" t="str">
        <f>IF(Preenchimento!D37="","-",Preenchimento!D37)</f>
        <v>-</v>
      </c>
      <c r="D30" s="210" t="str">
        <f>Treinamentos!H30</f>
        <v>-</v>
      </c>
      <c r="E30" s="210" t="str">
        <f>IFERROR(AVERAGE('Avaliações'!E31:N31),"Sem Nota")</f>
        <v>Sem Nota</v>
      </c>
      <c r="F30" s="210" t="str">
        <f>IFERROR(AVERAGE('Avaliações'!O31:X31),"Sem Nota")</f>
        <v>Sem Nota</v>
      </c>
      <c r="G30" s="210" t="str">
        <f>DPO!I30</f>
        <v>-</v>
      </c>
      <c r="H30" s="211" t="str">
        <f>IF(NC!M31="-","-",IF(Preenchimento!$F$7="Stand e Apresentação de Palco",(SUM(NC!F31:L31)/7),IF(Preenchimento!$F$7="Stand",(SUM(NC!I31:L31)/4),"S.N.C")))</f>
        <v>-</v>
      </c>
      <c r="I30" s="208" t="str">
        <f t="shared" si="1"/>
        <v>-</v>
      </c>
    </row>
    <row r="31" ht="15.75" customHeight="1">
      <c r="A31" s="204">
        <v>29.0</v>
      </c>
      <c r="B31" s="212" t="str">
        <f>IF(Preenchimento!B38="","-",Preenchimento!B38)</f>
        <v>-</v>
      </c>
      <c r="C31" s="19" t="str">
        <f>IF(Preenchimento!D38="","-",Preenchimento!D38)</f>
        <v>-</v>
      </c>
      <c r="D31" s="207" t="str">
        <f>Treinamentos!H31</f>
        <v>-</v>
      </c>
      <c r="E31" s="207" t="str">
        <f>IFERROR(AVERAGE('Avaliações'!E32:N32),"Sem Nota")</f>
        <v>Sem Nota</v>
      </c>
      <c r="F31" s="207" t="str">
        <f>IFERROR(AVERAGE('Avaliações'!O32:X32),"Sem Nota")</f>
        <v>Sem Nota</v>
      </c>
      <c r="G31" s="207" t="str">
        <f>DPO!I31</f>
        <v>-</v>
      </c>
      <c r="H31" s="208" t="str">
        <f>IF(NC!M32="-","-",IF(Preenchimento!$F$7="Stand e Apresentação de Palco",(SUM(NC!F32:L32)/7),IF(Preenchimento!$F$7="Stand",(SUM(NC!I32:L32)/4),"S.N.C")))</f>
        <v>-</v>
      </c>
      <c r="I31" s="208" t="str">
        <f t="shared" si="1"/>
        <v>-</v>
      </c>
    </row>
    <row r="32" ht="15.75" customHeight="1">
      <c r="A32" s="204">
        <v>30.0</v>
      </c>
      <c r="B32" s="209" t="str">
        <f>IF(Preenchimento!B39="","-",Preenchimento!B39)</f>
        <v>-</v>
      </c>
      <c r="C32" s="141" t="str">
        <f>IF(Preenchimento!D39="","-",Preenchimento!D39)</f>
        <v>-</v>
      </c>
      <c r="D32" s="210" t="str">
        <f>Treinamentos!H32</f>
        <v>-</v>
      </c>
      <c r="E32" s="210" t="str">
        <f>IFERROR(AVERAGE('Avaliações'!E33:N33),"Sem Nota")</f>
        <v>Sem Nota</v>
      </c>
      <c r="F32" s="210" t="str">
        <f>IFERROR(AVERAGE('Avaliações'!O33:X33),"Sem Nota")</f>
        <v>Sem Nota</v>
      </c>
      <c r="G32" s="210" t="str">
        <f>DPO!I32</f>
        <v>-</v>
      </c>
      <c r="H32" s="211" t="str">
        <f>IF(NC!M33="-","-",IF(Preenchimento!$F$7="Stand e Apresentação de Palco",(SUM(NC!F33:L33)/7),IF(Preenchimento!$F$7="Stand",(SUM(NC!I33:L33)/4),"S.N.C")))</f>
        <v>-</v>
      </c>
      <c r="I32" s="208" t="str">
        <f t="shared" si="1"/>
        <v>-</v>
      </c>
    </row>
    <row r="33" ht="15.75" customHeight="1">
      <c r="A33" s="204">
        <v>31.0</v>
      </c>
      <c r="B33" s="212" t="str">
        <f>IF(Preenchimento!B40="","-",Preenchimento!B40)</f>
        <v>-</v>
      </c>
      <c r="C33" s="19" t="str">
        <f>IF(Preenchimento!D40="","-",Preenchimento!D40)</f>
        <v>-</v>
      </c>
      <c r="D33" s="207" t="str">
        <f>Treinamentos!H33</f>
        <v>-</v>
      </c>
      <c r="E33" s="207" t="str">
        <f>IFERROR(AVERAGE('Avaliações'!E34:N34),"Sem Nota")</f>
        <v>Sem Nota</v>
      </c>
      <c r="F33" s="207" t="str">
        <f>IFERROR(AVERAGE('Avaliações'!O34:X34),"Sem Nota")</f>
        <v>Sem Nota</v>
      </c>
      <c r="G33" s="207" t="str">
        <f>DPO!I33</f>
        <v>-</v>
      </c>
      <c r="H33" s="208" t="str">
        <f>IF(NC!M34="-","-",IF(Preenchimento!$F$7="Stand e Apresentação de Palco",(SUM(NC!F34:L34)/7),IF(Preenchimento!$F$7="Stand",(SUM(NC!I34:L34)/4),"S.N.C")))</f>
        <v>-</v>
      </c>
      <c r="I33" s="208" t="str">
        <f t="shared" si="1"/>
        <v>-</v>
      </c>
    </row>
    <row r="34" ht="15.75" customHeight="1">
      <c r="A34" s="204">
        <v>32.0</v>
      </c>
      <c r="B34" s="209" t="str">
        <f>IF(Preenchimento!B41="","-",Preenchimento!B41)</f>
        <v>-</v>
      </c>
      <c r="C34" s="141" t="str">
        <f>IF(Preenchimento!D41="","-",Preenchimento!D41)</f>
        <v>-</v>
      </c>
      <c r="D34" s="210" t="str">
        <f>Treinamentos!H34</f>
        <v>-</v>
      </c>
      <c r="E34" s="210" t="str">
        <f>IFERROR(AVERAGE('Avaliações'!E35:N35),"Sem Nota")</f>
        <v>Sem Nota</v>
      </c>
      <c r="F34" s="210" t="str">
        <f>IFERROR(AVERAGE('Avaliações'!O35:X35),"Sem Nota")</f>
        <v>Sem Nota</v>
      </c>
      <c r="G34" s="210" t="str">
        <f>DPO!I34</f>
        <v>-</v>
      </c>
      <c r="H34" s="211" t="str">
        <f>IF(NC!M35="-","-",IF(Preenchimento!$F$7="Stand e Apresentação de Palco",(SUM(NC!F35:L35)/7),IF(Preenchimento!$F$7="Stand",(SUM(NC!I35:L35)/4),"S.N.C")))</f>
        <v>-</v>
      </c>
      <c r="I34" s="208" t="str">
        <f t="shared" si="1"/>
        <v>-</v>
      </c>
    </row>
    <row r="35" ht="15.75" customHeight="1">
      <c r="A35" s="204">
        <v>33.0</v>
      </c>
      <c r="B35" s="212" t="str">
        <f>IF(Preenchimento!B42="","-",Preenchimento!B42)</f>
        <v>-</v>
      </c>
      <c r="C35" s="19" t="str">
        <f>IF(Preenchimento!D42="","-",Preenchimento!D42)</f>
        <v>-</v>
      </c>
      <c r="D35" s="207" t="str">
        <f>Treinamentos!H35</f>
        <v>-</v>
      </c>
      <c r="E35" s="207" t="str">
        <f>IFERROR(AVERAGE('Avaliações'!E36:N36),"Sem Nota")</f>
        <v>Sem Nota</v>
      </c>
      <c r="F35" s="207" t="str">
        <f>IFERROR(AVERAGE('Avaliações'!O36:X36),"Sem Nota")</f>
        <v>Sem Nota</v>
      </c>
      <c r="G35" s="207" t="str">
        <f>DPO!I35</f>
        <v>-</v>
      </c>
      <c r="H35" s="208" t="str">
        <f>IF(NC!M36="-","-",IF(Preenchimento!$F$7="Stand e Apresentação de Palco",(SUM(NC!F36:L36)/7),IF(Preenchimento!$F$7="Stand",(SUM(NC!I36:L36)/4),"S.N.C")))</f>
        <v>-</v>
      </c>
      <c r="I35" s="208" t="str">
        <f t="shared" si="1"/>
        <v>-</v>
      </c>
    </row>
    <row r="36" ht="15.75" customHeight="1">
      <c r="A36" s="204">
        <v>34.0</v>
      </c>
      <c r="B36" s="209" t="str">
        <f>IF(Preenchimento!B43="","-",Preenchimento!B43)</f>
        <v>-</v>
      </c>
      <c r="C36" s="141" t="str">
        <f>IF(Preenchimento!D43="","-",Preenchimento!D43)</f>
        <v>-</v>
      </c>
      <c r="D36" s="210" t="str">
        <f>Treinamentos!H36</f>
        <v>-</v>
      </c>
      <c r="E36" s="210" t="str">
        <f>IFERROR(AVERAGE('Avaliações'!E37:N37),"Sem Nota")</f>
        <v>Sem Nota</v>
      </c>
      <c r="F36" s="210" t="str">
        <f>IFERROR(AVERAGE('Avaliações'!O37:X37),"Sem Nota")</f>
        <v>Sem Nota</v>
      </c>
      <c r="G36" s="210" t="str">
        <f>DPO!I36</f>
        <v>-</v>
      </c>
      <c r="H36" s="211" t="str">
        <f>IF(NC!M37="-","-",IF(Preenchimento!$F$7="Stand e Apresentação de Palco",(SUM(NC!F37:L37)/7),IF(Preenchimento!$F$7="Stand",(SUM(NC!I37:L37)/4),"S.N.C")))</f>
        <v>-</v>
      </c>
      <c r="I36" s="208" t="str">
        <f t="shared" si="1"/>
        <v>-</v>
      </c>
    </row>
    <row r="37" ht="15.75" customHeight="1">
      <c r="A37" s="204">
        <v>35.0</v>
      </c>
      <c r="B37" s="212" t="str">
        <f>IF(Preenchimento!B44="","-",Preenchimento!B44)</f>
        <v>-</v>
      </c>
      <c r="C37" s="19" t="str">
        <f>IF(Preenchimento!D44="","-",Preenchimento!D44)</f>
        <v>-</v>
      </c>
      <c r="D37" s="207" t="str">
        <f>Treinamentos!H37</f>
        <v>-</v>
      </c>
      <c r="E37" s="207" t="str">
        <f>IFERROR(AVERAGE('Avaliações'!E38:N38),"Sem Nota")</f>
        <v>Sem Nota</v>
      </c>
      <c r="F37" s="207" t="str">
        <f>IFERROR(AVERAGE('Avaliações'!O38:X38),"Sem Nota")</f>
        <v>Sem Nota</v>
      </c>
      <c r="G37" s="207" t="str">
        <f>DPO!I37</f>
        <v>-</v>
      </c>
      <c r="H37" s="208" t="str">
        <f>IF(NC!M38="-","-",IF(Preenchimento!$F$7="Stand e Apresentação de Palco",(SUM(NC!F38:L38)/7),IF(Preenchimento!$F$7="Stand",(SUM(NC!I38:L38)/4),"S.N.C")))</f>
        <v>-</v>
      </c>
      <c r="I37" s="208" t="str">
        <f t="shared" si="1"/>
        <v>-</v>
      </c>
    </row>
    <row r="38" ht="15.75" customHeight="1">
      <c r="A38" s="204">
        <v>36.0</v>
      </c>
      <c r="B38" s="209" t="str">
        <f>IF(Preenchimento!B45="","-",Preenchimento!B45)</f>
        <v>-</v>
      </c>
      <c r="C38" s="141" t="str">
        <f>IF(Preenchimento!D45="","-",Preenchimento!D45)</f>
        <v>-</v>
      </c>
      <c r="D38" s="210" t="str">
        <f>Treinamentos!H38</f>
        <v>-</v>
      </c>
      <c r="E38" s="210" t="str">
        <f>IFERROR(AVERAGE('Avaliações'!E39:N39),"Sem Nota")</f>
        <v>Sem Nota</v>
      </c>
      <c r="F38" s="210" t="str">
        <f>IFERROR(AVERAGE('Avaliações'!O39:X39),"Sem Nota")</f>
        <v>Sem Nota</v>
      </c>
      <c r="G38" s="210" t="str">
        <f>DPO!I38</f>
        <v>-</v>
      </c>
      <c r="H38" s="211" t="str">
        <f>IF(NC!M39="-","-",IF(Preenchimento!$F$7="Stand e Apresentação de Palco",(SUM(NC!F39:L39)/7),IF(Preenchimento!$F$7="Stand",(SUM(NC!I39:L39)/4),"S.N.C")))</f>
        <v>-</v>
      </c>
      <c r="I38" s="208" t="str">
        <f t="shared" si="1"/>
        <v>-</v>
      </c>
    </row>
    <row r="39" ht="15.75" customHeight="1">
      <c r="A39" s="204">
        <v>37.0</v>
      </c>
      <c r="B39" s="212" t="str">
        <f>IF(Preenchimento!B46="","-",Preenchimento!B46)</f>
        <v>-</v>
      </c>
      <c r="C39" s="19" t="str">
        <f>IF(Preenchimento!D46="","-",Preenchimento!D46)</f>
        <v>-</v>
      </c>
      <c r="D39" s="207" t="str">
        <f>Treinamentos!H39</f>
        <v>-</v>
      </c>
      <c r="E39" s="207" t="str">
        <f>IFERROR(AVERAGE('Avaliações'!E40:N40),"Sem Nota")</f>
        <v>Sem Nota</v>
      </c>
      <c r="F39" s="207" t="str">
        <f>IFERROR(AVERAGE('Avaliações'!O40:X40),"Sem Nota")</f>
        <v>Sem Nota</v>
      </c>
      <c r="G39" s="207" t="str">
        <f>DPO!I39</f>
        <v>-</v>
      </c>
      <c r="H39" s="208" t="str">
        <f>IF(NC!M40="-","-",IF(Preenchimento!$F$7="Stand e Apresentação de Palco",(SUM(NC!F40:L40)/7),IF(Preenchimento!$F$7="Stand",(SUM(NC!I40:L40)/4),"S.N.C")))</f>
        <v>-</v>
      </c>
      <c r="I39" s="208" t="str">
        <f t="shared" si="1"/>
        <v>-</v>
      </c>
    </row>
    <row r="40" ht="15.75" customHeight="1">
      <c r="A40" s="204">
        <v>38.0</v>
      </c>
      <c r="B40" s="209" t="str">
        <f>IF(Preenchimento!B47="","-",Preenchimento!B47)</f>
        <v>-</v>
      </c>
      <c r="C40" s="141" t="str">
        <f>IF(Preenchimento!D47="","-",Preenchimento!D47)</f>
        <v>-</v>
      </c>
      <c r="D40" s="210" t="str">
        <f>Treinamentos!H40</f>
        <v>-</v>
      </c>
      <c r="E40" s="210" t="str">
        <f>IFERROR(AVERAGE('Avaliações'!E41:N41),"Sem Nota")</f>
        <v>Sem Nota</v>
      </c>
      <c r="F40" s="210" t="str">
        <f>IFERROR(AVERAGE('Avaliações'!O41:X41),"Sem Nota")</f>
        <v>Sem Nota</v>
      </c>
      <c r="G40" s="210" t="str">
        <f>DPO!I40</f>
        <v>-</v>
      </c>
      <c r="H40" s="211" t="str">
        <f>IF(NC!M41="-","-",IF(Preenchimento!$F$7="Stand e Apresentação de Palco",(SUM(NC!F41:L41)/7),IF(Preenchimento!$F$7="Stand",(SUM(NC!I41:L41)/4),"S.N.C")))</f>
        <v>-</v>
      </c>
      <c r="I40" s="208" t="str">
        <f t="shared" si="1"/>
        <v>-</v>
      </c>
    </row>
    <row r="41" ht="15.75" customHeight="1">
      <c r="A41" s="204">
        <v>39.0</v>
      </c>
      <c r="B41" s="212" t="str">
        <f>IF(Preenchimento!B48="","-",Preenchimento!B48)</f>
        <v>-</v>
      </c>
      <c r="C41" s="19" t="str">
        <f>IF(Preenchimento!D48="","-",Preenchimento!D48)</f>
        <v>-</v>
      </c>
      <c r="D41" s="207" t="str">
        <f>Treinamentos!H41</f>
        <v>-</v>
      </c>
      <c r="E41" s="207" t="str">
        <f>IFERROR(AVERAGE('Avaliações'!E42:N42),"Sem Nota")</f>
        <v>Sem Nota</v>
      </c>
      <c r="F41" s="207" t="str">
        <f>IFERROR(AVERAGE('Avaliações'!O42:X42),"Sem Nota")</f>
        <v>Sem Nota</v>
      </c>
      <c r="G41" s="207" t="str">
        <f>DPO!I41</f>
        <v>-</v>
      </c>
      <c r="H41" s="208" t="str">
        <f>IF(NC!M42="-","-",IF(Preenchimento!$F$7="Stand e Apresentação de Palco",(SUM(NC!F42:L42)/7),IF(Preenchimento!$F$7="Stand",(SUM(NC!I42:L42)/4),"S.N.C")))</f>
        <v>-</v>
      </c>
      <c r="I41" s="208" t="str">
        <f t="shared" si="1"/>
        <v>-</v>
      </c>
    </row>
    <row r="42" ht="15.75" customHeight="1">
      <c r="A42" s="204">
        <v>40.0</v>
      </c>
      <c r="B42" s="209" t="str">
        <f>IF(Preenchimento!B49="","-",Preenchimento!B49)</f>
        <v>-</v>
      </c>
      <c r="C42" s="141" t="str">
        <f>IF(Preenchimento!D49="","-",Preenchimento!D49)</f>
        <v>-</v>
      </c>
      <c r="D42" s="210" t="str">
        <f>Treinamentos!H42</f>
        <v>-</v>
      </c>
      <c r="E42" s="210" t="str">
        <f>IFERROR(AVERAGE('Avaliações'!E43:N43),"Sem Nota")</f>
        <v>Sem Nota</v>
      </c>
      <c r="F42" s="210" t="str">
        <f>IFERROR(AVERAGE('Avaliações'!O43:X43),"Sem Nota")</f>
        <v>Sem Nota</v>
      </c>
      <c r="G42" s="210" t="str">
        <f>DPO!I42</f>
        <v>-</v>
      </c>
      <c r="H42" s="211" t="str">
        <f>IF(NC!M43="-","-",IF(Preenchimento!$F$7="Stand e Apresentação de Palco",(SUM(NC!F43:L43)/7),IF(Preenchimento!$F$7="Stand",(SUM(NC!I43:L43)/4),"S.N.C")))</f>
        <v>-</v>
      </c>
      <c r="I42" s="208" t="str">
        <f t="shared" si="1"/>
        <v>-</v>
      </c>
    </row>
    <row r="43" ht="15.75" customHeight="1">
      <c r="A43" s="204">
        <v>41.0</v>
      </c>
      <c r="B43" s="212" t="str">
        <f>IF(Preenchimento!B50="","-",Preenchimento!B50)</f>
        <v>-</v>
      </c>
      <c r="C43" s="19" t="str">
        <f>IF(Preenchimento!D50="","-",Preenchimento!D50)</f>
        <v>-</v>
      </c>
      <c r="D43" s="207" t="str">
        <f>Treinamentos!H43</f>
        <v>-</v>
      </c>
      <c r="E43" s="207" t="str">
        <f>IFERROR(AVERAGE('Avaliações'!E44:N44),"Sem Nota")</f>
        <v>Sem Nota</v>
      </c>
      <c r="F43" s="207" t="str">
        <f>IFERROR(AVERAGE('Avaliações'!O44:X44),"Sem Nota")</f>
        <v>Sem Nota</v>
      </c>
      <c r="G43" s="207" t="str">
        <f>DPO!I43</f>
        <v>-</v>
      </c>
      <c r="H43" s="208" t="str">
        <f>IF(NC!M44="-","-",IF(Preenchimento!$F$7="Stand e Apresentação de Palco",(SUM(NC!F44:L44)/7),IF(Preenchimento!$F$7="Stand",(SUM(NC!I44:L44)/4),"S.N.C")))</f>
        <v>-</v>
      </c>
      <c r="I43" s="208" t="str">
        <f t="shared" si="1"/>
        <v>-</v>
      </c>
    </row>
    <row r="44" ht="15.75" customHeight="1">
      <c r="A44" s="204">
        <v>42.0</v>
      </c>
      <c r="B44" s="209" t="str">
        <f>IF(Preenchimento!B51="","-",Preenchimento!B51)</f>
        <v>-</v>
      </c>
      <c r="C44" s="141" t="str">
        <f>IF(Preenchimento!D51="","-",Preenchimento!D51)</f>
        <v>-</v>
      </c>
      <c r="D44" s="210" t="str">
        <f>Treinamentos!H44</f>
        <v>-</v>
      </c>
      <c r="E44" s="210" t="str">
        <f>IFERROR(AVERAGE('Avaliações'!E45:N45),"Sem Nota")</f>
        <v>Sem Nota</v>
      </c>
      <c r="F44" s="210" t="str">
        <f>IFERROR(AVERAGE('Avaliações'!O45:X45),"Sem Nota")</f>
        <v>Sem Nota</v>
      </c>
      <c r="G44" s="210" t="str">
        <f>DPO!I44</f>
        <v>-</v>
      </c>
      <c r="H44" s="211" t="str">
        <f>IF(NC!M45="-","-",IF(Preenchimento!$F$7="Stand e Apresentação de Palco",(SUM(NC!F45:L45)/7),IF(Preenchimento!$F$7="Stand",(SUM(NC!I45:L45)/4),"S.N.C")))</f>
        <v>-</v>
      </c>
      <c r="I44" s="208" t="str">
        <f t="shared" si="1"/>
        <v>-</v>
      </c>
    </row>
    <row r="45" ht="15.75" customHeight="1">
      <c r="A45" s="204">
        <v>43.0</v>
      </c>
      <c r="B45" s="212" t="str">
        <f>IF(Preenchimento!B52="","-",Preenchimento!B52)</f>
        <v>-</v>
      </c>
      <c r="C45" s="19" t="str">
        <f>IF(Preenchimento!D52="","-",Preenchimento!D52)</f>
        <v>-</v>
      </c>
      <c r="D45" s="207" t="str">
        <f>Treinamentos!H45</f>
        <v>-</v>
      </c>
      <c r="E45" s="207" t="str">
        <f>IFERROR(AVERAGE('Avaliações'!E46:N46),"Sem Nota")</f>
        <v>Sem Nota</v>
      </c>
      <c r="F45" s="207" t="str">
        <f>IFERROR(AVERAGE('Avaliações'!O46:X46),"Sem Nota")</f>
        <v>Sem Nota</v>
      </c>
      <c r="G45" s="207" t="str">
        <f>DPO!I45</f>
        <v>-</v>
      </c>
      <c r="H45" s="208" t="str">
        <f>IF(NC!M46="-","-",IF(Preenchimento!$F$7="Stand e Apresentação de Palco",(SUM(NC!F46:L46)/7),IF(Preenchimento!$F$7="Stand",(SUM(NC!I46:L46)/4),"S.N.C")))</f>
        <v>-</v>
      </c>
      <c r="I45" s="208" t="str">
        <f t="shared" si="1"/>
        <v>-</v>
      </c>
    </row>
    <row r="46" ht="15.75" customHeight="1">
      <c r="A46" s="204">
        <v>44.0</v>
      </c>
      <c r="B46" s="209" t="str">
        <f>IF(Preenchimento!B53="","-",Preenchimento!B53)</f>
        <v>-</v>
      </c>
      <c r="C46" s="141" t="str">
        <f>IF(Preenchimento!D53="","-",Preenchimento!D53)</f>
        <v>-</v>
      </c>
      <c r="D46" s="210" t="str">
        <f>Treinamentos!H46</f>
        <v>-</v>
      </c>
      <c r="E46" s="210" t="str">
        <f>IFERROR(AVERAGE('Avaliações'!E47:N47),"Sem Nota")</f>
        <v>Sem Nota</v>
      </c>
      <c r="F46" s="210" t="str">
        <f>IFERROR(AVERAGE('Avaliações'!O47:X47),"Sem Nota")</f>
        <v>Sem Nota</v>
      </c>
      <c r="G46" s="210" t="str">
        <f>DPO!I46</f>
        <v>-</v>
      </c>
      <c r="H46" s="211" t="str">
        <f>IF(NC!M47="-","-",IF(Preenchimento!$F$7="Stand e Apresentação de Palco",(SUM(NC!F47:L47)/7),IF(Preenchimento!$F$7="Stand",(SUM(NC!I47:L47)/4),"S.N.C")))</f>
        <v>-</v>
      </c>
      <c r="I46" s="208" t="str">
        <f t="shared" si="1"/>
        <v>-</v>
      </c>
    </row>
    <row r="47" ht="15.75" customHeight="1">
      <c r="A47" s="204">
        <v>45.0</v>
      </c>
      <c r="B47" s="212" t="str">
        <f>IF(Preenchimento!B54="","-",Preenchimento!B54)</f>
        <v>-</v>
      </c>
      <c r="C47" s="19" t="str">
        <f>IF(Preenchimento!D54="","-",Preenchimento!D54)</f>
        <v>-</v>
      </c>
      <c r="D47" s="207" t="str">
        <f>Treinamentos!H47</f>
        <v>-</v>
      </c>
      <c r="E47" s="207" t="str">
        <f>IFERROR(AVERAGE('Avaliações'!E48:N48),"Sem Nota")</f>
        <v>Sem Nota</v>
      </c>
      <c r="F47" s="207" t="str">
        <f>IFERROR(AVERAGE('Avaliações'!O48:X48),"Sem Nota")</f>
        <v>Sem Nota</v>
      </c>
      <c r="G47" s="207" t="str">
        <f>DPO!I47</f>
        <v>-</v>
      </c>
      <c r="H47" s="208" t="str">
        <f>IF(NC!M48="-","-",IF(Preenchimento!$F$7="Stand e Apresentação de Palco",(SUM(NC!F48:L48)/7),IF(Preenchimento!$F$7="Stand",(SUM(NC!I48:L48)/4),"S.N.C")))</f>
        <v>-</v>
      </c>
      <c r="I47" s="208" t="str">
        <f t="shared" si="1"/>
        <v>-</v>
      </c>
    </row>
    <row r="48" ht="15.75" customHeight="1">
      <c r="A48" s="204">
        <v>46.0</v>
      </c>
      <c r="B48" s="209" t="str">
        <f>IF(Preenchimento!B55="","-",Preenchimento!B55)</f>
        <v>-</v>
      </c>
      <c r="C48" s="141" t="str">
        <f>IF(Preenchimento!D55="","-",Preenchimento!D55)</f>
        <v>-</v>
      </c>
      <c r="D48" s="210" t="str">
        <f>Treinamentos!H48</f>
        <v>-</v>
      </c>
      <c r="E48" s="210" t="str">
        <f>IFERROR(AVERAGE('Avaliações'!E49:N49),"Sem Nota")</f>
        <v>Sem Nota</v>
      </c>
      <c r="F48" s="210" t="str">
        <f>IFERROR(AVERAGE('Avaliações'!O49:X49),"Sem Nota")</f>
        <v>Sem Nota</v>
      </c>
      <c r="G48" s="210" t="str">
        <f>DPO!I48</f>
        <v>-</v>
      </c>
      <c r="H48" s="211" t="str">
        <f>IF(NC!M49="-","-",IF(Preenchimento!$F$7="Stand e Apresentação de Palco",(SUM(NC!F49:L49)/7),IF(Preenchimento!$F$7="Stand",(SUM(NC!I49:L49)/4),"S.N.C")))</f>
        <v>-</v>
      </c>
      <c r="I48" s="208" t="str">
        <f t="shared" si="1"/>
        <v>-</v>
      </c>
    </row>
    <row r="49" ht="15.75" customHeight="1">
      <c r="A49" s="204">
        <v>47.0</v>
      </c>
      <c r="B49" s="212" t="str">
        <f>IF(Preenchimento!B56="","-",Preenchimento!B56)</f>
        <v>-</v>
      </c>
      <c r="C49" s="19" t="str">
        <f>IF(Preenchimento!D56="","-",Preenchimento!D56)</f>
        <v>-</v>
      </c>
      <c r="D49" s="207" t="str">
        <f>Treinamentos!H49</f>
        <v>-</v>
      </c>
      <c r="E49" s="207" t="str">
        <f>IFERROR(AVERAGE('Avaliações'!E50:N50),"Sem Nota")</f>
        <v>Sem Nota</v>
      </c>
      <c r="F49" s="207" t="str">
        <f>IFERROR(AVERAGE('Avaliações'!O50:X50),"Sem Nota")</f>
        <v>Sem Nota</v>
      </c>
      <c r="G49" s="207" t="str">
        <f>DPO!I49</f>
        <v>-</v>
      </c>
      <c r="H49" s="208" t="str">
        <f>IF(NC!M50="-","-",IF(Preenchimento!$F$7="Stand e Apresentação de Palco",(SUM(NC!F50:L50)/7),IF(Preenchimento!$F$7="Stand",(SUM(NC!I50:L50)/4),"S.N.C")))</f>
        <v>-</v>
      </c>
      <c r="I49" s="208" t="str">
        <f t="shared" si="1"/>
        <v>-</v>
      </c>
    </row>
    <row r="50" ht="15.75" customHeight="1">
      <c r="A50" s="204">
        <v>48.0</v>
      </c>
      <c r="B50" s="209" t="str">
        <f>IF(Preenchimento!B57="","-",Preenchimento!B57)</f>
        <v>-</v>
      </c>
      <c r="C50" s="141" t="str">
        <f>IF(Preenchimento!D57="","-",Preenchimento!D57)</f>
        <v>-</v>
      </c>
      <c r="D50" s="210" t="str">
        <f>Treinamentos!H50</f>
        <v>-</v>
      </c>
      <c r="E50" s="210" t="str">
        <f>IFERROR(AVERAGE('Avaliações'!E51:N51),"Sem Nota")</f>
        <v>Sem Nota</v>
      </c>
      <c r="F50" s="210" t="str">
        <f>IFERROR(AVERAGE('Avaliações'!O51:X51),"Sem Nota")</f>
        <v>Sem Nota</v>
      </c>
      <c r="G50" s="210" t="str">
        <f>DPO!I50</f>
        <v>-</v>
      </c>
      <c r="H50" s="211" t="str">
        <f>IF(NC!M51="-","-",IF(Preenchimento!$F$7="Stand e Apresentação de Palco",(SUM(NC!F51:L51)/7),IF(Preenchimento!$F$7="Stand",(SUM(NC!I51:L51)/4),"S.N.C")))</f>
        <v>-</v>
      </c>
      <c r="I50" s="208" t="str">
        <f t="shared" si="1"/>
        <v>-</v>
      </c>
    </row>
    <row r="51" ht="15.75" customHeight="1">
      <c r="A51" s="204">
        <v>49.0</v>
      </c>
      <c r="B51" s="212" t="str">
        <f>IF(Preenchimento!B58="","-",Preenchimento!B58)</f>
        <v>-</v>
      </c>
      <c r="C51" s="19" t="str">
        <f>IF(Preenchimento!D58="","-",Preenchimento!D58)</f>
        <v>-</v>
      </c>
      <c r="D51" s="207" t="str">
        <f>Treinamentos!H51</f>
        <v>-</v>
      </c>
      <c r="E51" s="207" t="str">
        <f>IFERROR(AVERAGE('Avaliações'!E52:N52),"Sem Nota")</f>
        <v>Sem Nota</v>
      </c>
      <c r="F51" s="207" t="str">
        <f>IFERROR(AVERAGE('Avaliações'!O52:X52),"Sem Nota")</f>
        <v>Sem Nota</v>
      </c>
      <c r="G51" s="207" t="str">
        <f>DPO!I51</f>
        <v>-</v>
      </c>
      <c r="H51" s="208" t="str">
        <f>IF(NC!M52="-","-",IF(Preenchimento!$F$7="Stand e Apresentação de Palco",(SUM(NC!F52:L52)/7),IF(Preenchimento!$F$7="Stand",(SUM(NC!I52:L52)/4),"S.N.C")))</f>
        <v>-</v>
      </c>
      <c r="I51" s="208" t="str">
        <f t="shared" si="1"/>
        <v>-</v>
      </c>
    </row>
    <row r="52" ht="15.75" customHeight="1">
      <c r="A52" s="204">
        <v>50.0</v>
      </c>
      <c r="B52" s="213" t="str">
        <f>IF(Preenchimento!B59="","-",Preenchimento!B59)</f>
        <v>-</v>
      </c>
      <c r="C52" s="214" t="str">
        <f>IF(Preenchimento!D59="","-",Preenchimento!D59)</f>
        <v>-</v>
      </c>
      <c r="D52" s="210" t="str">
        <f>Treinamentos!H52</f>
        <v>-</v>
      </c>
      <c r="E52" s="210" t="str">
        <f>IFERROR(AVERAGE('Avaliações'!E53:N53),"Sem Nota")</f>
        <v>Sem Nota</v>
      </c>
      <c r="F52" s="210" t="str">
        <f>IFERROR(AVERAGE('Avaliações'!O53:X53),"Sem Nota")</f>
        <v>Sem Nota</v>
      </c>
      <c r="G52" s="210" t="str">
        <f>DPO!I52</f>
        <v>-</v>
      </c>
      <c r="H52" s="211" t="str">
        <f>IF(NC!M53="-","-",IF(Preenchimento!$F$7="Stand e Apresentação de Palco",(SUM(NC!F53:L53)/7),IF(Preenchimento!$F$7="Stand",(SUM(NC!I53:L53)/4),"S.N.C")))</f>
        <v>-</v>
      </c>
      <c r="I52" s="208" t="str">
        <f t="shared" si="1"/>
        <v>-</v>
      </c>
    </row>
    <row r="53" ht="15.75" customHeight="1">
      <c r="A53" s="204">
        <v>51.0</v>
      </c>
      <c r="B53" s="205" t="str">
        <f>IF(Preenchimento!B60="","-",Preenchimento!B60)</f>
        <v>-</v>
      </c>
      <c r="C53" s="206" t="str">
        <f>IF(Preenchimento!D60="","-",Preenchimento!D60)</f>
        <v>-</v>
      </c>
      <c r="D53" s="207" t="str">
        <f>Treinamentos!H53</f>
        <v>-</v>
      </c>
      <c r="E53" s="207" t="str">
        <f>IFERROR(AVERAGE('Avaliações'!E54:N54),"Sem Nota")</f>
        <v>Sem Nota</v>
      </c>
      <c r="F53" s="207" t="str">
        <f>IFERROR(AVERAGE('Avaliações'!O54:X54),"Sem Nota")</f>
        <v>Sem Nota</v>
      </c>
      <c r="G53" s="207" t="str">
        <f>DPO!I53</f>
        <v>-</v>
      </c>
      <c r="H53" s="208" t="str">
        <f>IF(NC!M54="-","-",IF(Preenchimento!$F$7="Stand e Apresentação de Palco",(SUM(NC!F54:L54)/7),IF(Preenchimento!$F$7="Stand",(SUM(NC!I54:L54)/4),"S.N.C")))</f>
        <v>-</v>
      </c>
      <c r="I53" s="208" t="str">
        <f t="shared" si="1"/>
        <v>-</v>
      </c>
    </row>
    <row r="54" ht="15.75" customHeight="1">
      <c r="A54" s="204">
        <v>52.0</v>
      </c>
      <c r="B54" s="209" t="str">
        <f>IF(Preenchimento!B61="","-",Preenchimento!B61)</f>
        <v>-</v>
      </c>
      <c r="C54" s="141" t="str">
        <f>IF(Preenchimento!D61="","-",Preenchimento!D61)</f>
        <v>-</v>
      </c>
      <c r="D54" s="210" t="str">
        <f>Treinamentos!H54</f>
        <v>-</v>
      </c>
      <c r="E54" s="210" t="str">
        <f>IFERROR(AVERAGE('Avaliações'!E55:N55),"Sem Nota")</f>
        <v>Sem Nota</v>
      </c>
      <c r="F54" s="210" t="str">
        <f>IFERROR(AVERAGE('Avaliações'!O55:X55),"Sem Nota")</f>
        <v>Sem Nota</v>
      </c>
      <c r="G54" s="210" t="str">
        <f>DPO!I54</f>
        <v>-</v>
      </c>
      <c r="H54" s="211" t="str">
        <f>IF(NC!M55="-","-",IF(Preenchimento!$F$7="Stand e Apresentação de Palco",(SUM(NC!F55:L55)/7),IF(Preenchimento!$F$7="Stand",(SUM(NC!I55:L55)/4),"S.N.C")))</f>
        <v>-</v>
      </c>
      <c r="I54" s="208" t="str">
        <f t="shared" si="1"/>
        <v>-</v>
      </c>
    </row>
    <row r="55" ht="15.75" customHeight="1">
      <c r="A55" s="204">
        <v>53.0</v>
      </c>
      <c r="B55" s="212" t="str">
        <f>IF(Preenchimento!B62="","-",Preenchimento!B62)</f>
        <v>-</v>
      </c>
      <c r="C55" s="19" t="str">
        <f>IF(Preenchimento!D62="","-",Preenchimento!D62)</f>
        <v>-</v>
      </c>
      <c r="D55" s="207" t="str">
        <f>Treinamentos!H55</f>
        <v>-</v>
      </c>
      <c r="E55" s="207" t="str">
        <f>IFERROR(AVERAGE('Avaliações'!E56:N56),"Sem Nota")</f>
        <v>Sem Nota</v>
      </c>
      <c r="F55" s="207" t="str">
        <f>IFERROR(AVERAGE('Avaliações'!O56:X56),"Sem Nota")</f>
        <v>Sem Nota</v>
      </c>
      <c r="G55" s="207" t="str">
        <f>DPO!I55</f>
        <v>-</v>
      </c>
      <c r="H55" s="208" t="str">
        <f>IF(NC!M56="-","-",IF(Preenchimento!$F$7="Stand e Apresentação de Palco",(SUM(NC!F56:L56)/7),IF(Preenchimento!$F$7="Stand",(SUM(NC!I56:L56)/4),"S.N.C")))</f>
        <v>-</v>
      </c>
      <c r="I55" s="208" t="str">
        <f t="shared" si="1"/>
        <v>-</v>
      </c>
    </row>
    <row r="56" ht="15.75" customHeight="1">
      <c r="A56" s="204">
        <v>54.0</v>
      </c>
      <c r="B56" s="209" t="str">
        <f>IF(Preenchimento!B63="","-",Preenchimento!B63)</f>
        <v>-</v>
      </c>
      <c r="C56" s="141" t="str">
        <f>IF(Preenchimento!D63="","-",Preenchimento!D63)</f>
        <v>-</v>
      </c>
      <c r="D56" s="210" t="str">
        <f>Treinamentos!H56</f>
        <v>-</v>
      </c>
      <c r="E56" s="210" t="str">
        <f>IFERROR(AVERAGE('Avaliações'!E57:N57),"Sem Nota")</f>
        <v>Sem Nota</v>
      </c>
      <c r="F56" s="210" t="str">
        <f>IFERROR(AVERAGE('Avaliações'!O57:X57),"Sem Nota")</f>
        <v>Sem Nota</v>
      </c>
      <c r="G56" s="210" t="str">
        <f>DPO!I56</f>
        <v>-</v>
      </c>
      <c r="H56" s="211" t="str">
        <f>IF(NC!M57="-","-",IF(Preenchimento!$F$7="Stand e Apresentação de Palco",(SUM(NC!F57:L57)/7),IF(Preenchimento!$F$7="Stand",(SUM(NC!I57:L57)/4),"S.N.C")))</f>
        <v>-</v>
      </c>
      <c r="I56" s="208" t="str">
        <f t="shared" si="1"/>
        <v>-</v>
      </c>
    </row>
    <row r="57" ht="15.75" customHeight="1">
      <c r="A57" s="204">
        <v>55.0</v>
      </c>
      <c r="B57" s="212" t="str">
        <f>IF(Preenchimento!B64="","-",Preenchimento!B64)</f>
        <v>-</v>
      </c>
      <c r="C57" s="19" t="str">
        <f>IF(Preenchimento!D64="","-",Preenchimento!D64)</f>
        <v>-</v>
      </c>
      <c r="D57" s="207" t="str">
        <f>Treinamentos!H57</f>
        <v>-</v>
      </c>
      <c r="E57" s="207" t="str">
        <f>IFERROR(AVERAGE('Avaliações'!E58:N58),"Sem Nota")</f>
        <v>Sem Nota</v>
      </c>
      <c r="F57" s="207" t="str">
        <f>IFERROR(AVERAGE('Avaliações'!O58:X58),"Sem Nota")</f>
        <v>Sem Nota</v>
      </c>
      <c r="G57" s="207" t="str">
        <f>DPO!I57</f>
        <v>-</v>
      </c>
      <c r="H57" s="208" t="str">
        <f>IF(NC!M58="-","-",IF(Preenchimento!$F$7="Stand e Apresentação de Palco",(SUM(NC!F58:L58)/7),IF(Preenchimento!$F$7="Stand",(SUM(NC!I58:L58)/4),"S.N.C")))</f>
        <v>-</v>
      </c>
      <c r="I57" s="208" t="str">
        <f t="shared" si="1"/>
        <v>-</v>
      </c>
    </row>
    <row r="58" ht="15.75" customHeight="1">
      <c r="A58" s="204">
        <v>56.0</v>
      </c>
      <c r="B58" s="209" t="str">
        <f>IF(Preenchimento!B65="","-",Preenchimento!B65)</f>
        <v>-</v>
      </c>
      <c r="C58" s="141" t="str">
        <f>IF(Preenchimento!D65="","-",Preenchimento!D65)</f>
        <v>-</v>
      </c>
      <c r="D58" s="210" t="str">
        <f>Treinamentos!H58</f>
        <v>-</v>
      </c>
      <c r="E58" s="210" t="str">
        <f>IFERROR(AVERAGE('Avaliações'!E59:N59),"Sem Nota")</f>
        <v>Sem Nota</v>
      </c>
      <c r="F58" s="210" t="str">
        <f>IFERROR(AVERAGE('Avaliações'!O59:X59),"Sem Nota")</f>
        <v>Sem Nota</v>
      </c>
      <c r="G58" s="210" t="str">
        <f>DPO!I58</f>
        <v>-</v>
      </c>
      <c r="H58" s="211" t="str">
        <f>IF(NC!M59="-","-",IF(Preenchimento!$F$7="Stand e Apresentação de Palco",(SUM(NC!F59:L59)/7),IF(Preenchimento!$F$7="Stand",(SUM(NC!I59:L59)/4),"S.N.C")))</f>
        <v>-</v>
      </c>
      <c r="I58" s="208" t="str">
        <f t="shared" si="1"/>
        <v>-</v>
      </c>
    </row>
    <row r="59" ht="15.75" customHeight="1">
      <c r="A59" s="204">
        <v>57.0</v>
      </c>
      <c r="B59" s="212" t="str">
        <f>IF(Preenchimento!B66="","-",Preenchimento!B66)</f>
        <v>-</v>
      </c>
      <c r="C59" s="19" t="str">
        <f>IF(Preenchimento!D66="","-",Preenchimento!D66)</f>
        <v>-</v>
      </c>
      <c r="D59" s="207" t="str">
        <f>Treinamentos!H59</f>
        <v>-</v>
      </c>
      <c r="E59" s="207" t="str">
        <f>IFERROR(AVERAGE('Avaliações'!E60:N60),"Sem Nota")</f>
        <v>Sem Nota</v>
      </c>
      <c r="F59" s="207" t="str">
        <f>IFERROR(AVERAGE('Avaliações'!O60:X60),"Sem Nota")</f>
        <v>Sem Nota</v>
      </c>
      <c r="G59" s="207" t="str">
        <f>DPO!I59</f>
        <v>-</v>
      </c>
      <c r="H59" s="208" t="str">
        <f>IF(NC!M60="-","-",IF(Preenchimento!$F$7="Stand e Apresentação de Palco",(SUM(NC!F60:L60)/7),IF(Preenchimento!$F$7="Stand",(SUM(NC!I60:L60)/4),"S.N.C")))</f>
        <v>-</v>
      </c>
      <c r="I59" s="208" t="str">
        <f t="shared" si="1"/>
        <v>-</v>
      </c>
    </row>
    <row r="60" ht="15.75" customHeight="1">
      <c r="A60" s="204">
        <v>58.0</v>
      </c>
      <c r="B60" s="209" t="str">
        <f>IF(Preenchimento!B67="","-",Preenchimento!B67)</f>
        <v>-</v>
      </c>
      <c r="C60" s="141" t="str">
        <f>IF(Preenchimento!D67="","-",Preenchimento!D67)</f>
        <v>-</v>
      </c>
      <c r="D60" s="210" t="str">
        <f>Treinamentos!H60</f>
        <v>-</v>
      </c>
      <c r="E60" s="210" t="str">
        <f>IFERROR(AVERAGE('Avaliações'!E61:N61),"Sem Nota")</f>
        <v>Sem Nota</v>
      </c>
      <c r="F60" s="210" t="str">
        <f>IFERROR(AVERAGE('Avaliações'!O61:X61),"Sem Nota")</f>
        <v>Sem Nota</v>
      </c>
      <c r="G60" s="210" t="str">
        <f>DPO!I60</f>
        <v>-</v>
      </c>
      <c r="H60" s="211" t="str">
        <f>IF(NC!M61="-","-",IF(Preenchimento!$F$7="Stand e Apresentação de Palco",(SUM(NC!F61:L61)/7),IF(Preenchimento!$F$7="Stand",(SUM(NC!I61:L61)/4),"S.N.C")))</f>
        <v>-</v>
      </c>
      <c r="I60" s="208" t="str">
        <f t="shared" si="1"/>
        <v>-</v>
      </c>
    </row>
    <row r="61" ht="15.75" customHeight="1">
      <c r="A61" s="204">
        <v>59.0</v>
      </c>
      <c r="B61" s="212" t="str">
        <f>IF(Preenchimento!B68="","-",Preenchimento!B68)</f>
        <v>-</v>
      </c>
      <c r="C61" s="19" t="str">
        <f>IF(Preenchimento!D68="","-",Preenchimento!D68)</f>
        <v>-</v>
      </c>
      <c r="D61" s="207" t="str">
        <f>Treinamentos!H61</f>
        <v>-</v>
      </c>
      <c r="E61" s="207" t="str">
        <f>IFERROR(AVERAGE('Avaliações'!E62:N62),"Sem Nota")</f>
        <v>Sem Nota</v>
      </c>
      <c r="F61" s="207" t="str">
        <f>IFERROR(AVERAGE('Avaliações'!O62:X62),"Sem Nota")</f>
        <v>Sem Nota</v>
      </c>
      <c r="G61" s="207" t="str">
        <f>DPO!I61</f>
        <v>-</v>
      </c>
      <c r="H61" s="208" t="str">
        <f>IF(NC!M62="-","-",IF(Preenchimento!$F$7="Stand e Apresentação de Palco",(SUM(NC!F62:L62)/7),IF(Preenchimento!$F$7="Stand",(SUM(NC!I62:L62)/4),"S.N.C")))</f>
        <v>-</v>
      </c>
      <c r="I61" s="208" t="str">
        <f t="shared" si="1"/>
        <v>-</v>
      </c>
    </row>
    <row r="62" ht="15.75" customHeight="1">
      <c r="A62" s="204">
        <v>60.0</v>
      </c>
      <c r="B62" s="209" t="str">
        <f>IF(Preenchimento!B69="","-",Preenchimento!B69)</f>
        <v>-</v>
      </c>
      <c r="C62" s="141" t="str">
        <f>IF(Preenchimento!D69="","-",Preenchimento!D69)</f>
        <v>-</v>
      </c>
      <c r="D62" s="210" t="str">
        <f>Treinamentos!H62</f>
        <v>-</v>
      </c>
      <c r="E62" s="210" t="str">
        <f>IFERROR(AVERAGE('Avaliações'!E63:N63),"Sem Nota")</f>
        <v>Sem Nota</v>
      </c>
      <c r="F62" s="210" t="str">
        <f>IFERROR(AVERAGE('Avaliações'!O63:X63),"Sem Nota")</f>
        <v>Sem Nota</v>
      </c>
      <c r="G62" s="210" t="str">
        <f>DPO!I62</f>
        <v>-</v>
      </c>
      <c r="H62" s="211" t="str">
        <f>IF(NC!M63="-","-",IF(Preenchimento!$F$7="Stand e Apresentação de Palco",(SUM(NC!F63:L63)/7),IF(Preenchimento!$F$7="Stand",(SUM(NC!I63:L63)/4),"S.N.C")))</f>
        <v>-</v>
      </c>
      <c r="I62" s="208" t="str">
        <f t="shared" si="1"/>
        <v>-</v>
      </c>
    </row>
    <row r="63" ht="15.75" customHeight="1">
      <c r="A63" s="204">
        <v>61.0</v>
      </c>
      <c r="B63" s="212" t="str">
        <f>IF(Preenchimento!B70="","-",Preenchimento!B70)</f>
        <v>-</v>
      </c>
      <c r="C63" s="19" t="str">
        <f>IF(Preenchimento!D70="","-",Preenchimento!D70)</f>
        <v>-</v>
      </c>
      <c r="D63" s="207" t="str">
        <f>Treinamentos!H63</f>
        <v>-</v>
      </c>
      <c r="E63" s="207" t="str">
        <f>IFERROR(AVERAGE('Avaliações'!E64:N64),"Sem Nota")</f>
        <v>Sem Nota</v>
      </c>
      <c r="F63" s="207" t="str">
        <f>IFERROR(AVERAGE('Avaliações'!O64:X64),"Sem Nota")</f>
        <v>Sem Nota</v>
      </c>
      <c r="G63" s="207" t="str">
        <f>DPO!I63</f>
        <v>-</v>
      </c>
      <c r="H63" s="208" t="str">
        <f>IF(NC!M64="-","-",IF(Preenchimento!$F$7="Stand e Apresentação de Palco",(SUM(NC!F64:L64)/7),IF(Preenchimento!$F$7="Stand",(SUM(NC!I64:L64)/4),"S.N.C")))</f>
        <v>-</v>
      </c>
      <c r="I63" s="208" t="str">
        <f t="shared" si="1"/>
        <v>-</v>
      </c>
    </row>
    <row r="64" ht="15.75" customHeight="1">
      <c r="A64" s="204">
        <v>62.0</v>
      </c>
      <c r="B64" s="209" t="str">
        <f>IF(Preenchimento!B71="","-",Preenchimento!B71)</f>
        <v>-</v>
      </c>
      <c r="C64" s="141" t="str">
        <f>IF(Preenchimento!D71="","-",Preenchimento!D71)</f>
        <v>-</v>
      </c>
      <c r="D64" s="210" t="str">
        <f>Treinamentos!H64</f>
        <v>-</v>
      </c>
      <c r="E64" s="210" t="str">
        <f>IFERROR(AVERAGE('Avaliações'!E65:N65),"Sem Nota")</f>
        <v>Sem Nota</v>
      </c>
      <c r="F64" s="210" t="str">
        <f>IFERROR(AVERAGE('Avaliações'!O65:X65),"Sem Nota")</f>
        <v>Sem Nota</v>
      </c>
      <c r="G64" s="210" t="str">
        <f>DPO!I64</f>
        <v>-</v>
      </c>
      <c r="H64" s="211" t="str">
        <f>IF(NC!M65="-","-",IF(Preenchimento!$F$7="Stand e Apresentação de Palco",(SUM(NC!F65:L65)/7),IF(Preenchimento!$F$7="Stand",(SUM(NC!I65:L65)/4),"S.N.C")))</f>
        <v>-</v>
      </c>
      <c r="I64" s="208" t="str">
        <f t="shared" si="1"/>
        <v>-</v>
      </c>
    </row>
    <row r="65" ht="15.75" customHeight="1">
      <c r="A65" s="204">
        <v>63.0</v>
      </c>
      <c r="B65" s="212" t="str">
        <f>IF(Preenchimento!B72="","-",Preenchimento!B72)</f>
        <v>-</v>
      </c>
      <c r="C65" s="19" t="str">
        <f>IF(Preenchimento!D72="","-",Preenchimento!D72)</f>
        <v>-</v>
      </c>
      <c r="D65" s="207" t="str">
        <f>Treinamentos!H65</f>
        <v>-</v>
      </c>
      <c r="E65" s="207" t="str">
        <f>IFERROR(AVERAGE('Avaliações'!E66:N66),"Sem Nota")</f>
        <v>Sem Nota</v>
      </c>
      <c r="F65" s="207" t="str">
        <f>IFERROR(AVERAGE('Avaliações'!O66:X66),"Sem Nota")</f>
        <v>Sem Nota</v>
      </c>
      <c r="G65" s="207" t="str">
        <f>DPO!I65</f>
        <v>-</v>
      </c>
      <c r="H65" s="208" t="str">
        <f>IF(NC!M66="-","-",IF(Preenchimento!$F$7="Stand e Apresentação de Palco",(SUM(NC!F66:L66)/7),IF(Preenchimento!$F$7="Stand",(SUM(NC!I66:L66)/4),"S.N.C")))</f>
        <v>-</v>
      </c>
      <c r="I65" s="208" t="str">
        <f t="shared" si="1"/>
        <v>-</v>
      </c>
    </row>
    <row r="66" ht="15.75" customHeight="1">
      <c r="A66" s="204">
        <v>64.0</v>
      </c>
      <c r="B66" s="209" t="str">
        <f>IF(Preenchimento!B73="","-",Preenchimento!B73)</f>
        <v>-</v>
      </c>
      <c r="C66" s="141" t="str">
        <f>IF(Preenchimento!D73="","-",Preenchimento!D73)</f>
        <v>-</v>
      </c>
      <c r="D66" s="210" t="str">
        <f>Treinamentos!H66</f>
        <v>-</v>
      </c>
      <c r="E66" s="210" t="str">
        <f>IFERROR(AVERAGE('Avaliações'!E67:N67),"Sem Nota")</f>
        <v>Sem Nota</v>
      </c>
      <c r="F66" s="210" t="str">
        <f>IFERROR(AVERAGE('Avaliações'!O67:X67),"Sem Nota")</f>
        <v>Sem Nota</v>
      </c>
      <c r="G66" s="210" t="str">
        <f>DPO!I66</f>
        <v>-</v>
      </c>
      <c r="H66" s="211" t="str">
        <f>IF(NC!M67="-","-",IF(Preenchimento!$F$7="Stand e Apresentação de Palco",(SUM(NC!F67:L67)/7),IF(Preenchimento!$F$7="Stand",(SUM(NC!I67:L67)/4),"S.N.C")))</f>
        <v>-</v>
      </c>
      <c r="I66" s="208" t="str">
        <f t="shared" si="1"/>
        <v>-</v>
      </c>
    </row>
    <row r="67" ht="15.75" customHeight="1">
      <c r="A67" s="204">
        <v>65.0</v>
      </c>
      <c r="B67" s="212" t="str">
        <f>IF(Preenchimento!B74="","-",Preenchimento!B74)</f>
        <v>-</v>
      </c>
      <c r="C67" s="19" t="str">
        <f>IF(Preenchimento!D74="","-",Preenchimento!D74)</f>
        <v>-</v>
      </c>
      <c r="D67" s="207" t="str">
        <f>Treinamentos!H67</f>
        <v>-</v>
      </c>
      <c r="E67" s="207" t="str">
        <f>IFERROR(AVERAGE('Avaliações'!E68:N68),"Sem Nota")</f>
        <v>Sem Nota</v>
      </c>
      <c r="F67" s="207" t="str">
        <f>IFERROR(AVERAGE('Avaliações'!O68:X68),"Sem Nota")</f>
        <v>Sem Nota</v>
      </c>
      <c r="G67" s="207" t="str">
        <f>DPO!I67</f>
        <v>-</v>
      </c>
      <c r="H67" s="208" t="str">
        <f>IF(NC!M68="-","-",IF(Preenchimento!$F$7="Stand e Apresentação de Palco",(SUM(NC!F68:L68)/7),IF(Preenchimento!$F$7="Stand",(SUM(NC!I68:L68)/4),"S.N.C")))</f>
        <v>-</v>
      </c>
      <c r="I67" s="208" t="str">
        <f t="shared" si="1"/>
        <v>-</v>
      </c>
    </row>
    <row r="68" ht="15.75" customHeight="1">
      <c r="A68" s="204">
        <v>66.0</v>
      </c>
      <c r="B68" s="209" t="str">
        <f>IF(Preenchimento!B75="","-",Preenchimento!B75)</f>
        <v>-</v>
      </c>
      <c r="C68" s="141" t="str">
        <f>IF(Preenchimento!D75="","-",Preenchimento!D75)</f>
        <v>-</v>
      </c>
      <c r="D68" s="210" t="str">
        <f>Treinamentos!H68</f>
        <v>-</v>
      </c>
      <c r="E68" s="210" t="str">
        <f>IFERROR(AVERAGE('Avaliações'!E69:N69),"Sem Nota")</f>
        <v>Sem Nota</v>
      </c>
      <c r="F68" s="210" t="str">
        <f>IFERROR(AVERAGE('Avaliações'!O69:X69),"Sem Nota")</f>
        <v>Sem Nota</v>
      </c>
      <c r="G68" s="210" t="str">
        <f>DPO!I68</f>
        <v>-</v>
      </c>
      <c r="H68" s="211" t="str">
        <f>IF(NC!M69="-","-",IF(Preenchimento!$F$7="Stand e Apresentação de Palco",(SUM(NC!F69:L69)/7),IF(Preenchimento!$F$7="Stand",(SUM(NC!I69:L69)/4),"S.N.C")))</f>
        <v>-</v>
      </c>
      <c r="I68" s="208" t="str">
        <f t="shared" si="1"/>
        <v>-</v>
      </c>
    </row>
    <row r="69" ht="15.75" customHeight="1">
      <c r="A69" s="204">
        <v>67.0</v>
      </c>
      <c r="B69" s="212" t="str">
        <f>IF(Preenchimento!B76="","-",Preenchimento!B76)</f>
        <v>-</v>
      </c>
      <c r="C69" s="19" t="str">
        <f>IF(Preenchimento!D76="","-",Preenchimento!D76)</f>
        <v>-</v>
      </c>
      <c r="D69" s="207" t="str">
        <f>Treinamentos!H69</f>
        <v>-</v>
      </c>
      <c r="E69" s="207" t="str">
        <f>IFERROR(AVERAGE('Avaliações'!E70:N70),"Sem Nota")</f>
        <v>Sem Nota</v>
      </c>
      <c r="F69" s="207" t="str">
        <f>IFERROR(AVERAGE('Avaliações'!O70:X70),"Sem Nota")</f>
        <v>Sem Nota</v>
      </c>
      <c r="G69" s="207" t="str">
        <f>DPO!I69</f>
        <v>-</v>
      </c>
      <c r="H69" s="208" t="str">
        <f>IF(NC!M70="-","-",IF(Preenchimento!$F$7="Stand e Apresentação de Palco",(SUM(NC!F70:L70)/7),IF(Preenchimento!$F$7="Stand",(SUM(NC!I70:L70)/4),"S.N.C")))</f>
        <v>-</v>
      </c>
      <c r="I69" s="208" t="str">
        <f t="shared" si="1"/>
        <v>-</v>
      </c>
    </row>
    <row r="70" ht="15.75" customHeight="1">
      <c r="A70" s="204">
        <v>68.0</v>
      </c>
      <c r="B70" s="209" t="str">
        <f>IF(Preenchimento!B77="","-",Preenchimento!B77)</f>
        <v>-</v>
      </c>
      <c r="C70" s="141" t="str">
        <f>IF(Preenchimento!D77="","-",Preenchimento!D77)</f>
        <v>-</v>
      </c>
      <c r="D70" s="210" t="str">
        <f>Treinamentos!H70</f>
        <v>-</v>
      </c>
      <c r="E70" s="210" t="str">
        <f>IFERROR(AVERAGE('Avaliações'!E71:N71),"Sem Nota")</f>
        <v>Sem Nota</v>
      </c>
      <c r="F70" s="210" t="str">
        <f>IFERROR(AVERAGE('Avaliações'!O71:X71),"Sem Nota")</f>
        <v>Sem Nota</v>
      </c>
      <c r="G70" s="210" t="str">
        <f>DPO!I70</f>
        <v>-</v>
      </c>
      <c r="H70" s="211" t="str">
        <f>IF(NC!M71="-","-",IF(Preenchimento!$F$7="Stand e Apresentação de Palco",(SUM(NC!F71:L71)/7),IF(Preenchimento!$F$7="Stand",(SUM(NC!I71:L71)/4),"S.N.C")))</f>
        <v>-</v>
      </c>
      <c r="I70" s="208" t="str">
        <f t="shared" si="1"/>
        <v>-</v>
      </c>
    </row>
    <row r="71" ht="15.75" customHeight="1">
      <c r="A71" s="204">
        <v>69.0</v>
      </c>
      <c r="B71" s="212" t="str">
        <f>IF(Preenchimento!B78="","-",Preenchimento!B78)</f>
        <v>-</v>
      </c>
      <c r="C71" s="19" t="str">
        <f>IF(Preenchimento!D78="","-",Preenchimento!D78)</f>
        <v>-</v>
      </c>
      <c r="D71" s="207" t="str">
        <f>Treinamentos!H71</f>
        <v>-</v>
      </c>
      <c r="E71" s="207" t="str">
        <f>IFERROR(AVERAGE('Avaliações'!E72:N72),"Sem Nota")</f>
        <v>Sem Nota</v>
      </c>
      <c r="F71" s="207" t="str">
        <f>IFERROR(AVERAGE('Avaliações'!O72:X72),"Sem Nota")</f>
        <v>Sem Nota</v>
      </c>
      <c r="G71" s="207" t="str">
        <f>DPO!I71</f>
        <v>-</v>
      </c>
      <c r="H71" s="208" t="str">
        <f>IF(NC!M72="-","-",IF(Preenchimento!$F$7="Stand e Apresentação de Palco",(SUM(NC!F72:L72)/7),IF(Preenchimento!$F$7="Stand",(SUM(NC!I72:L72)/4),"S.N.C")))</f>
        <v>-</v>
      </c>
      <c r="I71" s="208" t="str">
        <f t="shared" si="1"/>
        <v>-</v>
      </c>
    </row>
    <row r="72" ht="15.75" customHeight="1">
      <c r="A72" s="204">
        <v>70.0</v>
      </c>
      <c r="B72" s="209" t="str">
        <f>IF(Preenchimento!B79="","-",Preenchimento!B79)</f>
        <v>-</v>
      </c>
      <c r="C72" s="141" t="str">
        <f>IF(Preenchimento!D79="","-",Preenchimento!D79)</f>
        <v>-</v>
      </c>
      <c r="D72" s="210" t="str">
        <f>Treinamentos!H72</f>
        <v>-</v>
      </c>
      <c r="E72" s="210" t="str">
        <f>IFERROR(AVERAGE('Avaliações'!E73:N73),"Sem Nota")</f>
        <v>Sem Nota</v>
      </c>
      <c r="F72" s="210" t="str">
        <f>IFERROR(AVERAGE('Avaliações'!O73:X73),"Sem Nota")</f>
        <v>Sem Nota</v>
      </c>
      <c r="G72" s="210" t="str">
        <f>DPO!I72</f>
        <v>-</v>
      </c>
      <c r="H72" s="211" t="str">
        <f>IF(NC!M73="-","-",IF(Preenchimento!$F$7="Stand e Apresentação de Palco",(SUM(NC!F73:L73)/7),IF(Preenchimento!$F$7="Stand",(SUM(NC!I73:L73)/4),"S.N.C")))</f>
        <v>-</v>
      </c>
      <c r="I72" s="208" t="str">
        <f t="shared" si="1"/>
        <v>-</v>
      </c>
    </row>
    <row r="73" ht="15.75" customHeight="1">
      <c r="A73" s="204">
        <v>71.0</v>
      </c>
      <c r="B73" s="212" t="str">
        <f>IF(Preenchimento!B80="","-",Preenchimento!B80)</f>
        <v>-</v>
      </c>
      <c r="C73" s="19" t="str">
        <f>IF(Preenchimento!D80="","-",Preenchimento!D80)</f>
        <v>-</v>
      </c>
      <c r="D73" s="207" t="str">
        <f>Treinamentos!H73</f>
        <v>-</v>
      </c>
      <c r="E73" s="207" t="str">
        <f>IFERROR(AVERAGE('Avaliações'!E74:N74),"Sem Nota")</f>
        <v>Sem Nota</v>
      </c>
      <c r="F73" s="207" t="str">
        <f>IFERROR(AVERAGE('Avaliações'!O74:X74),"Sem Nota")</f>
        <v>Sem Nota</v>
      </c>
      <c r="G73" s="207" t="str">
        <f>DPO!I73</f>
        <v>-</v>
      </c>
      <c r="H73" s="208" t="str">
        <f>IF(NC!M74="-","-",IF(Preenchimento!$F$7="Stand e Apresentação de Palco",(SUM(NC!F74:L74)/7),IF(Preenchimento!$F$7="Stand",(SUM(NC!I74:L74)/4),"S.N.C")))</f>
        <v>-</v>
      </c>
      <c r="I73" s="208" t="str">
        <f t="shared" si="1"/>
        <v>-</v>
      </c>
    </row>
    <row r="74" ht="15.75" customHeight="1">
      <c r="A74" s="204">
        <v>72.0</v>
      </c>
      <c r="B74" s="209" t="str">
        <f>IF(Preenchimento!B81="","-",Preenchimento!B81)</f>
        <v>-</v>
      </c>
      <c r="C74" s="141" t="str">
        <f>IF(Preenchimento!D81="","-",Preenchimento!D81)</f>
        <v>-</v>
      </c>
      <c r="D74" s="210" t="str">
        <f>Treinamentos!H74</f>
        <v>-</v>
      </c>
      <c r="E74" s="210" t="str">
        <f>IFERROR(AVERAGE('Avaliações'!E75:N75),"Sem Nota")</f>
        <v>Sem Nota</v>
      </c>
      <c r="F74" s="210" t="str">
        <f>IFERROR(AVERAGE('Avaliações'!O75:X75),"Sem Nota")</f>
        <v>Sem Nota</v>
      </c>
      <c r="G74" s="210" t="str">
        <f>DPO!I74</f>
        <v>-</v>
      </c>
      <c r="H74" s="211" t="str">
        <f>IF(NC!M75="-","-",IF(Preenchimento!$F$7="Stand e Apresentação de Palco",(SUM(NC!F75:L75)/7),IF(Preenchimento!$F$7="Stand",(SUM(NC!I75:L75)/4),"S.N.C")))</f>
        <v>-</v>
      </c>
      <c r="I74" s="208" t="str">
        <f t="shared" si="1"/>
        <v>-</v>
      </c>
    </row>
    <row r="75" ht="15.75" customHeight="1">
      <c r="A75" s="204">
        <v>73.0</v>
      </c>
      <c r="B75" s="212" t="str">
        <f>IF(Preenchimento!B82="","-",Preenchimento!B82)</f>
        <v>-</v>
      </c>
      <c r="C75" s="19" t="str">
        <f>IF(Preenchimento!D82="","-",Preenchimento!D82)</f>
        <v>-</v>
      </c>
      <c r="D75" s="207" t="str">
        <f>Treinamentos!H75</f>
        <v>-</v>
      </c>
      <c r="E75" s="207" t="str">
        <f>IFERROR(AVERAGE('Avaliações'!E76:N76),"Sem Nota")</f>
        <v>Sem Nota</v>
      </c>
      <c r="F75" s="207" t="str">
        <f>IFERROR(AVERAGE('Avaliações'!O76:X76),"Sem Nota")</f>
        <v>Sem Nota</v>
      </c>
      <c r="G75" s="207" t="str">
        <f>DPO!I75</f>
        <v>-</v>
      </c>
      <c r="H75" s="208" t="str">
        <f>IF(NC!M76="-","-",IF(Preenchimento!$F$7="Stand e Apresentação de Palco",(SUM(NC!F76:L76)/7),IF(Preenchimento!$F$7="Stand",(SUM(NC!I76:L76)/4),"S.N.C")))</f>
        <v>-</v>
      </c>
      <c r="I75" s="208" t="str">
        <f t="shared" si="1"/>
        <v>-</v>
      </c>
    </row>
    <row r="76" ht="15.75" customHeight="1">
      <c r="A76" s="204">
        <v>74.0</v>
      </c>
      <c r="B76" s="209" t="str">
        <f>IF(Preenchimento!B83="","-",Preenchimento!B83)</f>
        <v>-</v>
      </c>
      <c r="C76" s="141" t="str">
        <f>IF(Preenchimento!D83="","-",Preenchimento!D83)</f>
        <v>-</v>
      </c>
      <c r="D76" s="210" t="str">
        <f>Treinamentos!H76</f>
        <v>-</v>
      </c>
      <c r="E76" s="210" t="str">
        <f>IFERROR(AVERAGE('Avaliações'!E77:N77),"Sem Nota")</f>
        <v>Sem Nota</v>
      </c>
      <c r="F76" s="210" t="str">
        <f>IFERROR(AVERAGE('Avaliações'!O77:X77),"Sem Nota")</f>
        <v>Sem Nota</v>
      </c>
      <c r="G76" s="210" t="str">
        <f>DPO!I76</f>
        <v>-</v>
      </c>
      <c r="H76" s="211" t="str">
        <f>IF(NC!M77="-","-",IF(Preenchimento!$F$7="Stand e Apresentação de Palco",(SUM(NC!F77:L77)/7),IF(Preenchimento!$F$7="Stand",(SUM(NC!I77:L77)/4),"S.N.C")))</f>
        <v>-</v>
      </c>
      <c r="I76" s="208" t="str">
        <f t="shared" si="1"/>
        <v>-</v>
      </c>
    </row>
    <row r="77" ht="15.75" customHeight="1">
      <c r="A77" s="204">
        <v>75.0</v>
      </c>
      <c r="B77" s="212" t="str">
        <f>IF(Preenchimento!B84="","-",Preenchimento!B84)</f>
        <v>-</v>
      </c>
      <c r="C77" s="19" t="str">
        <f>IF(Preenchimento!D84="","-",Preenchimento!D84)</f>
        <v>-</v>
      </c>
      <c r="D77" s="207" t="str">
        <f>Treinamentos!H77</f>
        <v>-</v>
      </c>
      <c r="E77" s="207" t="str">
        <f>IFERROR(AVERAGE('Avaliações'!E78:N78),"Sem Nota")</f>
        <v>Sem Nota</v>
      </c>
      <c r="F77" s="207" t="str">
        <f>IFERROR(AVERAGE('Avaliações'!O78:X78),"Sem Nota")</f>
        <v>Sem Nota</v>
      </c>
      <c r="G77" s="207" t="str">
        <f>DPO!I77</f>
        <v>-</v>
      </c>
      <c r="H77" s="208" t="str">
        <f>IF(NC!M78="-","-",IF(Preenchimento!$F$7="Stand e Apresentação de Palco",(SUM(NC!F78:L78)/7),IF(Preenchimento!$F$7="Stand",(SUM(NC!I78:L78)/4),"S.N.C")))</f>
        <v>-</v>
      </c>
      <c r="I77" s="208" t="str">
        <f t="shared" si="1"/>
        <v>-</v>
      </c>
    </row>
    <row r="78" ht="15.75" customHeight="1">
      <c r="A78" s="204">
        <v>81.0</v>
      </c>
      <c r="B78" s="209" t="str">
        <f>IF(Preenchimento!B85="","-",Preenchimento!B85)</f>
        <v>-</v>
      </c>
      <c r="C78" s="141" t="str">
        <f>IF(Preenchimento!D85="","-",Preenchimento!D85)</f>
        <v>-</v>
      </c>
      <c r="D78" s="210" t="str">
        <f>Treinamentos!H78</f>
        <v>-</v>
      </c>
      <c r="E78" s="210" t="str">
        <f>IFERROR(AVERAGE('Avaliações'!E79:N79),"Sem Nota")</f>
        <v>Sem Nota</v>
      </c>
      <c r="F78" s="210" t="str">
        <f>IFERROR(AVERAGE('Avaliações'!O79:X79),"Sem Nota")</f>
        <v>Sem Nota</v>
      </c>
      <c r="G78" s="210" t="str">
        <f>DPO!I78</f>
        <v>-</v>
      </c>
      <c r="H78" s="211" t="str">
        <f>IF(NC!M79="-","-",IF(Preenchimento!$F$7="Stand e Apresentação de Palco",(SUM(NC!F79:L79)/7),IF(Preenchimento!$F$7="Stand",(SUM(NC!I79:L79)/4),"S.N.C")))</f>
        <v>-</v>
      </c>
      <c r="I78" s="208" t="str">
        <f t="shared" si="1"/>
        <v>-</v>
      </c>
    </row>
    <row r="79" ht="15.75" customHeight="1">
      <c r="A79" s="204">
        <v>77.0</v>
      </c>
      <c r="B79" s="212" t="str">
        <f>IF(Preenchimento!B86="","-",Preenchimento!B86)</f>
        <v>-</v>
      </c>
      <c r="C79" s="19" t="str">
        <f>IF(Preenchimento!D86="","-",Preenchimento!D86)</f>
        <v>-</v>
      </c>
      <c r="D79" s="207" t="str">
        <f>Treinamentos!H79</f>
        <v>-</v>
      </c>
      <c r="E79" s="207" t="str">
        <f>IFERROR(AVERAGE('Avaliações'!E80:N80),"Sem Nota")</f>
        <v>Sem Nota</v>
      </c>
      <c r="F79" s="207" t="str">
        <f>IFERROR(AVERAGE('Avaliações'!O80:X80),"Sem Nota")</f>
        <v>Sem Nota</v>
      </c>
      <c r="G79" s="207" t="str">
        <f>DPO!I79</f>
        <v>-</v>
      </c>
      <c r="H79" s="208" t="str">
        <f>IF(NC!M80="-","-",IF(Preenchimento!$F$7="Stand e Apresentação de Palco",(SUM(NC!F80:L80)/7),IF(Preenchimento!$F$7="Stand",(SUM(NC!I80:L80)/4),"S.N.C")))</f>
        <v>-</v>
      </c>
      <c r="I79" s="208" t="str">
        <f t="shared" si="1"/>
        <v>-</v>
      </c>
    </row>
    <row r="80" ht="15.75" customHeight="1">
      <c r="A80" s="204">
        <v>78.0</v>
      </c>
      <c r="B80" s="209" t="str">
        <f>IF(Preenchimento!B87="","-",Preenchimento!B87)</f>
        <v>-</v>
      </c>
      <c r="C80" s="141" t="str">
        <f>IF(Preenchimento!D87="","-",Preenchimento!D87)</f>
        <v>-</v>
      </c>
      <c r="D80" s="210" t="str">
        <f>Treinamentos!H80</f>
        <v>-</v>
      </c>
      <c r="E80" s="210" t="str">
        <f>IFERROR(AVERAGE('Avaliações'!E81:N81),"Sem Nota")</f>
        <v>Sem Nota</v>
      </c>
      <c r="F80" s="210" t="str">
        <f>IFERROR(AVERAGE('Avaliações'!O81:X81),"Sem Nota")</f>
        <v>Sem Nota</v>
      </c>
      <c r="G80" s="210" t="str">
        <f>DPO!I80</f>
        <v>-</v>
      </c>
      <c r="H80" s="211" t="str">
        <f>IF(NC!M81="-","-",IF(Preenchimento!$F$7="Stand e Apresentação de Palco",(SUM(NC!F81:L81)/7),IF(Preenchimento!$F$7="Stand",(SUM(NC!I81:L81)/4),"S.N.C")))</f>
        <v>-</v>
      </c>
      <c r="I80" s="208" t="str">
        <f t="shared" si="1"/>
        <v>-</v>
      </c>
    </row>
    <row r="81" ht="15.75" customHeight="1">
      <c r="A81" s="204">
        <v>79.0</v>
      </c>
      <c r="B81" s="212" t="str">
        <f>IF(Preenchimento!B88="","-",Preenchimento!B88)</f>
        <v>-</v>
      </c>
      <c r="C81" s="19" t="str">
        <f>IF(Preenchimento!D88="","-",Preenchimento!D88)</f>
        <v>-</v>
      </c>
      <c r="D81" s="207" t="str">
        <f>Treinamentos!H81</f>
        <v>-</v>
      </c>
      <c r="E81" s="207" t="str">
        <f>IFERROR(AVERAGE('Avaliações'!E82:N82),"Sem Nota")</f>
        <v>Sem Nota</v>
      </c>
      <c r="F81" s="207" t="str">
        <f>IFERROR(AVERAGE('Avaliações'!O82:X82),"Sem Nota")</f>
        <v>Sem Nota</v>
      </c>
      <c r="G81" s="207" t="str">
        <f>DPO!I81</f>
        <v>-</v>
      </c>
      <c r="H81" s="208" t="str">
        <f>IF(NC!M82="-","-",IF(Preenchimento!$F$7="Stand e Apresentação de Palco",(SUM(NC!F82:L82)/7),IF(Preenchimento!$F$7="Stand",(SUM(NC!I82:L82)/4),"S.N.C")))</f>
        <v>-</v>
      </c>
      <c r="I81" s="208" t="str">
        <f t="shared" si="1"/>
        <v>-</v>
      </c>
    </row>
    <row r="82" ht="15.75" customHeight="1">
      <c r="A82" s="204">
        <v>80.0</v>
      </c>
      <c r="B82" s="209" t="str">
        <f>IF(Preenchimento!B89="","-",Preenchimento!B89)</f>
        <v>-</v>
      </c>
      <c r="C82" s="141" t="str">
        <f>IF(Preenchimento!D89="","-",Preenchimento!D89)</f>
        <v>-</v>
      </c>
      <c r="D82" s="210" t="str">
        <f>Treinamentos!H82</f>
        <v>-</v>
      </c>
      <c r="E82" s="210" t="str">
        <f>IFERROR(AVERAGE('Avaliações'!E83:N83),"Sem Nota")</f>
        <v>Sem Nota</v>
      </c>
      <c r="F82" s="210" t="str">
        <f>IFERROR(AVERAGE('Avaliações'!O83:X83),"Sem Nota")</f>
        <v>Sem Nota</v>
      </c>
      <c r="G82" s="210" t="str">
        <f>DPO!I82</f>
        <v>-</v>
      </c>
      <c r="H82" s="211" t="str">
        <f>IF(NC!M83="-","-",IF(Preenchimento!$F$7="Stand e Apresentação de Palco",(SUM(NC!F83:L83)/7),IF(Preenchimento!$F$7="Stand",(SUM(NC!I83:L83)/4),"S.N.C")))</f>
        <v>-</v>
      </c>
      <c r="I82" s="208" t="str">
        <f t="shared" si="1"/>
        <v>-</v>
      </c>
    </row>
    <row r="83" ht="15.75" customHeight="1">
      <c r="A83" s="204">
        <v>81.0</v>
      </c>
      <c r="B83" s="212" t="str">
        <f>IF(Preenchimento!B90="","-",Preenchimento!B90)</f>
        <v>-</v>
      </c>
      <c r="C83" s="19" t="str">
        <f>IF(Preenchimento!D90="","-",Preenchimento!D90)</f>
        <v>-</v>
      </c>
      <c r="D83" s="207" t="str">
        <f>Treinamentos!H83</f>
        <v>-</v>
      </c>
      <c r="E83" s="207" t="str">
        <f>IFERROR(AVERAGE('Avaliações'!E84:N84),"Sem Nota")</f>
        <v>Sem Nota</v>
      </c>
      <c r="F83" s="207" t="str">
        <f>IFERROR(AVERAGE('Avaliações'!O84:X84),"Sem Nota")</f>
        <v>Sem Nota</v>
      </c>
      <c r="G83" s="207" t="str">
        <f>DPO!I83</f>
        <v>-</v>
      </c>
      <c r="H83" s="208" t="str">
        <f>IF(NC!M84="-","-",IF(Preenchimento!$F$7="Stand e Apresentação de Palco",(SUM(NC!F84:L84)/7),IF(Preenchimento!$F$7="Stand",(SUM(NC!I84:L84)/4),"S.N.C")))</f>
        <v>-</v>
      </c>
      <c r="I83" s="208" t="str">
        <f t="shared" si="1"/>
        <v>-</v>
      </c>
    </row>
    <row r="84" ht="15.75" customHeight="1">
      <c r="A84" s="204">
        <v>82.0</v>
      </c>
      <c r="B84" s="209" t="str">
        <f>IF(Preenchimento!B91="","-",Preenchimento!B91)</f>
        <v>-</v>
      </c>
      <c r="C84" s="141" t="str">
        <f>IF(Preenchimento!D91="","-",Preenchimento!D91)</f>
        <v>-</v>
      </c>
      <c r="D84" s="210" t="str">
        <f>Treinamentos!H84</f>
        <v>-</v>
      </c>
      <c r="E84" s="210" t="str">
        <f>IFERROR(AVERAGE('Avaliações'!E85:N85),"Sem Nota")</f>
        <v>Sem Nota</v>
      </c>
      <c r="F84" s="210" t="str">
        <f>IFERROR(AVERAGE('Avaliações'!O85:X85),"Sem Nota")</f>
        <v>Sem Nota</v>
      </c>
      <c r="G84" s="210" t="str">
        <f>DPO!I84</f>
        <v>-</v>
      </c>
      <c r="H84" s="211" t="str">
        <f>IF(NC!M85="-","-",IF(Preenchimento!$F$7="Stand e Apresentação de Palco",(SUM(NC!F85:L85)/7),IF(Preenchimento!$F$7="Stand",(SUM(NC!I85:L85)/4),"S.N.C")))</f>
        <v>-</v>
      </c>
      <c r="I84" s="208" t="str">
        <f t="shared" si="1"/>
        <v>-</v>
      </c>
    </row>
    <row r="85" ht="15.75" customHeight="1">
      <c r="A85" s="204">
        <v>83.0</v>
      </c>
      <c r="B85" s="212" t="str">
        <f>IF(Preenchimento!B92="","-",Preenchimento!B92)</f>
        <v>-</v>
      </c>
      <c r="C85" s="19" t="str">
        <f>IF(Preenchimento!D92="","-",Preenchimento!D92)</f>
        <v>-</v>
      </c>
      <c r="D85" s="207" t="str">
        <f>Treinamentos!H85</f>
        <v>-</v>
      </c>
      <c r="E85" s="207" t="str">
        <f>IFERROR(AVERAGE('Avaliações'!E86:N86),"Sem Nota")</f>
        <v>Sem Nota</v>
      </c>
      <c r="F85" s="207" t="str">
        <f>IFERROR(AVERAGE('Avaliações'!O86:X86),"Sem Nota")</f>
        <v>Sem Nota</v>
      </c>
      <c r="G85" s="207" t="str">
        <f>DPO!I85</f>
        <v>-</v>
      </c>
      <c r="H85" s="208" t="str">
        <f>IF(NC!M86="-","-",IF(Preenchimento!$F$7="Stand e Apresentação de Palco",(SUM(NC!F86:L86)/7),IF(Preenchimento!$F$7="Stand",(SUM(NC!I86:L86)/4),"S.N.C")))</f>
        <v>-</v>
      </c>
      <c r="I85" s="208" t="str">
        <f t="shared" si="1"/>
        <v>-</v>
      </c>
    </row>
    <row r="86" ht="15.75" customHeight="1">
      <c r="A86" s="204">
        <v>84.0</v>
      </c>
      <c r="B86" s="209" t="str">
        <f>IF(Preenchimento!B93="","-",Preenchimento!B93)</f>
        <v>-</v>
      </c>
      <c r="C86" s="141" t="str">
        <f>IF(Preenchimento!D93="","-",Preenchimento!D93)</f>
        <v>-</v>
      </c>
      <c r="D86" s="210" t="str">
        <f>Treinamentos!H86</f>
        <v>-</v>
      </c>
      <c r="E86" s="210" t="str">
        <f>IFERROR(AVERAGE('Avaliações'!E87:N87),"Sem Nota")</f>
        <v>Sem Nota</v>
      </c>
      <c r="F86" s="210" t="str">
        <f>IFERROR(AVERAGE('Avaliações'!O87:X87),"Sem Nota")</f>
        <v>Sem Nota</v>
      </c>
      <c r="G86" s="210" t="str">
        <f>DPO!I86</f>
        <v>-</v>
      </c>
      <c r="H86" s="211" t="str">
        <f>IF(NC!M87="-","-",IF(Preenchimento!$F$7="Stand e Apresentação de Palco",(SUM(NC!F87:L87)/7),IF(Preenchimento!$F$7="Stand",(SUM(NC!I87:L87)/4),"S.N.C")))</f>
        <v>-</v>
      </c>
      <c r="I86" s="208" t="str">
        <f t="shared" si="1"/>
        <v>-</v>
      </c>
    </row>
    <row r="87" ht="15.75" customHeight="1">
      <c r="A87" s="204">
        <v>85.0</v>
      </c>
      <c r="B87" s="212" t="str">
        <f>IF(Preenchimento!B94="","-",Preenchimento!B94)</f>
        <v>-</v>
      </c>
      <c r="C87" s="19" t="str">
        <f>IF(Preenchimento!D94="","-",Preenchimento!D94)</f>
        <v>-</v>
      </c>
      <c r="D87" s="207" t="str">
        <f>Treinamentos!H87</f>
        <v>-</v>
      </c>
      <c r="E87" s="207" t="str">
        <f>IFERROR(AVERAGE('Avaliações'!E88:N88),"Sem Nota")</f>
        <v>Sem Nota</v>
      </c>
      <c r="F87" s="207" t="str">
        <f>IFERROR(AVERAGE('Avaliações'!O88:X88),"Sem Nota")</f>
        <v>Sem Nota</v>
      </c>
      <c r="G87" s="207" t="str">
        <f>DPO!I87</f>
        <v>-</v>
      </c>
      <c r="H87" s="208" t="str">
        <f>IF(NC!M88="-","-",IF(Preenchimento!$F$7="Stand e Apresentação de Palco",(SUM(NC!F88:L88)/7),IF(Preenchimento!$F$7="Stand",(SUM(NC!I88:L88)/4),"S.N.C")))</f>
        <v>-</v>
      </c>
      <c r="I87" s="208" t="str">
        <f t="shared" si="1"/>
        <v>-</v>
      </c>
    </row>
    <row r="88" ht="15.75" customHeight="1">
      <c r="A88" s="204">
        <v>86.0</v>
      </c>
      <c r="B88" s="209" t="str">
        <f>IF(Preenchimento!B95="","-",Preenchimento!B95)</f>
        <v>-</v>
      </c>
      <c r="C88" s="141" t="str">
        <f>IF(Preenchimento!D95="","-",Preenchimento!D95)</f>
        <v>-</v>
      </c>
      <c r="D88" s="210" t="str">
        <f>Treinamentos!H88</f>
        <v>-</v>
      </c>
      <c r="E88" s="210" t="str">
        <f>IFERROR(AVERAGE('Avaliações'!E89:N89),"Sem Nota")</f>
        <v>Sem Nota</v>
      </c>
      <c r="F88" s="210" t="str">
        <f>IFERROR(AVERAGE('Avaliações'!O89:X89),"Sem Nota")</f>
        <v>Sem Nota</v>
      </c>
      <c r="G88" s="210" t="str">
        <f>DPO!I88</f>
        <v>-</v>
      </c>
      <c r="H88" s="211" t="str">
        <f>IF(NC!M89="-","-",IF(Preenchimento!$F$7="Stand e Apresentação de Palco",(SUM(NC!F89:L89)/7),IF(Preenchimento!$F$7="Stand",(SUM(NC!I89:L89)/4),"S.N.C")))</f>
        <v>-</v>
      </c>
      <c r="I88" s="208" t="str">
        <f t="shared" si="1"/>
        <v>-</v>
      </c>
    </row>
    <row r="89" ht="15.75" customHeight="1">
      <c r="A89" s="204">
        <v>87.0</v>
      </c>
      <c r="B89" s="212" t="str">
        <f>IF(Preenchimento!B96="","-",Preenchimento!B96)</f>
        <v>-</v>
      </c>
      <c r="C89" s="19" t="str">
        <f>IF(Preenchimento!D96="","-",Preenchimento!D96)</f>
        <v>-</v>
      </c>
      <c r="D89" s="207" t="str">
        <f>Treinamentos!H89</f>
        <v>-</v>
      </c>
      <c r="E89" s="207" t="str">
        <f>IFERROR(AVERAGE('Avaliações'!E90:N90),"Sem Nota")</f>
        <v>Sem Nota</v>
      </c>
      <c r="F89" s="207" t="str">
        <f>IFERROR(AVERAGE('Avaliações'!O90:X90),"Sem Nota")</f>
        <v>Sem Nota</v>
      </c>
      <c r="G89" s="207" t="str">
        <f>DPO!I89</f>
        <v>-</v>
      </c>
      <c r="H89" s="208" t="str">
        <f>IF(NC!M90="-","-",IF(Preenchimento!$F$7="Stand e Apresentação de Palco",(SUM(NC!F90:L90)/7),IF(Preenchimento!$F$7="Stand",(SUM(NC!I90:L90)/4),"S.N.C")))</f>
        <v>-</v>
      </c>
      <c r="I89" s="208" t="str">
        <f t="shared" si="1"/>
        <v>-</v>
      </c>
    </row>
    <row r="90" ht="15.75" customHeight="1">
      <c r="A90" s="204">
        <v>88.0</v>
      </c>
      <c r="B90" s="209" t="str">
        <f>IF(Preenchimento!B97="","-",Preenchimento!B97)</f>
        <v>-</v>
      </c>
      <c r="C90" s="141" t="str">
        <f>IF(Preenchimento!D97="","-",Preenchimento!D97)</f>
        <v>-</v>
      </c>
      <c r="D90" s="210" t="str">
        <f>Treinamentos!H90</f>
        <v>-</v>
      </c>
      <c r="E90" s="210" t="str">
        <f>IFERROR(AVERAGE('Avaliações'!E91:N91),"Sem Nota")</f>
        <v>Sem Nota</v>
      </c>
      <c r="F90" s="210" t="str">
        <f>IFERROR(AVERAGE('Avaliações'!O91:X91),"Sem Nota")</f>
        <v>Sem Nota</v>
      </c>
      <c r="G90" s="210" t="str">
        <f>DPO!I90</f>
        <v>-</v>
      </c>
      <c r="H90" s="211" t="str">
        <f>IF(NC!M91="-","-",IF(Preenchimento!$F$7="Stand e Apresentação de Palco",(SUM(NC!F91:L91)/7),IF(Preenchimento!$F$7="Stand",(SUM(NC!I91:L91)/4),"S.N.C")))</f>
        <v>-</v>
      </c>
      <c r="I90" s="208" t="str">
        <f t="shared" si="1"/>
        <v>-</v>
      </c>
    </row>
    <row r="91" ht="15.75" customHeight="1">
      <c r="A91" s="204">
        <v>89.0</v>
      </c>
      <c r="B91" s="212" t="str">
        <f>IF(Preenchimento!B98="","-",Preenchimento!B98)</f>
        <v>-</v>
      </c>
      <c r="C91" s="19" t="str">
        <f>IF(Preenchimento!D98="","-",Preenchimento!D98)</f>
        <v>-</v>
      </c>
      <c r="D91" s="207" t="str">
        <f>Treinamentos!H91</f>
        <v>-</v>
      </c>
      <c r="E91" s="207" t="str">
        <f>IFERROR(AVERAGE('Avaliações'!E92:N92),"Sem Nota")</f>
        <v>Sem Nota</v>
      </c>
      <c r="F91" s="207" t="str">
        <f>IFERROR(AVERAGE('Avaliações'!O92:X92),"Sem Nota")</f>
        <v>Sem Nota</v>
      </c>
      <c r="G91" s="207" t="str">
        <f>DPO!I91</f>
        <v>-</v>
      </c>
      <c r="H91" s="208" t="str">
        <f>IF(NC!M92="-","-",IF(Preenchimento!$F$7="Stand e Apresentação de Palco",(SUM(NC!F92:L92)/7),IF(Preenchimento!$F$7="Stand",(SUM(NC!I92:L92)/4),"S.N.C")))</f>
        <v>-</v>
      </c>
      <c r="I91" s="208" t="str">
        <f t="shared" si="1"/>
        <v>-</v>
      </c>
    </row>
    <row r="92" ht="15.75" customHeight="1">
      <c r="A92" s="204">
        <v>90.0</v>
      </c>
      <c r="B92" s="209" t="str">
        <f>IF(Preenchimento!B99="","-",Preenchimento!B99)</f>
        <v>-</v>
      </c>
      <c r="C92" s="141" t="str">
        <f>IF(Preenchimento!D99="","-",Preenchimento!D99)</f>
        <v>-</v>
      </c>
      <c r="D92" s="210" t="str">
        <f>Treinamentos!H92</f>
        <v>-</v>
      </c>
      <c r="E92" s="210" t="str">
        <f>IFERROR(AVERAGE('Avaliações'!E93:N93),"Sem Nota")</f>
        <v>Sem Nota</v>
      </c>
      <c r="F92" s="210" t="str">
        <f>IFERROR(AVERAGE('Avaliações'!O93:X93),"Sem Nota")</f>
        <v>Sem Nota</v>
      </c>
      <c r="G92" s="210" t="str">
        <f>DPO!I92</f>
        <v>-</v>
      </c>
      <c r="H92" s="211" t="str">
        <f>IF(NC!M93="-","-",IF(Preenchimento!$F$7="Stand e Apresentação de Palco",(SUM(NC!F93:L93)/7),IF(Preenchimento!$F$7="Stand",(SUM(NC!I93:L93)/4),"S.N.C")))</f>
        <v>-</v>
      </c>
      <c r="I92" s="208" t="str">
        <f t="shared" si="1"/>
        <v>-</v>
      </c>
    </row>
    <row r="93" ht="15.75" customHeight="1">
      <c r="A93" s="204">
        <v>91.0</v>
      </c>
      <c r="B93" s="212" t="str">
        <f>IF(Preenchimento!B100="","-",Preenchimento!B100)</f>
        <v>-</v>
      </c>
      <c r="C93" s="19" t="str">
        <f>IF(Preenchimento!D100="","-",Preenchimento!D100)</f>
        <v>-</v>
      </c>
      <c r="D93" s="207" t="str">
        <f>Treinamentos!H93</f>
        <v>-</v>
      </c>
      <c r="E93" s="207" t="str">
        <f>IFERROR(AVERAGE('Avaliações'!E94:N94),"Sem Nota")</f>
        <v>Sem Nota</v>
      </c>
      <c r="F93" s="207" t="str">
        <f>IFERROR(AVERAGE('Avaliações'!O94:X94),"Sem Nota")</f>
        <v>Sem Nota</v>
      </c>
      <c r="G93" s="207" t="str">
        <f>DPO!I93</f>
        <v>-</v>
      </c>
      <c r="H93" s="208" t="str">
        <f>IF(NC!M94="-","-",IF(Preenchimento!$F$7="Stand e Apresentação de Palco",(SUM(NC!F94:L94)/7),IF(Preenchimento!$F$7="Stand",(SUM(NC!I94:L94)/4),"S.N.C")))</f>
        <v>-</v>
      </c>
      <c r="I93" s="208" t="str">
        <f t="shared" si="1"/>
        <v>-</v>
      </c>
    </row>
    <row r="94" ht="15.75" customHeight="1">
      <c r="A94" s="204">
        <v>92.0</v>
      </c>
      <c r="B94" s="209" t="str">
        <f>IF(Preenchimento!B101="","-",Preenchimento!B101)</f>
        <v>-</v>
      </c>
      <c r="C94" s="141" t="str">
        <f>IF(Preenchimento!D101="","-",Preenchimento!D101)</f>
        <v>-</v>
      </c>
      <c r="D94" s="210" t="str">
        <f>Treinamentos!H94</f>
        <v>-</v>
      </c>
      <c r="E94" s="210" t="str">
        <f>IFERROR(AVERAGE('Avaliações'!E95:N95),"Sem Nota")</f>
        <v>Sem Nota</v>
      </c>
      <c r="F94" s="210" t="str">
        <f>IFERROR(AVERAGE('Avaliações'!O95:X95),"Sem Nota")</f>
        <v>Sem Nota</v>
      </c>
      <c r="G94" s="210" t="str">
        <f>DPO!I94</f>
        <v>-</v>
      </c>
      <c r="H94" s="211" t="str">
        <f>IF(NC!M95="-","-",IF(Preenchimento!$F$7="Stand e Apresentação de Palco",(SUM(NC!F95:L95)/7),IF(Preenchimento!$F$7="Stand",(SUM(NC!I95:L95)/4),"S.N.C")))</f>
        <v>-</v>
      </c>
      <c r="I94" s="208" t="str">
        <f t="shared" si="1"/>
        <v>-</v>
      </c>
    </row>
    <row r="95" ht="15.75" customHeight="1">
      <c r="A95" s="204">
        <v>93.0</v>
      </c>
      <c r="B95" s="212" t="str">
        <f>IF(Preenchimento!B102="","-",Preenchimento!B102)</f>
        <v>-</v>
      </c>
      <c r="C95" s="19" t="str">
        <f>IF(Preenchimento!D102="","-",Preenchimento!D102)</f>
        <v>-</v>
      </c>
      <c r="D95" s="207" t="str">
        <f>Treinamentos!H95</f>
        <v>-</v>
      </c>
      <c r="E95" s="207" t="str">
        <f>IFERROR(AVERAGE('Avaliações'!E96:N96),"Sem Nota")</f>
        <v>Sem Nota</v>
      </c>
      <c r="F95" s="207" t="str">
        <f>IFERROR(AVERAGE('Avaliações'!O96:X96),"Sem Nota")</f>
        <v>Sem Nota</v>
      </c>
      <c r="G95" s="207" t="str">
        <f>DPO!I95</f>
        <v>-</v>
      </c>
      <c r="H95" s="208" t="str">
        <f>IF(NC!M96="-","-",IF(Preenchimento!$F$7="Stand e Apresentação de Palco",(SUM(NC!F96:L96)/7),IF(Preenchimento!$F$7="Stand",(SUM(NC!I96:L96)/4),"S.N.C")))</f>
        <v>-</v>
      </c>
      <c r="I95" s="208" t="str">
        <f t="shared" si="1"/>
        <v>-</v>
      </c>
    </row>
    <row r="96" ht="15.75" customHeight="1">
      <c r="A96" s="204">
        <v>94.0</v>
      </c>
      <c r="B96" s="209" t="str">
        <f>IF(Preenchimento!B103="","-",Preenchimento!B103)</f>
        <v>-</v>
      </c>
      <c r="C96" s="141" t="str">
        <f>IF(Preenchimento!D103="","-",Preenchimento!D103)</f>
        <v>-</v>
      </c>
      <c r="D96" s="210" t="str">
        <f>Treinamentos!H96</f>
        <v>-</v>
      </c>
      <c r="E96" s="210" t="str">
        <f>IFERROR(AVERAGE('Avaliações'!E97:N97),"Sem Nota")</f>
        <v>Sem Nota</v>
      </c>
      <c r="F96" s="210" t="str">
        <f>IFERROR(AVERAGE('Avaliações'!O97:X97),"Sem Nota")</f>
        <v>Sem Nota</v>
      </c>
      <c r="G96" s="210" t="str">
        <f>DPO!I96</f>
        <v>-</v>
      </c>
      <c r="H96" s="211" t="str">
        <f>IF(NC!M97="-","-",IF(Preenchimento!$F$7="Stand e Apresentação de Palco",(SUM(NC!F97:L97)/7),IF(Preenchimento!$F$7="Stand",(SUM(NC!I97:L97)/4),"S.N.C")))</f>
        <v>-</v>
      </c>
      <c r="I96" s="208" t="str">
        <f t="shared" si="1"/>
        <v>-</v>
      </c>
    </row>
    <row r="97" ht="15.75" customHeight="1">
      <c r="A97" s="204">
        <v>95.0</v>
      </c>
      <c r="B97" s="212" t="str">
        <f>IF(Preenchimento!B104="","-",Preenchimento!B104)</f>
        <v>-</v>
      </c>
      <c r="C97" s="19" t="str">
        <f>IF(Preenchimento!D104="","-",Preenchimento!D104)</f>
        <v>-</v>
      </c>
      <c r="D97" s="207" t="str">
        <f>Treinamentos!H97</f>
        <v>-</v>
      </c>
      <c r="E97" s="207" t="str">
        <f>IFERROR(AVERAGE('Avaliações'!E98:N98),"Sem Nota")</f>
        <v>Sem Nota</v>
      </c>
      <c r="F97" s="207" t="str">
        <f>IFERROR(AVERAGE('Avaliações'!O98:X98),"Sem Nota")</f>
        <v>Sem Nota</v>
      </c>
      <c r="G97" s="207" t="str">
        <f>DPO!I97</f>
        <v>-</v>
      </c>
      <c r="H97" s="208" t="str">
        <f>IF(NC!M98="-","-",IF(Preenchimento!$F$7="Stand e Apresentação de Palco",(SUM(NC!F98:L98)/7),IF(Preenchimento!$F$7="Stand",(SUM(NC!I98:L98)/4),"S.N.C")))</f>
        <v>-</v>
      </c>
      <c r="I97" s="208" t="str">
        <f t="shared" si="1"/>
        <v>-</v>
      </c>
    </row>
    <row r="98" ht="15.75" customHeight="1">
      <c r="A98" s="204">
        <v>96.0</v>
      </c>
      <c r="B98" s="209" t="str">
        <f>IF(Preenchimento!B105="","-",Preenchimento!B105)</f>
        <v>-</v>
      </c>
      <c r="C98" s="141" t="str">
        <f>IF(Preenchimento!D105="","-",Preenchimento!D105)</f>
        <v>-</v>
      </c>
      <c r="D98" s="210" t="str">
        <f>Treinamentos!H98</f>
        <v>-</v>
      </c>
      <c r="E98" s="210" t="str">
        <f>IFERROR(AVERAGE('Avaliações'!E99:N99),"Sem Nota")</f>
        <v>Sem Nota</v>
      </c>
      <c r="F98" s="210" t="str">
        <f>IFERROR(AVERAGE('Avaliações'!O99:X99),"Sem Nota")</f>
        <v>Sem Nota</v>
      </c>
      <c r="G98" s="210" t="str">
        <f>DPO!I98</f>
        <v>-</v>
      </c>
      <c r="H98" s="211" t="str">
        <f>IF(NC!M99="-","-",IF(Preenchimento!$F$7="Stand e Apresentação de Palco",(SUM(NC!F99:L99)/7),IF(Preenchimento!$F$7="Stand",(SUM(NC!I99:L99)/4),"S.N.C")))</f>
        <v>-</v>
      </c>
      <c r="I98" s="208" t="str">
        <f t="shared" si="1"/>
        <v>-</v>
      </c>
    </row>
    <row r="99" ht="15.75" customHeight="1">
      <c r="A99" s="204">
        <v>97.0</v>
      </c>
      <c r="B99" s="212" t="str">
        <f>IF(Preenchimento!B106="","-",Preenchimento!B106)</f>
        <v>-</v>
      </c>
      <c r="C99" s="19" t="str">
        <f>IF(Preenchimento!D106="","-",Preenchimento!D106)</f>
        <v>-</v>
      </c>
      <c r="D99" s="207" t="str">
        <f>Treinamentos!H99</f>
        <v>-</v>
      </c>
      <c r="E99" s="207" t="str">
        <f>IFERROR(AVERAGE('Avaliações'!E100:N100),"Sem Nota")</f>
        <v>Sem Nota</v>
      </c>
      <c r="F99" s="207" t="str">
        <f>IFERROR(AVERAGE('Avaliações'!O100:X100),"Sem Nota")</f>
        <v>Sem Nota</v>
      </c>
      <c r="G99" s="207" t="str">
        <f>DPO!I99</f>
        <v>-</v>
      </c>
      <c r="H99" s="208" t="str">
        <f>IF(NC!M100="-","-",IF(Preenchimento!$F$7="Stand e Apresentação de Palco",(SUM(NC!F100:L100)/7),IF(Preenchimento!$F$7="Stand",(SUM(NC!I100:L100)/4),"S.N.C")))</f>
        <v>-</v>
      </c>
      <c r="I99" s="208" t="str">
        <f t="shared" si="1"/>
        <v>-</v>
      </c>
    </row>
    <row r="100" ht="15.75" customHeight="1">
      <c r="A100" s="204">
        <v>98.0</v>
      </c>
      <c r="B100" s="209" t="str">
        <f>IF(Preenchimento!B107="","-",Preenchimento!B107)</f>
        <v>-</v>
      </c>
      <c r="C100" s="141" t="str">
        <f>IF(Preenchimento!D107="","-",Preenchimento!D107)</f>
        <v>-</v>
      </c>
      <c r="D100" s="210" t="str">
        <f>Treinamentos!H100</f>
        <v>-</v>
      </c>
      <c r="E100" s="210" t="str">
        <f>IFERROR(AVERAGE('Avaliações'!E101:N101),"Sem Nota")</f>
        <v>Sem Nota</v>
      </c>
      <c r="F100" s="210" t="str">
        <f>IFERROR(AVERAGE('Avaliações'!O101:X101),"Sem Nota")</f>
        <v>Sem Nota</v>
      </c>
      <c r="G100" s="210" t="str">
        <f>DPO!I100</f>
        <v>-</v>
      </c>
      <c r="H100" s="211" t="str">
        <f>IF(NC!M101="-","-",IF(Preenchimento!$F$7="Stand e Apresentação de Palco",(SUM(NC!F101:L101)/7),IF(Preenchimento!$F$7="Stand",(SUM(NC!I101:L101)/4),"S.N.C")))</f>
        <v>-</v>
      </c>
      <c r="I100" s="208" t="str">
        <f t="shared" si="1"/>
        <v>-</v>
      </c>
    </row>
    <row r="101" ht="15.75" customHeight="1">
      <c r="A101" s="204">
        <v>99.0</v>
      </c>
      <c r="B101" s="212" t="str">
        <f>IF(Preenchimento!B108="","-",Preenchimento!B108)</f>
        <v>-</v>
      </c>
      <c r="C101" s="19" t="str">
        <f>IF(Preenchimento!D108="","-",Preenchimento!D108)</f>
        <v>-</v>
      </c>
      <c r="D101" s="207" t="str">
        <f>Treinamentos!H101</f>
        <v>-</v>
      </c>
      <c r="E101" s="207" t="str">
        <f>IFERROR(AVERAGE('Avaliações'!E102:N102),"Sem Nota")</f>
        <v>Sem Nota</v>
      </c>
      <c r="F101" s="207" t="str">
        <f>IFERROR(AVERAGE('Avaliações'!O102:X102),"Sem Nota")</f>
        <v>Sem Nota</v>
      </c>
      <c r="G101" s="207" t="str">
        <f>DPO!I101</f>
        <v>-</v>
      </c>
      <c r="H101" s="208" t="str">
        <f>IF(NC!M102="-","-",IF(Preenchimento!$F$7="Stand e Apresentação de Palco",(SUM(NC!F102:L102)/7),IF(Preenchimento!$F$7="Stand",(SUM(NC!I102:L102)/4),"S.N.C")))</f>
        <v>-</v>
      </c>
      <c r="I101" s="208" t="str">
        <f t="shared" si="1"/>
        <v>-</v>
      </c>
    </row>
    <row r="102" ht="15.75" customHeight="1">
      <c r="A102" s="204">
        <v>100.0</v>
      </c>
      <c r="B102" s="213" t="str">
        <f>IF(Preenchimento!B109="","-",Preenchimento!B109)</f>
        <v>-</v>
      </c>
      <c r="C102" s="214" t="str">
        <f>IF(Preenchimento!D109="","-",Preenchimento!D109)</f>
        <v>-</v>
      </c>
      <c r="D102" s="210" t="str">
        <f>Treinamentos!H102</f>
        <v>-</v>
      </c>
      <c r="E102" s="210" t="str">
        <f>IFERROR(AVERAGE('Avaliações'!E103:N103),"Sem Nota")</f>
        <v>Sem Nota</v>
      </c>
      <c r="F102" s="210" t="str">
        <f>IFERROR(AVERAGE('Avaliações'!O103:X103),"Sem Nota")</f>
        <v>Sem Nota</v>
      </c>
      <c r="G102" s="210" t="str">
        <f>DPO!I102</f>
        <v>-</v>
      </c>
      <c r="H102" s="211" t="str">
        <f>IF(NC!M103="-","-",IF(Preenchimento!$F$7="Stand e Apresentação de Palco",(SUM(NC!F103:L103)/7),IF(Preenchimento!$F$7="Stand",(SUM(NC!I103:L103)/4),"S.N.C")))</f>
        <v>-</v>
      </c>
      <c r="I102" s="208" t="str">
        <f t="shared" si="1"/>
        <v>-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I1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40.43"/>
    <col customWidth="1" min="3" max="3" width="14.86"/>
    <col customWidth="1" min="4" max="5" width="17.29"/>
    <col customWidth="1" min="6" max="6" width="24.0"/>
    <col customWidth="1" min="7" max="7" width="25.86"/>
  </cols>
  <sheetData>
    <row r="1" ht="26.25" customHeight="1">
      <c r="A1" s="215" t="s">
        <v>75</v>
      </c>
      <c r="B1" s="9"/>
      <c r="C1" s="9"/>
      <c r="D1" s="9"/>
      <c r="E1" s="9"/>
      <c r="F1" s="9"/>
      <c r="G1" s="9"/>
    </row>
    <row r="2">
      <c r="A2" s="200"/>
      <c r="B2" s="200" t="s">
        <v>6</v>
      </c>
      <c r="C2" s="200" t="s">
        <v>76</v>
      </c>
      <c r="D2" s="200" t="s">
        <v>9</v>
      </c>
      <c r="E2" s="200" t="s">
        <v>77</v>
      </c>
      <c r="F2" s="11" t="s">
        <v>7</v>
      </c>
      <c r="G2" s="11" t="s">
        <v>13</v>
      </c>
    </row>
    <row r="3" ht="13.5" customHeight="1">
      <c r="A3" s="204">
        <v>1.0</v>
      </c>
      <c r="B3" s="216" t="str">
        <f>IF(Preenchimento!B12=0, "-", Preenchimento!B12)</f>
        <v>-</v>
      </c>
      <c r="C3" s="216" t="str">
        <f>IF(Preenchimento!C12=0,"-", Preenchimento!C12)</f>
        <v>-</v>
      </c>
      <c r="D3" s="217" t="str">
        <f>IF(Preenchimento!F12=0,"-", Preenchimento!F12)</f>
        <v>-</v>
      </c>
      <c r="E3" s="218" t="str">
        <f>IF(Resultados!I5="-", "0", Resultados!I5)</f>
        <v>0</v>
      </c>
      <c r="F3" s="219" t="str">
        <f>IF(Preenchimento!G12=0, "-", Preenchimento!G12)</f>
        <v>-</v>
      </c>
      <c r="G3" s="219" t="str">
        <f>IF(Preenchimento!H12=0, "-", Preenchimento!H12)</f>
        <v>-</v>
      </c>
    </row>
    <row r="4">
      <c r="A4" s="204">
        <v>2.0</v>
      </c>
      <c r="B4" s="216" t="str">
        <f>IF(Preenchimento!B13=0, "-", Preenchimento!B13)</f>
        <v>-</v>
      </c>
      <c r="C4" s="216" t="str">
        <f>IF(Preenchimento!C13=0,"-", Preenchimento!C13)</f>
        <v>-</v>
      </c>
      <c r="D4" s="217" t="str">
        <f>IF(Preenchimento!F13=0,"-", Preenchimento!F13)</f>
        <v>-</v>
      </c>
      <c r="E4" s="218" t="str">
        <f>IF(Resultados!I6="-", "0", Resultados!I6)</f>
        <v>0</v>
      </c>
      <c r="F4" s="219" t="str">
        <f>IF(Preenchimento!G13=0, "-", Preenchimento!G13)</f>
        <v>-</v>
      </c>
      <c r="G4" s="219" t="str">
        <f>IF(Preenchimento!H13=0, "-", Preenchimento!H13)</f>
        <v>-</v>
      </c>
    </row>
    <row r="5">
      <c r="A5" s="204">
        <v>3.0</v>
      </c>
      <c r="B5" s="216" t="str">
        <f>IF(Preenchimento!B11=0, "-", Preenchimento!B11)</f>
        <v>-</v>
      </c>
      <c r="C5" s="216" t="str">
        <f>IF(Preenchimento!C11=0,"-", Preenchimento!C11)</f>
        <v>-</v>
      </c>
      <c r="D5" s="217" t="str">
        <f>IF(Preenchimento!F11=0,"-", Preenchimento!F11)</f>
        <v>-</v>
      </c>
      <c r="E5" s="218" t="str">
        <f>IF(Resultados!I4="-", "0", Resultados!I4)</f>
        <v>0</v>
      </c>
      <c r="F5" s="219" t="str">
        <f>IF(Preenchimento!G11=0, "-", Preenchimento!G11)</f>
        <v>-</v>
      </c>
      <c r="G5" s="219" t="str">
        <f>IF(Preenchimento!H11=0, "-", Preenchimento!H11)</f>
        <v>-</v>
      </c>
    </row>
    <row r="6">
      <c r="A6" s="204">
        <v>4.0</v>
      </c>
      <c r="B6" s="216" t="str">
        <f>IF(Preenchimento!B10=0, "-", Preenchimento!B10)</f>
        <v>-</v>
      </c>
      <c r="C6" s="216" t="str">
        <f>IF(Preenchimento!C10=0,"-", Preenchimento!C10)</f>
        <v>-</v>
      </c>
      <c r="D6" s="217" t="str">
        <f>IF(Preenchimento!F10=0,"-", Preenchimento!F10)</f>
        <v>-</v>
      </c>
      <c r="E6" s="218" t="str">
        <f>IF(Resultados!I3="-", "0", Resultados!I3)</f>
        <v>0</v>
      </c>
      <c r="F6" s="219" t="str">
        <f>IF(Preenchimento!G10=0, "-", Preenchimento!G10)</f>
        <v>-</v>
      </c>
      <c r="G6" s="219" t="str">
        <f>IF(Preenchimento!H10=0, "-", Preenchimento!H10)</f>
        <v>-</v>
      </c>
    </row>
    <row r="7">
      <c r="A7" s="204">
        <v>5.0</v>
      </c>
      <c r="B7" s="216" t="str">
        <f>IF(Preenchimento!B14=0, "-", Preenchimento!B14)</f>
        <v>-</v>
      </c>
      <c r="C7" s="216" t="str">
        <f>IF(Preenchimento!C14=0,"-", Preenchimento!C14)</f>
        <v>-</v>
      </c>
      <c r="D7" s="217" t="str">
        <f>IF(Preenchimento!F14=0,"-", Preenchimento!F14)</f>
        <v>-</v>
      </c>
      <c r="E7" s="218" t="str">
        <f>IF(Resultados!I7="-", "0", Resultados!I7)</f>
        <v>0</v>
      </c>
      <c r="F7" s="219" t="str">
        <f>IF(Preenchimento!G14=0, "-", Preenchimento!G14)</f>
        <v>-</v>
      </c>
      <c r="G7" s="219" t="str">
        <f>IF(Preenchimento!H14=0, "-", Preenchimento!H14)</f>
        <v>-</v>
      </c>
    </row>
    <row r="8">
      <c r="A8" s="204">
        <v>6.0</v>
      </c>
      <c r="B8" s="216" t="str">
        <f>IF(Preenchimento!B15=0, "-", Preenchimento!B15)</f>
        <v>-</v>
      </c>
      <c r="C8" s="216" t="str">
        <f>IF(Preenchimento!C15=0,"-", Preenchimento!C15)</f>
        <v>-</v>
      </c>
      <c r="D8" s="217" t="str">
        <f>IF(Preenchimento!F15=0,"-", Preenchimento!F15)</f>
        <v>-</v>
      </c>
      <c r="E8" s="218" t="str">
        <f>IF(Resultados!I8="-", "0", Resultados!I8)</f>
        <v>0</v>
      </c>
      <c r="F8" s="219" t="str">
        <f>IF(Preenchimento!G15=0, "-", Preenchimento!G15)</f>
        <v>-</v>
      </c>
      <c r="G8" s="219" t="str">
        <f>IF(Preenchimento!H15=0, "-", Preenchimento!H15)</f>
        <v>-</v>
      </c>
    </row>
    <row r="9">
      <c r="A9" s="204">
        <v>7.0</v>
      </c>
      <c r="B9" s="216" t="str">
        <f>IF(Preenchimento!B16=0, "-", Preenchimento!B16)</f>
        <v>-</v>
      </c>
      <c r="C9" s="216" t="str">
        <f>IF(Preenchimento!C16=0,"-", Preenchimento!C16)</f>
        <v>-</v>
      </c>
      <c r="D9" s="217" t="str">
        <f>IF(Preenchimento!F16=0,"-", Preenchimento!F16)</f>
        <v>-</v>
      </c>
      <c r="E9" s="218" t="str">
        <f>IF(Resultados!I9="-", "0", Resultados!I9)</f>
        <v>0</v>
      </c>
      <c r="F9" s="219" t="str">
        <f>IF(Preenchimento!G16=0, "-", Preenchimento!G16)</f>
        <v>-</v>
      </c>
      <c r="G9" s="219" t="str">
        <f>IF(Preenchimento!H16=0, "-", Preenchimento!H16)</f>
        <v>-</v>
      </c>
    </row>
    <row r="10">
      <c r="A10" s="204">
        <v>8.0</v>
      </c>
      <c r="B10" s="216" t="str">
        <f>IF(Preenchimento!B17=0, "-", Preenchimento!B17)</f>
        <v>-</v>
      </c>
      <c r="C10" s="216" t="str">
        <f>IF(Preenchimento!C17=0,"-", Preenchimento!C17)</f>
        <v>-</v>
      </c>
      <c r="D10" s="217" t="str">
        <f>IF(Preenchimento!F17=0,"-", Preenchimento!F17)</f>
        <v>-</v>
      </c>
      <c r="E10" s="218" t="str">
        <f>IF(Resultados!I10="-", "0", Resultados!I10)</f>
        <v>0</v>
      </c>
      <c r="F10" s="219" t="str">
        <f>IF(Preenchimento!G17=0, "-", Preenchimento!G17)</f>
        <v>-</v>
      </c>
      <c r="G10" s="219" t="str">
        <f>IF(Preenchimento!H17=0, "-", Preenchimento!H17)</f>
        <v>-</v>
      </c>
    </row>
    <row r="11">
      <c r="A11" s="204">
        <v>9.0</v>
      </c>
      <c r="B11" s="216" t="str">
        <f>IF(Preenchimento!B18=0, "-", Preenchimento!B18)</f>
        <v>-</v>
      </c>
      <c r="C11" s="216" t="str">
        <f>IF(Preenchimento!C18=0,"-", Preenchimento!C18)</f>
        <v>-</v>
      </c>
      <c r="D11" s="217" t="str">
        <f>IF(Preenchimento!F18=0,"-", Preenchimento!F18)</f>
        <v>-</v>
      </c>
      <c r="E11" s="218" t="str">
        <f>IF(Resultados!I11="-", "0", Resultados!I11)</f>
        <v>0</v>
      </c>
      <c r="F11" s="219" t="str">
        <f>IF(Preenchimento!G18=0, "-", Preenchimento!G18)</f>
        <v>-</v>
      </c>
      <c r="G11" s="219" t="str">
        <f>IF(Preenchimento!H18=0, "-", Preenchimento!H18)</f>
        <v>-</v>
      </c>
    </row>
    <row r="12">
      <c r="A12" s="204">
        <v>10.0</v>
      </c>
      <c r="B12" s="216" t="str">
        <f>IF(Preenchimento!B19=0, "-", Preenchimento!B19)</f>
        <v>-</v>
      </c>
      <c r="C12" s="216" t="str">
        <f>IF(Preenchimento!C19=0,"-", Preenchimento!C19)</f>
        <v>-</v>
      </c>
      <c r="D12" s="217" t="str">
        <f>IF(Preenchimento!F19=0,"-", Preenchimento!F19)</f>
        <v>-</v>
      </c>
      <c r="E12" s="218" t="str">
        <f>IF(Resultados!I12="-", "0", Resultados!I12)</f>
        <v>0</v>
      </c>
      <c r="F12" s="219" t="str">
        <f>IF(Preenchimento!G19=0, "-", Preenchimento!G19)</f>
        <v>-</v>
      </c>
      <c r="G12" s="219" t="str">
        <f>IF(Preenchimento!H19=0, "-", Preenchimento!H19)</f>
        <v>-</v>
      </c>
    </row>
    <row r="13">
      <c r="A13" s="204">
        <v>11.0</v>
      </c>
      <c r="B13" s="216" t="str">
        <f>IF(Preenchimento!B20=0, "-", Preenchimento!B20)</f>
        <v>-</v>
      </c>
      <c r="C13" s="216" t="str">
        <f>IF(Preenchimento!C20=0,"-", Preenchimento!C20)</f>
        <v>-</v>
      </c>
      <c r="D13" s="217" t="str">
        <f>IF(Preenchimento!F20=0,"-", Preenchimento!F20)</f>
        <v>-</v>
      </c>
      <c r="E13" s="218" t="str">
        <f>IF(Resultados!I13="-", "0", Resultados!I13)</f>
        <v>0</v>
      </c>
      <c r="F13" s="219" t="str">
        <f>IF(Preenchimento!G20=0, "-", Preenchimento!G20)</f>
        <v>-</v>
      </c>
      <c r="G13" s="219" t="str">
        <f>IF(Preenchimento!H20=0, "-", Preenchimento!H20)</f>
        <v>-</v>
      </c>
    </row>
    <row r="14">
      <c r="A14" s="204">
        <v>12.0</v>
      </c>
      <c r="B14" s="216" t="str">
        <f>IF(Preenchimento!B21=0, "-", Preenchimento!B21)</f>
        <v>-</v>
      </c>
      <c r="C14" s="216" t="str">
        <f>IF(Preenchimento!C21=0,"-", Preenchimento!C21)</f>
        <v>-</v>
      </c>
      <c r="D14" s="217" t="str">
        <f>IF(Preenchimento!F21=0,"-", Preenchimento!F21)</f>
        <v>-</v>
      </c>
      <c r="E14" s="218" t="str">
        <f>IF(Resultados!I14="-", "0", Resultados!I14)</f>
        <v>0</v>
      </c>
      <c r="F14" s="219" t="str">
        <f>IF(Preenchimento!G21=0, "-", Preenchimento!G21)</f>
        <v>-</v>
      </c>
      <c r="G14" s="219" t="str">
        <f>IF(Preenchimento!H21=0, "-", Preenchimento!H21)</f>
        <v>-</v>
      </c>
    </row>
    <row r="15">
      <c r="A15" s="204">
        <v>13.0</v>
      </c>
      <c r="B15" s="216" t="str">
        <f>IF(Preenchimento!B22=0, "-", Preenchimento!B22)</f>
        <v>-</v>
      </c>
      <c r="C15" s="216" t="str">
        <f>IF(Preenchimento!C22=0,"-", Preenchimento!C22)</f>
        <v>-</v>
      </c>
      <c r="D15" s="217" t="str">
        <f>IF(Preenchimento!F22=0,"-", Preenchimento!F22)</f>
        <v>-</v>
      </c>
      <c r="E15" s="218" t="str">
        <f>IF(Resultados!I15="-", "0", Resultados!I15)</f>
        <v>0</v>
      </c>
      <c r="F15" s="219" t="str">
        <f>IF(Preenchimento!G22=0, "-", Preenchimento!G22)</f>
        <v>-</v>
      </c>
      <c r="G15" s="219" t="str">
        <f>IF(Preenchimento!H22=0, "-", Preenchimento!H22)</f>
        <v>-</v>
      </c>
    </row>
    <row r="16">
      <c r="A16" s="204">
        <v>14.0</v>
      </c>
      <c r="B16" s="216" t="str">
        <f>IF(Preenchimento!B23=0, "-", Preenchimento!B23)</f>
        <v>-</v>
      </c>
      <c r="C16" s="216" t="str">
        <f>IF(Preenchimento!C23=0,"-", Preenchimento!C23)</f>
        <v>-</v>
      </c>
      <c r="D16" s="217" t="str">
        <f>IF(Preenchimento!F23=0,"-", Preenchimento!F23)</f>
        <v>-</v>
      </c>
      <c r="E16" s="218" t="str">
        <f>IF(Resultados!I16="-", "0", Resultados!I16)</f>
        <v>0</v>
      </c>
      <c r="F16" s="219" t="str">
        <f>IF(Preenchimento!G23=0, "-", Preenchimento!G23)</f>
        <v>-</v>
      </c>
      <c r="G16" s="219" t="str">
        <f>IF(Preenchimento!H23=0, "-", Preenchimento!H23)</f>
        <v>-</v>
      </c>
    </row>
    <row r="17">
      <c r="A17" s="204">
        <v>15.0</v>
      </c>
      <c r="B17" s="216" t="str">
        <f>IF(Preenchimento!B24=0, "-", Preenchimento!B24)</f>
        <v>-</v>
      </c>
      <c r="C17" s="216" t="str">
        <f>IF(Preenchimento!C24=0,"-", Preenchimento!C24)</f>
        <v>-</v>
      </c>
      <c r="D17" s="217" t="str">
        <f>IF(Preenchimento!F24=0,"-", Preenchimento!F24)</f>
        <v>-</v>
      </c>
      <c r="E17" s="218" t="str">
        <f>IF(Resultados!I17="-", "0", Resultados!I17)</f>
        <v>0</v>
      </c>
      <c r="F17" s="219" t="str">
        <f>IF(Preenchimento!G24=0, "-", Preenchimento!G24)</f>
        <v>-</v>
      </c>
      <c r="G17" s="219" t="str">
        <f>IF(Preenchimento!H24=0, "-", Preenchimento!H24)</f>
        <v>-</v>
      </c>
    </row>
    <row r="18">
      <c r="A18" s="204">
        <v>16.0</v>
      </c>
      <c r="B18" s="216" t="str">
        <f>IF(Preenchimento!B25=0, "-", Preenchimento!B25)</f>
        <v>-</v>
      </c>
      <c r="C18" s="216" t="str">
        <f>IF(Preenchimento!C25=0,"-", Preenchimento!C25)</f>
        <v>-</v>
      </c>
      <c r="D18" s="217" t="str">
        <f>IF(Preenchimento!F25=0,"-", Preenchimento!F25)</f>
        <v>-</v>
      </c>
      <c r="E18" s="218" t="str">
        <f>IF(Resultados!I18="-", "0", Resultados!I18)</f>
        <v>0</v>
      </c>
      <c r="F18" s="219" t="str">
        <f>IF(Preenchimento!G25=0, "-", Preenchimento!G25)</f>
        <v>-</v>
      </c>
      <c r="G18" s="219" t="str">
        <f>IF(Preenchimento!H25=0, "-", Preenchimento!H25)</f>
        <v>-</v>
      </c>
    </row>
    <row r="19" ht="15.75" customHeight="1">
      <c r="A19" s="204">
        <v>17.0</v>
      </c>
      <c r="B19" s="216" t="str">
        <f>IF(Preenchimento!B26=0, "-", Preenchimento!B26)</f>
        <v>-</v>
      </c>
      <c r="C19" s="216" t="str">
        <f>IF(Preenchimento!C26=0,"-", Preenchimento!C26)</f>
        <v>-</v>
      </c>
      <c r="D19" s="217" t="str">
        <f>IF(Preenchimento!F26=0,"-", Preenchimento!F26)</f>
        <v>-</v>
      </c>
      <c r="E19" s="218" t="str">
        <f>IF(Resultados!I19="-", "0", Resultados!I19)</f>
        <v>0</v>
      </c>
      <c r="F19" s="219" t="str">
        <f>IF(Preenchimento!G26=0, "-", Preenchimento!G26)</f>
        <v>-</v>
      </c>
      <c r="G19" s="219" t="str">
        <f>IF(Preenchimento!H26=0, "-", Preenchimento!H26)</f>
        <v>-</v>
      </c>
    </row>
    <row r="20" ht="15.75" customHeight="1">
      <c r="A20" s="204">
        <v>18.0</v>
      </c>
      <c r="B20" s="216" t="str">
        <f>IF(Preenchimento!B27=0, "-", Preenchimento!B27)</f>
        <v>-</v>
      </c>
      <c r="C20" s="216" t="str">
        <f>IF(Preenchimento!C27=0,"-", Preenchimento!C27)</f>
        <v>-</v>
      </c>
      <c r="D20" s="217" t="str">
        <f>IF(Preenchimento!F27=0,"-", Preenchimento!F27)</f>
        <v>-</v>
      </c>
      <c r="E20" s="218" t="str">
        <f>IF(Resultados!I20="-", "0", Resultados!I20)</f>
        <v>0</v>
      </c>
      <c r="F20" s="219" t="str">
        <f>IF(Preenchimento!G27=0, "-", Preenchimento!G27)</f>
        <v>-</v>
      </c>
      <c r="G20" s="219" t="str">
        <f>IF(Preenchimento!H27=0, "-", Preenchimento!H27)</f>
        <v>-</v>
      </c>
    </row>
    <row r="21" ht="15.75" customHeight="1">
      <c r="A21" s="204">
        <v>19.0</v>
      </c>
      <c r="B21" s="216" t="str">
        <f>IF(Preenchimento!B28=0, "-", Preenchimento!B28)</f>
        <v>-</v>
      </c>
      <c r="C21" s="216" t="str">
        <f>IF(Preenchimento!C28=0,"-", Preenchimento!C28)</f>
        <v>-</v>
      </c>
      <c r="D21" s="217" t="str">
        <f>IF(Preenchimento!F28=0,"-", Preenchimento!F28)</f>
        <v>-</v>
      </c>
      <c r="E21" s="218" t="str">
        <f>IF(Resultados!I21="-", "0", Resultados!I21)</f>
        <v>0</v>
      </c>
      <c r="F21" s="219" t="str">
        <f>IF(Preenchimento!G28=0, "-", Preenchimento!G28)</f>
        <v>-</v>
      </c>
      <c r="G21" s="219" t="str">
        <f>IF(Preenchimento!H28=0, "-", Preenchimento!H28)</f>
        <v>-</v>
      </c>
    </row>
    <row r="22" ht="15.75" customHeight="1">
      <c r="A22" s="204">
        <v>20.0</v>
      </c>
      <c r="B22" s="216" t="str">
        <f>IF(Preenchimento!B29=0, "-", Preenchimento!B29)</f>
        <v>-</v>
      </c>
      <c r="C22" s="216" t="str">
        <f>IF(Preenchimento!C29=0,"-", Preenchimento!C29)</f>
        <v>-</v>
      </c>
      <c r="D22" s="217" t="str">
        <f>IF(Preenchimento!F29=0,"-", Preenchimento!F29)</f>
        <v>-</v>
      </c>
      <c r="E22" s="218" t="str">
        <f>IF(Resultados!I22="-", "0", Resultados!I22)</f>
        <v>0</v>
      </c>
      <c r="F22" s="219" t="str">
        <f>IF(Preenchimento!G29=0, "-", Preenchimento!G29)</f>
        <v>-</v>
      </c>
      <c r="G22" s="219" t="str">
        <f>IF(Preenchimento!H29=0, "-", Preenchimento!H29)</f>
        <v>-</v>
      </c>
    </row>
    <row r="23" ht="15.75" customHeight="1">
      <c r="A23" s="204">
        <v>21.0</v>
      </c>
      <c r="B23" s="216" t="str">
        <f>IF(Preenchimento!B30=0, "-", Preenchimento!B30)</f>
        <v>-</v>
      </c>
      <c r="C23" s="216" t="str">
        <f>IF(Preenchimento!C30=0,"-", Preenchimento!C30)</f>
        <v>-</v>
      </c>
      <c r="D23" s="217" t="str">
        <f>IF(Preenchimento!F30=0,"-", Preenchimento!F30)</f>
        <v>-</v>
      </c>
      <c r="E23" s="218" t="str">
        <f>IF(Resultados!I23="-", "0", Resultados!I23)</f>
        <v>0</v>
      </c>
      <c r="F23" s="219" t="str">
        <f>IF(Preenchimento!G30=0, "-", Preenchimento!G30)</f>
        <v>-</v>
      </c>
      <c r="G23" s="219" t="str">
        <f>IF(Preenchimento!H30=0, "-", Preenchimento!H30)</f>
        <v>-</v>
      </c>
    </row>
    <row r="24" ht="15.75" customHeight="1">
      <c r="A24" s="204">
        <v>22.0</v>
      </c>
      <c r="B24" s="216" t="str">
        <f>IF(Preenchimento!B31=0, "-", Preenchimento!B31)</f>
        <v>-</v>
      </c>
      <c r="C24" s="216" t="str">
        <f>IF(Preenchimento!C31=0,"-", Preenchimento!C31)</f>
        <v>-</v>
      </c>
      <c r="D24" s="217" t="str">
        <f>IF(Preenchimento!F31=0,"-", Preenchimento!F31)</f>
        <v>-</v>
      </c>
      <c r="E24" s="218" t="str">
        <f>IF(Resultados!I24="-", "0", Resultados!I24)</f>
        <v>0</v>
      </c>
      <c r="F24" s="219" t="str">
        <f>IF(Preenchimento!G31=0, "-", Preenchimento!G31)</f>
        <v>-</v>
      </c>
      <c r="G24" s="219" t="str">
        <f>IF(Preenchimento!H31=0, "-", Preenchimento!H31)</f>
        <v>-</v>
      </c>
    </row>
    <row r="25" ht="15.75" customHeight="1">
      <c r="A25" s="204">
        <v>23.0</v>
      </c>
      <c r="B25" s="216" t="str">
        <f>IF(Preenchimento!B32=0, "-", Preenchimento!B32)</f>
        <v>-</v>
      </c>
      <c r="C25" s="216" t="str">
        <f>IF(Preenchimento!C32=0,"-", Preenchimento!C32)</f>
        <v>-</v>
      </c>
      <c r="D25" s="217" t="str">
        <f>IF(Preenchimento!F32=0,"-", Preenchimento!F32)</f>
        <v>-</v>
      </c>
      <c r="E25" s="218" t="str">
        <f>IF(Resultados!I25="-", "0", Resultados!I25)</f>
        <v>0</v>
      </c>
      <c r="F25" s="219" t="str">
        <f>IF(Preenchimento!G32=0, "-", Preenchimento!G32)</f>
        <v>-</v>
      </c>
      <c r="G25" s="219" t="str">
        <f>IF(Preenchimento!H32=0, "-", Preenchimento!H32)</f>
        <v>-</v>
      </c>
    </row>
    <row r="26" ht="15.75" customHeight="1">
      <c r="A26" s="204">
        <v>24.0</v>
      </c>
      <c r="B26" s="216" t="str">
        <f>IF(Preenchimento!B33=0, "-", Preenchimento!B33)</f>
        <v>-</v>
      </c>
      <c r="C26" s="216" t="str">
        <f>IF(Preenchimento!C33=0,"-", Preenchimento!C33)</f>
        <v>-</v>
      </c>
      <c r="D26" s="217" t="str">
        <f>IF(Preenchimento!F33=0,"-", Preenchimento!F33)</f>
        <v>-</v>
      </c>
      <c r="E26" s="218" t="str">
        <f>IF(Resultados!I26="-", "0", Resultados!I26)</f>
        <v>0</v>
      </c>
      <c r="F26" s="219" t="str">
        <f>IF(Preenchimento!G33=0, "-", Preenchimento!G33)</f>
        <v>-</v>
      </c>
      <c r="G26" s="219" t="str">
        <f>IF(Preenchimento!H33=0, "-", Preenchimento!H33)</f>
        <v>-</v>
      </c>
    </row>
    <row r="27" ht="15.75" customHeight="1">
      <c r="A27" s="204">
        <v>25.0</v>
      </c>
      <c r="B27" s="216" t="str">
        <f>IF(Preenchimento!B34=0, "-", Preenchimento!B34)</f>
        <v>-</v>
      </c>
      <c r="C27" s="216" t="str">
        <f>IF(Preenchimento!C34=0,"-", Preenchimento!C34)</f>
        <v>-</v>
      </c>
      <c r="D27" s="217" t="str">
        <f>IF(Preenchimento!F34=0,"-", Preenchimento!F34)</f>
        <v>-</v>
      </c>
      <c r="E27" s="218" t="str">
        <f>IF(Resultados!I27="-", "0", Resultados!I27)</f>
        <v>0</v>
      </c>
      <c r="F27" s="219" t="str">
        <f>IF(Preenchimento!G34=0, "-", Preenchimento!G34)</f>
        <v>-</v>
      </c>
      <c r="G27" s="219" t="str">
        <f>IF(Preenchimento!H34=0, "-", Preenchimento!H34)</f>
        <v>-</v>
      </c>
    </row>
    <row r="28" ht="15.75" customHeight="1">
      <c r="A28" s="204">
        <v>26.0</v>
      </c>
      <c r="B28" s="216" t="str">
        <f>IF(Preenchimento!B35=0, "-", Preenchimento!B35)</f>
        <v>-</v>
      </c>
      <c r="C28" s="216" t="str">
        <f>IF(Preenchimento!C35=0,"-", Preenchimento!C35)</f>
        <v>-</v>
      </c>
      <c r="D28" s="217" t="str">
        <f>IF(Preenchimento!F35=0,"-", Preenchimento!F35)</f>
        <v>-</v>
      </c>
      <c r="E28" s="218" t="str">
        <f>IF(Resultados!I28="-", "0", Resultados!I28)</f>
        <v>0</v>
      </c>
      <c r="F28" s="219" t="str">
        <f>IF(Preenchimento!G35=0, "-", Preenchimento!G35)</f>
        <v>-</v>
      </c>
      <c r="G28" s="219" t="str">
        <f>IF(Preenchimento!H35=0, "-", Preenchimento!H35)</f>
        <v>-</v>
      </c>
    </row>
    <row r="29" ht="15.75" customHeight="1">
      <c r="A29" s="204">
        <v>27.0</v>
      </c>
      <c r="B29" s="216" t="str">
        <f>IF(Preenchimento!B36=0, "-", Preenchimento!B36)</f>
        <v>-</v>
      </c>
      <c r="C29" s="216" t="str">
        <f>IF(Preenchimento!C36=0,"-", Preenchimento!C36)</f>
        <v>-</v>
      </c>
      <c r="D29" s="217" t="str">
        <f>IF(Preenchimento!F36=0,"-", Preenchimento!F36)</f>
        <v>-</v>
      </c>
      <c r="E29" s="218" t="str">
        <f>IF(Resultados!I29="-", "0", Resultados!I29)</f>
        <v>0</v>
      </c>
      <c r="F29" s="219" t="str">
        <f>IF(Preenchimento!G36=0, "-", Preenchimento!G36)</f>
        <v>-</v>
      </c>
      <c r="G29" s="219" t="str">
        <f>IF(Preenchimento!H36=0, "-", Preenchimento!H36)</f>
        <v>-</v>
      </c>
    </row>
    <row r="30" ht="15.75" customHeight="1">
      <c r="A30" s="204">
        <v>28.0</v>
      </c>
      <c r="B30" s="216" t="str">
        <f>IF(Preenchimento!B37=0, "-", Preenchimento!B37)</f>
        <v>-</v>
      </c>
      <c r="C30" s="216" t="str">
        <f>IF(Preenchimento!C37=0,"-", Preenchimento!C37)</f>
        <v>-</v>
      </c>
      <c r="D30" s="217" t="str">
        <f>IF(Preenchimento!F37=0,"-", Preenchimento!F37)</f>
        <v>-</v>
      </c>
      <c r="E30" s="218" t="str">
        <f>IF(Resultados!I30="-", "0", Resultados!I30)</f>
        <v>0</v>
      </c>
      <c r="F30" s="219" t="str">
        <f>IF(Preenchimento!G37=0, "-", Preenchimento!G37)</f>
        <v>-</v>
      </c>
      <c r="G30" s="219" t="str">
        <f>IF(Preenchimento!H37=0, "-", Preenchimento!H37)</f>
        <v>-</v>
      </c>
    </row>
    <row r="31" ht="15.75" customHeight="1">
      <c r="A31" s="204">
        <v>29.0</v>
      </c>
      <c r="B31" s="216" t="str">
        <f>IF(Preenchimento!B38=0, "-", Preenchimento!B38)</f>
        <v>-</v>
      </c>
      <c r="C31" s="216" t="str">
        <f>IF(Preenchimento!C38=0,"-", Preenchimento!C38)</f>
        <v>-</v>
      </c>
      <c r="D31" s="217" t="str">
        <f>IF(Preenchimento!F38=0,"-", Preenchimento!F38)</f>
        <v>-</v>
      </c>
      <c r="E31" s="218" t="str">
        <f>IF(Resultados!I31="-", "0", Resultados!I31)</f>
        <v>0</v>
      </c>
      <c r="F31" s="219" t="str">
        <f>IF(Preenchimento!G38=0, "-", Preenchimento!G38)</f>
        <v>-</v>
      </c>
      <c r="G31" s="219" t="str">
        <f>IF(Preenchimento!H38=0, "-", Preenchimento!H38)</f>
        <v>-</v>
      </c>
    </row>
    <row r="32" ht="15.75" customHeight="1">
      <c r="A32" s="204">
        <v>30.0</v>
      </c>
      <c r="B32" s="216" t="str">
        <f>IF(Preenchimento!B39=0, "-", Preenchimento!B39)</f>
        <v>-</v>
      </c>
      <c r="C32" s="216" t="str">
        <f>IF(Preenchimento!C39=0,"-", Preenchimento!C39)</f>
        <v>-</v>
      </c>
      <c r="D32" s="217" t="str">
        <f>IF(Preenchimento!F39=0,"-", Preenchimento!F39)</f>
        <v>-</v>
      </c>
      <c r="E32" s="218" t="str">
        <f>IF(Resultados!I32="-", "0", Resultados!I32)</f>
        <v>0</v>
      </c>
      <c r="F32" s="219" t="str">
        <f>IF(Preenchimento!G39=0, "-", Preenchimento!G39)</f>
        <v>-</v>
      </c>
      <c r="G32" s="219" t="str">
        <f>IF(Preenchimento!H39=0, "-", Preenchimento!H39)</f>
        <v>-</v>
      </c>
    </row>
    <row r="33" ht="15.75" customHeight="1">
      <c r="A33" s="204">
        <v>31.0</v>
      </c>
      <c r="B33" s="216" t="str">
        <f>IF(Preenchimento!B40=0, "-", Preenchimento!B40)</f>
        <v>-</v>
      </c>
      <c r="C33" s="216" t="str">
        <f>IF(Preenchimento!C40=0,"-", Preenchimento!C40)</f>
        <v>-</v>
      </c>
      <c r="D33" s="217" t="str">
        <f>IF(Preenchimento!F40=0,"-", Preenchimento!F40)</f>
        <v>-</v>
      </c>
      <c r="E33" s="218" t="str">
        <f>IF(Resultados!I33="-", "0", Resultados!I33)</f>
        <v>0</v>
      </c>
      <c r="F33" s="219" t="str">
        <f>IF(Preenchimento!G40=0, "-", Preenchimento!G40)</f>
        <v>-</v>
      </c>
      <c r="G33" s="219" t="str">
        <f>IF(Preenchimento!H40=0, "-", Preenchimento!H40)</f>
        <v>-</v>
      </c>
    </row>
    <row r="34" ht="15.75" customHeight="1">
      <c r="A34" s="204">
        <v>32.0</v>
      </c>
      <c r="B34" s="216" t="str">
        <f>IF(Preenchimento!B41=0, "-", Preenchimento!B41)</f>
        <v>-</v>
      </c>
      <c r="C34" s="216" t="str">
        <f>IF(Preenchimento!C41=0,"-", Preenchimento!C41)</f>
        <v>-</v>
      </c>
      <c r="D34" s="217" t="str">
        <f>IF(Preenchimento!F41=0,"-", Preenchimento!F41)</f>
        <v>-</v>
      </c>
      <c r="E34" s="218" t="str">
        <f>IF(Resultados!I34="-", "0", Resultados!I34)</f>
        <v>0</v>
      </c>
      <c r="F34" s="219" t="str">
        <f>IF(Preenchimento!G41=0, "-", Preenchimento!G41)</f>
        <v>-</v>
      </c>
      <c r="G34" s="219" t="str">
        <f>IF(Preenchimento!H41=0, "-", Preenchimento!H41)</f>
        <v>-</v>
      </c>
    </row>
    <row r="35" ht="15.75" customHeight="1">
      <c r="A35" s="204">
        <v>33.0</v>
      </c>
      <c r="B35" s="216" t="str">
        <f>IF(Preenchimento!B42=0, "-", Preenchimento!B42)</f>
        <v>-</v>
      </c>
      <c r="C35" s="216" t="str">
        <f>IF(Preenchimento!C42=0,"-", Preenchimento!C42)</f>
        <v>-</v>
      </c>
      <c r="D35" s="217" t="str">
        <f>IF(Preenchimento!F42=0,"-", Preenchimento!F42)</f>
        <v>-</v>
      </c>
      <c r="E35" s="218" t="str">
        <f>IF(Resultados!I35="-", "0", Resultados!I35)</f>
        <v>0</v>
      </c>
      <c r="F35" s="219" t="str">
        <f>IF(Preenchimento!G42=0, "-", Preenchimento!G42)</f>
        <v>-</v>
      </c>
      <c r="G35" s="219" t="str">
        <f>IF(Preenchimento!H42=0, "-", Preenchimento!H42)</f>
        <v>-</v>
      </c>
    </row>
    <row r="36" ht="15.75" customHeight="1">
      <c r="A36" s="204">
        <v>34.0</v>
      </c>
      <c r="B36" s="216" t="str">
        <f>IF(Preenchimento!B43=0, "-", Preenchimento!B43)</f>
        <v>-</v>
      </c>
      <c r="C36" s="216" t="str">
        <f>IF(Preenchimento!C43=0,"-", Preenchimento!C43)</f>
        <v>-</v>
      </c>
      <c r="D36" s="217" t="str">
        <f>IF(Preenchimento!F43=0,"-", Preenchimento!F43)</f>
        <v>-</v>
      </c>
      <c r="E36" s="218" t="str">
        <f>IF(Resultados!I36="-", "0", Resultados!I36)</f>
        <v>0</v>
      </c>
      <c r="F36" s="219" t="str">
        <f>IF(Preenchimento!G43=0, "-", Preenchimento!G43)</f>
        <v>-</v>
      </c>
      <c r="G36" s="219" t="str">
        <f>IF(Preenchimento!H43=0, "-", Preenchimento!H43)</f>
        <v>-</v>
      </c>
    </row>
    <row r="37" ht="15.75" customHeight="1">
      <c r="A37" s="204">
        <v>35.0</v>
      </c>
      <c r="B37" s="216" t="str">
        <f>IF(Preenchimento!B44=0, "-", Preenchimento!B44)</f>
        <v>-</v>
      </c>
      <c r="C37" s="216" t="str">
        <f>IF(Preenchimento!C44=0,"-", Preenchimento!C44)</f>
        <v>-</v>
      </c>
      <c r="D37" s="217" t="str">
        <f>IF(Preenchimento!F44=0,"-", Preenchimento!F44)</f>
        <v>-</v>
      </c>
      <c r="E37" s="218" t="str">
        <f>IF(Resultados!I37="-", "0", Resultados!I37)</f>
        <v>0</v>
      </c>
      <c r="F37" s="219" t="str">
        <f>IF(Preenchimento!G44=0, "-", Preenchimento!G44)</f>
        <v>-</v>
      </c>
      <c r="G37" s="219" t="str">
        <f>IF(Preenchimento!H44=0, "-", Preenchimento!H44)</f>
        <v>-</v>
      </c>
    </row>
    <row r="38" ht="15.75" customHeight="1">
      <c r="A38" s="204">
        <v>36.0</v>
      </c>
      <c r="B38" s="216" t="str">
        <f>IF(Preenchimento!B45=0, "-", Preenchimento!B45)</f>
        <v>-</v>
      </c>
      <c r="C38" s="216" t="str">
        <f>IF(Preenchimento!C45=0,"-", Preenchimento!C45)</f>
        <v>-</v>
      </c>
      <c r="D38" s="217" t="str">
        <f>IF(Preenchimento!F45=0,"-", Preenchimento!F45)</f>
        <v>-</v>
      </c>
      <c r="E38" s="218" t="str">
        <f>IF(Resultados!I38="-", "0", Resultados!I38)</f>
        <v>0</v>
      </c>
      <c r="F38" s="219" t="str">
        <f>IF(Preenchimento!G45=0, "-", Preenchimento!G45)</f>
        <v>-</v>
      </c>
      <c r="G38" s="219" t="str">
        <f>IF(Preenchimento!H45=0, "-", Preenchimento!H45)</f>
        <v>-</v>
      </c>
    </row>
    <row r="39" ht="15.75" customHeight="1">
      <c r="A39" s="204">
        <v>37.0</v>
      </c>
      <c r="B39" s="216" t="str">
        <f>IF(Preenchimento!B46=0, "-", Preenchimento!B46)</f>
        <v>-</v>
      </c>
      <c r="C39" s="216" t="str">
        <f>IF(Preenchimento!C46=0,"-", Preenchimento!C46)</f>
        <v>-</v>
      </c>
      <c r="D39" s="217" t="str">
        <f>IF(Preenchimento!F46=0,"-", Preenchimento!F46)</f>
        <v>-</v>
      </c>
      <c r="E39" s="218" t="str">
        <f>IF(Resultados!I39="-", "0", Resultados!I39)</f>
        <v>0</v>
      </c>
      <c r="F39" s="219" t="str">
        <f>IF(Preenchimento!G46=0, "-", Preenchimento!G46)</f>
        <v>-</v>
      </c>
      <c r="G39" s="219" t="str">
        <f>IF(Preenchimento!H46=0, "-", Preenchimento!H46)</f>
        <v>-</v>
      </c>
    </row>
    <row r="40" ht="15.75" customHeight="1">
      <c r="A40" s="204">
        <v>38.0</v>
      </c>
      <c r="B40" s="216" t="str">
        <f>IF(Preenchimento!B47=0, "-", Preenchimento!B47)</f>
        <v>-</v>
      </c>
      <c r="C40" s="216" t="str">
        <f>IF(Preenchimento!C47=0,"-", Preenchimento!C47)</f>
        <v>-</v>
      </c>
      <c r="D40" s="217" t="str">
        <f>IF(Preenchimento!F47=0,"-", Preenchimento!F47)</f>
        <v>-</v>
      </c>
      <c r="E40" s="218" t="str">
        <f>IF(Resultados!I40="-", "0", Resultados!I40)</f>
        <v>0</v>
      </c>
      <c r="F40" s="219" t="str">
        <f>IF(Preenchimento!G47=0, "-", Preenchimento!G47)</f>
        <v>-</v>
      </c>
      <c r="G40" s="219" t="str">
        <f>IF(Preenchimento!H47=0, "-", Preenchimento!H47)</f>
        <v>-</v>
      </c>
    </row>
    <row r="41" ht="15.75" customHeight="1">
      <c r="A41" s="204">
        <v>39.0</v>
      </c>
      <c r="B41" s="216" t="str">
        <f>IF(Preenchimento!B48=0, "-", Preenchimento!B48)</f>
        <v>-</v>
      </c>
      <c r="C41" s="216" t="str">
        <f>IF(Preenchimento!C48=0,"-", Preenchimento!C48)</f>
        <v>-</v>
      </c>
      <c r="D41" s="217" t="str">
        <f>IF(Preenchimento!F48=0,"-", Preenchimento!F48)</f>
        <v>-</v>
      </c>
      <c r="E41" s="218" t="str">
        <f>IF(Resultados!I41="-", "0", Resultados!I41)</f>
        <v>0</v>
      </c>
      <c r="F41" s="219" t="str">
        <f>IF(Preenchimento!G48=0, "-", Preenchimento!G48)</f>
        <v>-</v>
      </c>
      <c r="G41" s="219" t="str">
        <f>IF(Preenchimento!H48=0, "-", Preenchimento!H48)</f>
        <v>-</v>
      </c>
    </row>
    <row r="42" ht="15.75" customHeight="1">
      <c r="A42" s="204">
        <v>40.0</v>
      </c>
      <c r="B42" s="216" t="str">
        <f>IF(Preenchimento!B49=0, "-", Preenchimento!B49)</f>
        <v>-</v>
      </c>
      <c r="C42" s="216" t="str">
        <f>IF(Preenchimento!C49=0,"-", Preenchimento!C49)</f>
        <v>-</v>
      </c>
      <c r="D42" s="217" t="str">
        <f>IF(Preenchimento!F49=0,"-", Preenchimento!F49)</f>
        <v>-</v>
      </c>
      <c r="E42" s="218" t="str">
        <f>IF(Resultados!I42="-", "0", Resultados!I42)</f>
        <v>0</v>
      </c>
      <c r="F42" s="219" t="str">
        <f>IF(Preenchimento!G49=0, "-", Preenchimento!G49)</f>
        <v>-</v>
      </c>
      <c r="G42" s="219" t="str">
        <f>IF(Preenchimento!H49=0, "-", Preenchimento!H49)</f>
        <v>-</v>
      </c>
    </row>
    <row r="43" ht="15.75" customHeight="1">
      <c r="A43" s="204">
        <v>41.0</v>
      </c>
      <c r="B43" s="216" t="str">
        <f>IF(Preenchimento!B50=0, "-", Preenchimento!B50)</f>
        <v>-</v>
      </c>
      <c r="C43" s="216" t="str">
        <f>IF(Preenchimento!C50=0,"-", Preenchimento!C50)</f>
        <v>-</v>
      </c>
      <c r="D43" s="217" t="str">
        <f>IF(Preenchimento!F50=0,"-", Preenchimento!F50)</f>
        <v>-</v>
      </c>
      <c r="E43" s="218" t="str">
        <f>IF(Resultados!I43="-", "0", Resultados!I43)</f>
        <v>0</v>
      </c>
      <c r="F43" s="219" t="str">
        <f>IF(Preenchimento!G50=0, "-", Preenchimento!G50)</f>
        <v>-</v>
      </c>
      <c r="G43" s="219" t="str">
        <f>IF(Preenchimento!H50=0, "-", Preenchimento!H50)</f>
        <v>-</v>
      </c>
    </row>
    <row r="44" ht="15.75" customHeight="1">
      <c r="A44" s="204">
        <v>42.0</v>
      </c>
      <c r="B44" s="216" t="str">
        <f>IF(Preenchimento!B51=0, "-", Preenchimento!B51)</f>
        <v>-</v>
      </c>
      <c r="C44" s="216" t="str">
        <f>IF(Preenchimento!C51=0,"-", Preenchimento!C51)</f>
        <v>-</v>
      </c>
      <c r="D44" s="217" t="str">
        <f>IF(Preenchimento!F51=0,"-", Preenchimento!F51)</f>
        <v>-</v>
      </c>
      <c r="E44" s="218" t="str">
        <f>IF(Resultados!I44="-", "0", Resultados!I44)</f>
        <v>0</v>
      </c>
      <c r="F44" s="219" t="str">
        <f>IF(Preenchimento!G51=0, "-", Preenchimento!G51)</f>
        <v>-</v>
      </c>
      <c r="G44" s="219" t="str">
        <f>IF(Preenchimento!H51=0, "-", Preenchimento!H51)</f>
        <v>-</v>
      </c>
    </row>
    <row r="45" ht="15.75" customHeight="1">
      <c r="A45" s="204">
        <v>43.0</v>
      </c>
      <c r="B45" s="216" t="str">
        <f>IF(Preenchimento!B52=0, "-", Preenchimento!B52)</f>
        <v>-</v>
      </c>
      <c r="C45" s="216" t="str">
        <f>IF(Preenchimento!C52=0,"-", Preenchimento!C52)</f>
        <v>-</v>
      </c>
      <c r="D45" s="217" t="str">
        <f>IF(Preenchimento!F52=0,"-", Preenchimento!F52)</f>
        <v>-</v>
      </c>
      <c r="E45" s="218" t="str">
        <f>IF(Resultados!I45="-", "0", Resultados!I45)</f>
        <v>0</v>
      </c>
      <c r="F45" s="219" t="str">
        <f>IF(Preenchimento!G52=0, "-", Preenchimento!G52)</f>
        <v>-</v>
      </c>
      <c r="G45" s="219" t="str">
        <f>IF(Preenchimento!H52=0, "-", Preenchimento!H52)</f>
        <v>-</v>
      </c>
    </row>
    <row r="46" ht="15.75" customHeight="1">
      <c r="A46" s="204">
        <v>44.0</v>
      </c>
      <c r="B46" s="216" t="str">
        <f>IF(Preenchimento!B53=0, "-", Preenchimento!B53)</f>
        <v>-</v>
      </c>
      <c r="C46" s="216" t="str">
        <f>IF(Preenchimento!C53=0,"-", Preenchimento!C53)</f>
        <v>-</v>
      </c>
      <c r="D46" s="217" t="str">
        <f>IF(Preenchimento!F53=0,"-", Preenchimento!F53)</f>
        <v>-</v>
      </c>
      <c r="E46" s="218" t="str">
        <f>IF(Resultados!I46="-", "0", Resultados!I46)</f>
        <v>0</v>
      </c>
      <c r="F46" s="219" t="str">
        <f>IF(Preenchimento!G53=0, "-", Preenchimento!G53)</f>
        <v>-</v>
      </c>
      <c r="G46" s="219" t="str">
        <f>IF(Preenchimento!H53=0, "-", Preenchimento!H53)</f>
        <v>-</v>
      </c>
    </row>
    <row r="47" ht="15.75" customHeight="1">
      <c r="A47" s="204">
        <v>45.0</v>
      </c>
      <c r="B47" s="216" t="str">
        <f>IF(Preenchimento!B54=0, "-", Preenchimento!B54)</f>
        <v>-</v>
      </c>
      <c r="C47" s="216" t="str">
        <f>IF(Preenchimento!C54=0,"-", Preenchimento!C54)</f>
        <v>-</v>
      </c>
      <c r="D47" s="217" t="str">
        <f>IF(Preenchimento!F54=0,"-", Preenchimento!F54)</f>
        <v>-</v>
      </c>
      <c r="E47" s="218" t="str">
        <f>IF(Resultados!I47="-", "0", Resultados!I47)</f>
        <v>0</v>
      </c>
      <c r="F47" s="219" t="str">
        <f>IF(Preenchimento!G54=0, "-", Preenchimento!G54)</f>
        <v>-</v>
      </c>
      <c r="G47" s="219" t="str">
        <f>IF(Preenchimento!H54=0, "-", Preenchimento!H54)</f>
        <v>-</v>
      </c>
    </row>
    <row r="48" ht="15.75" customHeight="1">
      <c r="A48" s="204">
        <v>46.0</v>
      </c>
      <c r="B48" s="216" t="str">
        <f>IF(Preenchimento!B55=0, "-", Preenchimento!B55)</f>
        <v>-</v>
      </c>
      <c r="C48" s="216" t="str">
        <f>IF(Preenchimento!C55=0,"-", Preenchimento!C55)</f>
        <v>-</v>
      </c>
      <c r="D48" s="217" t="str">
        <f>IF(Preenchimento!F55=0,"-", Preenchimento!F55)</f>
        <v>-</v>
      </c>
      <c r="E48" s="218" t="str">
        <f>IF(Resultados!I48="-", "0", Resultados!I48)</f>
        <v>0</v>
      </c>
      <c r="F48" s="219" t="str">
        <f>IF(Preenchimento!G55=0, "-", Preenchimento!G55)</f>
        <v>-</v>
      </c>
      <c r="G48" s="219" t="str">
        <f>IF(Preenchimento!H55=0, "-", Preenchimento!H55)</f>
        <v>-</v>
      </c>
    </row>
    <row r="49" ht="15.75" customHeight="1">
      <c r="A49" s="204">
        <v>47.0</v>
      </c>
      <c r="B49" s="216" t="str">
        <f>IF(Preenchimento!B56=0, "-", Preenchimento!B56)</f>
        <v>-</v>
      </c>
      <c r="C49" s="216" t="str">
        <f>IF(Preenchimento!C56=0,"-", Preenchimento!C56)</f>
        <v>-</v>
      </c>
      <c r="D49" s="217" t="str">
        <f>IF(Preenchimento!F56=0,"-", Preenchimento!F56)</f>
        <v>-</v>
      </c>
      <c r="E49" s="218" t="str">
        <f>IF(Resultados!I49="-", "0", Resultados!I49)</f>
        <v>0</v>
      </c>
      <c r="F49" s="219" t="str">
        <f>IF(Preenchimento!G56=0, "-", Preenchimento!G56)</f>
        <v>-</v>
      </c>
      <c r="G49" s="219" t="str">
        <f>IF(Preenchimento!H56=0, "-", Preenchimento!H56)</f>
        <v>-</v>
      </c>
    </row>
    <row r="50" ht="15.75" customHeight="1">
      <c r="A50" s="204">
        <v>48.0</v>
      </c>
      <c r="B50" s="216" t="str">
        <f>IF(Preenchimento!B57=0, "-", Preenchimento!B57)</f>
        <v>-</v>
      </c>
      <c r="C50" s="216" t="str">
        <f>IF(Preenchimento!C57=0,"-", Preenchimento!C57)</f>
        <v>-</v>
      </c>
      <c r="D50" s="217" t="str">
        <f>IF(Preenchimento!F57=0,"-", Preenchimento!F57)</f>
        <v>-</v>
      </c>
      <c r="E50" s="218" t="str">
        <f>IF(Resultados!I50="-", "0", Resultados!I50)</f>
        <v>0</v>
      </c>
      <c r="F50" s="219" t="str">
        <f>IF(Preenchimento!G57=0, "-", Preenchimento!G57)</f>
        <v>-</v>
      </c>
      <c r="G50" s="219" t="str">
        <f>IF(Preenchimento!H57=0, "-", Preenchimento!H57)</f>
        <v>-</v>
      </c>
    </row>
    <row r="51" ht="15.75" customHeight="1">
      <c r="A51" s="204">
        <v>49.0</v>
      </c>
      <c r="B51" s="216" t="str">
        <f>IF(Preenchimento!B58=0, "-", Preenchimento!B58)</f>
        <v>-</v>
      </c>
      <c r="C51" s="216" t="str">
        <f>IF(Preenchimento!C58=0,"-", Preenchimento!C58)</f>
        <v>-</v>
      </c>
      <c r="D51" s="217" t="str">
        <f>IF(Preenchimento!F58=0,"-", Preenchimento!F58)</f>
        <v>-</v>
      </c>
      <c r="E51" s="218" t="str">
        <f>IF(Resultados!I51="-", "0", Resultados!I51)</f>
        <v>0</v>
      </c>
      <c r="F51" s="219" t="str">
        <f>IF(Preenchimento!G58=0, "-", Preenchimento!G58)</f>
        <v>-</v>
      </c>
      <c r="G51" s="219" t="str">
        <f>IF(Preenchimento!H58=0, "-", Preenchimento!H58)</f>
        <v>-</v>
      </c>
    </row>
    <row r="52" ht="15.75" customHeight="1">
      <c r="A52" s="204">
        <v>50.0</v>
      </c>
      <c r="B52" s="216" t="str">
        <f>IF(Preenchimento!B59=0, "-", Preenchimento!B59)</f>
        <v>-</v>
      </c>
      <c r="C52" s="216" t="str">
        <f>IF(Preenchimento!C59=0,"-", Preenchimento!C59)</f>
        <v>-</v>
      </c>
      <c r="D52" s="217" t="str">
        <f>IF(Preenchimento!F59=0,"-", Preenchimento!F59)</f>
        <v>-</v>
      </c>
      <c r="E52" s="218" t="str">
        <f>IF(Resultados!I52="-", "0", Resultados!I52)</f>
        <v>0</v>
      </c>
      <c r="F52" s="219" t="str">
        <f>IF(Preenchimento!G59=0, "-", Preenchimento!G59)</f>
        <v>-</v>
      </c>
      <c r="G52" s="219" t="str">
        <f>IF(Preenchimento!H59=0, "-", Preenchimento!H59)</f>
        <v>-</v>
      </c>
    </row>
    <row r="53" ht="15.75" customHeight="1">
      <c r="A53" s="204">
        <v>51.0</v>
      </c>
      <c r="B53" s="216" t="str">
        <f>IF(Preenchimento!B60=0, "-", Preenchimento!B60)</f>
        <v>-</v>
      </c>
      <c r="C53" s="216" t="str">
        <f>IF(Preenchimento!C60=0,"-", Preenchimento!C60)</f>
        <v>-</v>
      </c>
      <c r="D53" s="217" t="str">
        <f>IF(Preenchimento!F60=0,"-", Preenchimento!F60)</f>
        <v>-</v>
      </c>
      <c r="E53" s="218" t="str">
        <f>IF(Resultados!I53="-", "0", Resultados!I53)</f>
        <v>0</v>
      </c>
      <c r="F53" s="219" t="str">
        <f>IF(Preenchimento!G60=0, "-", Preenchimento!G60)</f>
        <v>-</v>
      </c>
      <c r="G53" s="219" t="str">
        <f>IF(Preenchimento!H60=0, "-", Preenchimento!H60)</f>
        <v>-</v>
      </c>
    </row>
    <row r="54" ht="15.75" customHeight="1">
      <c r="A54" s="204">
        <v>52.0</v>
      </c>
      <c r="B54" s="216" t="str">
        <f>IF(Preenchimento!B61=0, "-", Preenchimento!B61)</f>
        <v>-</v>
      </c>
      <c r="C54" s="216" t="str">
        <f>IF(Preenchimento!C61=0,"-", Preenchimento!C61)</f>
        <v>-</v>
      </c>
      <c r="D54" s="217" t="str">
        <f>IF(Preenchimento!F61=0,"-", Preenchimento!F61)</f>
        <v>-</v>
      </c>
      <c r="E54" s="218" t="str">
        <f>IF(Resultados!I54="-", "0", Resultados!I54)</f>
        <v>0</v>
      </c>
      <c r="F54" s="219" t="str">
        <f>IF(Preenchimento!G61=0, "-", Preenchimento!G61)</f>
        <v>-</v>
      </c>
      <c r="G54" s="219" t="str">
        <f>IF(Preenchimento!H61=0, "-", Preenchimento!H61)</f>
        <v>-</v>
      </c>
    </row>
    <row r="55" ht="15.75" customHeight="1">
      <c r="A55" s="204">
        <v>53.0</v>
      </c>
      <c r="B55" s="216" t="str">
        <f>IF(Preenchimento!B62=0, "-", Preenchimento!B62)</f>
        <v>-</v>
      </c>
      <c r="C55" s="216" t="str">
        <f>IF(Preenchimento!C62=0,"-", Preenchimento!C62)</f>
        <v>-</v>
      </c>
      <c r="D55" s="217" t="str">
        <f>IF(Preenchimento!F62=0,"-", Preenchimento!F62)</f>
        <v>-</v>
      </c>
      <c r="E55" s="218" t="str">
        <f>IF(Resultados!I55="-", "0", Resultados!I55)</f>
        <v>0</v>
      </c>
      <c r="F55" s="219" t="str">
        <f>IF(Preenchimento!G62=0, "-", Preenchimento!G62)</f>
        <v>-</v>
      </c>
      <c r="G55" s="219" t="str">
        <f>IF(Preenchimento!H62=0, "-", Preenchimento!H62)</f>
        <v>-</v>
      </c>
    </row>
    <row r="56" ht="15.75" customHeight="1">
      <c r="A56" s="204">
        <v>54.0</v>
      </c>
      <c r="B56" s="216" t="str">
        <f>IF(Preenchimento!B63=0, "-", Preenchimento!B63)</f>
        <v>-</v>
      </c>
      <c r="C56" s="216" t="str">
        <f>IF(Preenchimento!C63=0,"-", Preenchimento!C63)</f>
        <v>-</v>
      </c>
      <c r="D56" s="217" t="str">
        <f>IF(Preenchimento!F63=0,"-", Preenchimento!F63)</f>
        <v>-</v>
      </c>
      <c r="E56" s="218" t="str">
        <f>IF(Resultados!I56="-", "0", Resultados!I56)</f>
        <v>0</v>
      </c>
      <c r="F56" s="219" t="str">
        <f>IF(Preenchimento!G63=0, "-", Preenchimento!G63)</f>
        <v>-</v>
      </c>
      <c r="G56" s="219" t="str">
        <f>IF(Preenchimento!H63=0, "-", Preenchimento!H63)</f>
        <v>-</v>
      </c>
    </row>
    <row r="57" ht="15.75" customHeight="1">
      <c r="A57" s="204">
        <v>55.0</v>
      </c>
      <c r="B57" s="216" t="str">
        <f>IF(Preenchimento!B64=0, "-", Preenchimento!B64)</f>
        <v>-</v>
      </c>
      <c r="C57" s="216" t="str">
        <f>IF(Preenchimento!C64=0,"-", Preenchimento!C64)</f>
        <v>-</v>
      </c>
      <c r="D57" s="217" t="str">
        <f>IF(Preenchimento!F64=0,"-", Preenchimento!F64)</f>
        <v>-</v>
      </c>
      <c r="E57" s="218" t="str">
        <f>IF(Resultados!I57="-", "0", Resultados!I57)</f>
        <v>0</v>
      </c>
      <c r="F57" s="219" t="str">
        <f>IF(Preenchimento!G64=0, "-", Preenchimento!G64)</f>
        <v>-</v>
      </c>
      <c r="G57" s="219" t="str">
        <f>IF(Preenchimento!H64=0, "-", Preenchimento!H64)</f>
        <v>-</v>
      </c>
    </row>
    <row r="58" ht="15.75" customHeight="1">
      <c r="A58" s="204">
        <v>56.0</v>
      </c>
      <c r="B58" s="216" t="str">
        <f>IF(Preenchimento!B65=0, "-", Preenchimento!B65)</f>
        <v>-</v>
      </c>
      <c r="C58" s="216" t="str">
        <f>IF(Preenchimento!C65=0,"-", Preenchimento!C65)</f>
        <v>-</v>
      </c>
      <c r="D58" s="217" t="str">
        <f>IF(Preenchimento!F65=0,"-", Preenchimento!F65)</f>
        <v>-</v>
      </c>
      <c r="E58" s="218" t="str">
        <f>IF(Resultados!I58="-", "0", Resultados!I58)</f>
        <v>0</v>
      </c>
      <c r="F58" s="219" t="str">
        <f>IF(Preenchimento!G65=0, "-", Preenchimento!G65)</f>
        <v>-</v>
      </c>
      <c r="G58" s="219" t="str">
        <f>IF(Preenchimento!H65=0, "-", Preenchimento!H65)</f>
        <v>-</v>
      </c>
    </row>
    <row r="59" ht="15.75" customHeight="1">
      <c r="A59" s="204">
        <v>57.0</v>
      </c>
      <c r="B59" s="216" t="str">
        <f>IF(Preenchimento!B66=0, "-", Preenchimento!B66)</f>
        <v>-</v>
      </c>
      <c r="C59" s="216" t="str">
        <f>IF(Preenchimento!C66=0,"-", Preenchimento!C66)</f>
        <v>-</v>
      </c>
      <c r="D59" s="217" t="str">
        <f>IF(Preenchimento!F66=0,"-", Preenchimento!F66)</f>
        <v>-</v>
      </c>
      <c r="E59" s="218" t="str">
        <f>IF(Resultados!I59="-", "0", Resultados!I59)</f>
        <v>0</v>
      </c>
      <c r="F59" s="219" t="str">
        <f>IF(Preenchimento!G66=0, "-", Preenchimento!G66)</f>
        <v>-</v>
      </c>
      <c r="G59" s="219" t="str">
        <f>IF(Preenchimento!H66=0, "-", Preenchimento!H66)</f>
        <v>-</v>
      </c>
    </row>
    <row r="60" ht="15.75" customHeight="1">
      <c r="A60" s="204">
        <v>58.0</v>
      </c>
      <c r="B60" s="216" t="str">
        <f>IF(Preenchimento!B67=0, "-", Preenchimento!B67)</f>
        <v>-</v>
      </c>
      <c r="C60" s="216" t="str">
        <f>IF(Preenchimento!C67=0,"-", Preenchimento!C67)</f>
        <v>-</v>
      </c>
      <c r="D60" s="217" t="str">
        <f>IF(Preenchimento!F67=0,"-", Preenchimento!F67)</f>
        <v>-</v>
      </c>
      <c r="E60" s="218" t="str">
        <f>IF(Resultados!I60="-", "0", Resultados!I60)</f>
        <v>0</v>
      </c>
      <c r="F60" s="219" t="str">
        <f>IF(Preenchimento!G67=0, "-", Preenchimento!G67)</f>
        <v>-</v>
      </c>
      <c r="G60" s="219" t="str">
        <f>IF(Preenchimento!H67=0, "-", Preenchimento!H67)</f>
        <v>-</v>
      </c>
    </row>
    <row r="61" ht="15.75" customHeight="1">
      <c r="A61" s="204">
        <v>59.0</v>
      </c>
      <c r="B61" s="216" t="str">
        <f>IF(Preenchimento!B68=0, "-", Preenchimento!B68)</f>
        <v>-</v>
      </c>
      <c r="C61" s="216" t="str">
        <f>IF(Preenchimento!C68=0,"-", Preenchimento!C68)</f>
        <v>-</v>
      </c>
      <c r="D61" s="217" t="str">
        <f>IF(Preenchimento!F68=0,"-", Preenchimento!F68)</f>
        <v>-</v>
      </c>
      <c r="E61" s="218" t="str">
        <f>IF(Resultados!I61="-", "0", Resultados!I61)</f>
        <v>0</v>
      </c>
      <c r="F61" s="219" t="str">
        <f>IF(Preenchimento!G68=0, "-", Preenchimento!G68)</f>
        <v>-</v>
      </c>
      <c r="G61" s="219" t="str">
        <f>IF(Preenchimento!H68=0, "-", Preenchimento!H68)</f>
        <v>-</v>
      </c>
    </row>
    <row r="62" ht="15.75" customHeight="1">
      <c r="A62" s="204">
        <v>60.0</v>
      </c>
      <c r="B62" s="216" t="str">
        <f>IF(Preenchimento!B69=0, "-", Preenchimento!B69)</f>
        <v>-</v>
      </c>
      <c r="C62" s="216" t="str">
        <f>IF(Preenchimento!C69=0,"-", Preenchimento!C69)</f>
        <v>-</v>
      </c>
      <c r="D62" s="217" t="str">
        <f>IF(Preenchimento!F69=0,"-", Preenchimento!F69)</f>
        <v>-</v>
      </c>
      <c r="E62" s="218" t="str">
        <f>IF(Resultados!I62="-", "0", Resultados!I62)</f>
        <v>0</v>
      </c>
      <c r="F62" s="219" t="str">
        <f>IF(Preenchimento!G69=0, "-", Preenchimento!G69)</f>
        <v>-</v>
      </c>
      <c r="G62" s="219" t="str">
        <f>IF(Preenchimento!H69=0, "-", Preenchimento!H69)</f>
        <v>-</v>
      </c>
    </row>
    <row r="63" ht="15.75" customHeight="1">
      <c r="A63" s="204">
        <v>61.0</v>
      </c>
      <c r="B63" s="216" t="str">
        <f>IF(Preenchimento!B70=0, "-", Preenchimento!B70)</f>
        <v>-</v>
      </c>
      <c r="C63" s="216" t="str">
        <f>IF(Preenchimento!C70=0,"-", Preenchimento!C70)</f>
        <v>-</v>
      </c>
      <c r="D63" s="217" t="str">
        <f>IF(Preenchimento!F70=0,"-", Preenchimento!F70)</f>
        <v>-</v>
      </c>
      <c r="E63" s="218" t="str">
        <f>IF(Resultados!I63="-", "0", Resultados!I63)</f>
        <v>0</v>
      </c>
      <c r="F63" s="219" t="str">
        <f>IF(Preenchimento!G70=0, "-", Preenchimento!G70)</f>
        <v>-</v>
      </c>
      <c r="G63" s="219" t="str">
        <f>IF(Preenchimento!H70=0, "-", Preenchimento!H70)</f>
        <v>-</v>
      </c>
    </row>
    <row r="64" ht="15.75" customHeight="1">
      <c r="A64" s="204">
        <v>62.0</v>
      </c>
      <c r="B64" s="216" t="str">
        <f>IF(Preenchimento!B71=0, "-", Preenchimento!B71)</f>
        <v>-</v>
      </c>
      <c r="C64" s="216" t="str">
        <f>IF(Preenchimento!C71=0,"-", Preenchimento!C71)</f>
        <v>-</v>
      </c>
      <c r="D64" s="217" t="str">
        <f>IF(Preenchimento!F71=0,"-", Preenchimento!F71)</f>
        <v>-</v>
      </c>
      <c r="E64" s="218" t="str">
        <f>IF(Resultados!I64="-", "0", Resultados!I64)</f>
        <v>0</v>
      </c>
      <c r="F64" s="219" t="str">
        <f>IF(Preenchimento!G71=0, "-", Preenchimento!G71)</f>
        <v>-</v>
      </c>
      <c r="G64" s="219" t="str">
        <f>IF(Preenchimento!H71=0, "-", Preenchimento!H71)</f>
        <v>-</v>
      </c>
    </row>
    <row r="65" ht="15.75" customHeight="1">
      <c r="A65" s="204">
        <v>63.0</v>
      </c>
      <c r="B65" s="216" t="str">
        <f>IF(Preenchimento!B72=0, "-", Preenchimento!B72)</f>
        <v>-</v>
      </c>
      <c r="C65" s="216" t="str">
        <f>IF(Preenchimento!C72=0,"-", Preenchimento!C72)</f>
        <v>-</v>
      </c>
      <c r="D65" s="217" t="str">
        <f>IF(Preenchimento!F72=0,"-", Preenchimento!F72)</f>
        <v>-</v>
      </c>
      <c r="E65" s="218" t="str">
        <f>IF(Resultados!I65="-", "0", Resultados!I65)</f>
        <v>0</v>
      </c>
      <c r="F65" s="219" t="str">
        <f>IF(Preenchimento!G72=0, "-", Preenchimento!G72)</f>
        <v>-</v>
      </c>
      <c r="G65" s="219" t="str">
        <f>IF(Preenchimento!H72=0, "-", Preenchimento!H72)</f>
        <v>-</v>
      </c>
    </row>
    <row r="66" ht="15.75" customHeight="1">
      <c r="A66" s="204">
        <v>64.0</v>
      </c>
      <c r="B66" s="216" t="str">
        <f>IF(Preenchimento!B73=0, "-", Preenchimento!B73)</f>
        <v>-</v>
      </c>
      <c r="C66" s="216" t="str">
        <f>IF(Preenchimento!C73=0,"-", Preenchimento!C73)</f>
        <v>-</v>
      </c>
      <c r="D66" s="217" t="str">
        <f>IF(Preenchimento!F73=0,"-", Preenchimento!F73)</f>
        <v>-</v>
      </c>
      <c r="E66" s="218" t="str">
        <f>IF(Resultados!I66="-", "0", Resultados!I66)</f>
        <v>0</v>
      </c>
      <c r="F66" s="219" t="str">
        <f>IF(Preenchimento!G73=0, "-", Preenchimento!G73)</f>
        <v>-</v>
      </c>
      <c r="G66" s="219" t="str">
        <f>IF(Preenchimento!H73=0, "-", Preenchimento!H73)</f>
        <v>-</v>
      </c>
    </row>
    <row r="67" ht="15.75" customHeight="1">
      <c r="A67" s="204">
        <v>65.0</v>
      </c>
      <c r="B67" s="216" t="str">
        <f>IF(Preenchimento!B74=0, "-", Preenchimento!B74)</f>
        <v>-</v>
      </c>
      <c r="C67" s="216" t="str">
        <f>IF(Preenchimento!C74=0,"-", Preenchimento!C74)</f>
        <v>-</v>
      </c>
      <c r="D67" s="217" t="str">
        <f>IF(Preenchimento!F74=0,"-", Preenchimento!F74)</f>
        <v>-</v>
      </c>
      <c r="E67" s="218" t="str">
        <f>IF(Resultados!I67="-", "0", Resultados!I67)</f>
        <v>0</v>
      </c>
      <c r="F67" s="219" t="str">
        <f>IF(Preenchimento!G74=0, "-", Preenchimento!G74)</f>
        <v>-</v>
      </c>
      <c r="G67" s="219" t="str">
        <f>IF(Preenchimento!H74=0, "-", Preenchimento!H74)</f>
        <v>-</v>
      </c>
    </row>
    <row r="68" ht="15.75" customHeight="1">
      <c r="A68" s="204">
        <v>66.0</v>
      </c>
      <c r="B68" s="216" t="str">
        <f>IF(Preenchimento!B75=0, "-", Preenchimento!B75)</f>
        <v>-</v>
      </c>
      <c r="C68" s="216" t="str">
        <f>IF(Preenchimento!C75=0,"-", Preenchimento!C75)</f>
        <v>-</v>
      </c>
      <c r="D68" s="217" t="str">
        <f>IF(Preenchimento!F75=0,"-", Preenchimento!F75)</f>
        <v>-</v>
      </c>
      <c r="E68" s="218" t="str">
        <f>IF(Resultados!I68="-", "0", Resultados!I68)</f>
        <v>0</v>
      </c>
      <c r="F68" s="219" t="str">
        <f>IF(Preenchimento!G75=0, "-", Preenchimento!G75)</f>
        <v>-</v>
      </c>
      <c r="G68" s="219" t="str">
        <f>IF(Preenchimento!H75=0, "-", Preenchimento!H75)</f>
        <v>-</v>
      </c>
    </row>
    <row r="69" ht="15.75" customHeight="1">
      <c r="A69" s="204">
        <v>67.0</v>
      </c>
      <c r="B69" s="216" t="str">
        <f>IF(Preenchimento!B76=0, "-", Preenchimento!B76)</f>
        <v>-</v>
      </c>
      <c r="C69" s="216" t="str">
        <f>IF(Preenchimento!C76=0,"-", Preenchimento!C76)</f>
        <v>-</v>
      </c>
      <c r="D69" s="217" t="str">
        <f>IF(Preenchimento!F76=0,"-", Preenchimento!F76)</f>
        <v>-</v>
      </c>
      <c r="E69" s="218" t="str">
        <f>IF(Resultados!I69="-", "0", Resultados!I69)</f>
        <v>0</v>
      </c>
      <c r="F69" s="219" t="str">
        <f>IF(Preenchimento!G76=0, "-", Preenchimento!G76)</f>
        <v>-</v>
      </c>
      <c r="G69" s="219" t="str">
        <f>IF(Preenchimento!H76=0, "-", Preenchimento!H76)</f>
        <v>-</v>
      </c>
    </row>
    <row r="70" ht="15.75" customHeight="1">
      <c r="A70" s="204">
        <v>68.0</v>
      </c>
      <c r="B70" s="216" t="str">
        <f>IF(Preenchimento!B77=0, "-", Preenchimento!B77)</f>
        <v>-</v>
      </c>
      <c r="C70" s="216" t="str">
        <f>IF(Preenchimento!C77=0,"-", Preenchimento!C77)</f>
        <v>-</v>
      </c>
      <c r="D70" s="217" t="str">
        <f>IF(Preenchimento!F77=0,"-", Preenchimento!F77)</f>
        <v>-</v>
      </c>
      <c r="E70" s="218" t="str">
        <f>IF(Resultados!I70="-", "0", Resultados!I70)</f>
        <v>0</v>
      </c>
      <c r="F70" s="219" t="str">
        <f>IF(Preenchimento!G77=0, "-", Preenchimento!G77)</f>
        <v>-</v>
      </c>
      <c r="G70" s="219" t="str">
        <f>IF(Preenchimento!H77=0, "-", Preenchimento!H77)</f>
        <v>-</v>
      </c>
    </row>
    <row r="71" ht="15.75" customHeight="1">
      <c r="A71" s="204">
        <v>69.0</v>
      </c>
      <c r="B71" s="216" t="str">
        <f>IF(Preenchimento!B78=0, "-", Preenchimento!B78)</f>
        <v>-</v>
      </c>
      <c r="C71" s="216" t="str">
        <f>IF(Preenchimento!C78=0,"-", Preenchimento!C78)</f>
        <v>-</v>
      </c>
      <c r="D71" s="217" t="str">
        <f>IF(Preenchimento!F78=0,"-", Preenchimento!F78)</f>
        <v>-</v>
      </c>
      <c r="E71" s="218" t="str">
        <f>IF(Resultados!I71="-", "0", Resultados!I71)</f>
        <v>0</v>
      </c>
      <c r="F71" s="219" t="str">
        <f>IF(Preenchimento!G78=0, "-", Preenchimento!G78)</f>
        <v>-</v>
      </c>
      <c r="G71" s="219" t="str">
        <f>IF(Preenchimento!H78=0, "-", Preenchimento!H78)</f>
        <v>-</v>
      </c>
    </row>
    <row r="72" ht="15.75" customHeight="1">
      <c r="A72" s="204">
        <v>70.0</v>
      </c>
      <c r="B72" s="216" t="str">
        <f>IF(Preenchimento!B79=0, "-", Preenchimento!B79)</f>
        <v>-</v>
      </c>
      <c r="C72" s="216" t="str">
        <f>IF(Preenchimento!C79=0,"-", Preenchimento!C79)</f>
        <v>-</v>
      </c>
      <c r="D72" s="217" t="str">
        <f>IF(Preenchimento!F79=0,"-", Preenchimento!F79)</f>
        <v>-</v>
      </c>
      <c r="E72" s="218" t="str">
        <f>IF(Resultados!I72="-", "0", Resultados!I72)</f>
        <v>0</v>
      </c>
      <c r="F72" s="219" t="str">
        <f>IF(Preenchimento!G79=0, "-", Preenchimento!G79)</f>
        <v>-</v>
      </c>
      <c r="G72" s="219" t="str">
        <f>IF(Preenchimento!H79=0, "-", Preenchimento!H79)</f>
        <v>-</v>
      </c>
    </row>
    <row r="73" ht="15.75" customHeight="1">
      <c r="A73" s="204">
        <v>71.0</v>
      </c>
      <c r="B73" s="216" t="str">
        <f>IF(Preenchimento!B80=0, "-", Preenchimento!B80)</f>
        <v>-</v>
      </c>
      <c r="C73" s="216" t="str">
        <f>IF(Preenchimento!C80=0,"-", Preenchimento!C80)</f>
        <v>-</v>
      </c>
      <c r="D73" s="217" t="str">
        <f>IF(Preenchimento!F80=0,"-", Preenchimento!F80)</f>
        <v>-</v>
      </c>
      <c r="E73" s="218" t="str">
        <f>IF(Resultados!I73="-", "0", Resultados!I73)</f>
        <v>0</v>
      </c>
      <c r="F73" s="219" t="str">
        <f>IF(Preenchimento!G80=0, "-", Preenchimento!G80)</f>
        <v>-</v>
      </c>
      <c r="G73" s="219" t="str">
        <f>IF(Preenchimento!H80=0, "-", Preenchimento!H80)</f>
        <v>-</v>
      </c>
    </row>
    <row r="74" ht="15.75" customHeight="1">
      <c r="A74" s="204">
        <v>72.0</v>
      </c>
      <c r="B74" s="216" t="str">
        <f>IF(Preenchimento!B81=0, "-", Preenchimento!B81)</f>
        <v>-</v>
      </c>
      <c r="C74" s="216" t="str">
        <f>IF(Preenchimento!C81=0,"-", Preenchimento!C81)</f>
        <v>-</v>
      </c>
      <c r="D74" s="217" t="str">
        <f>IF(Preenchimento!F81=0,"-", Preenchimento!F81)</f>
        <v>-</v>
      </c>
      <c r="E74" s="218" t="str">
        <f>IF(Resultados!I74="-", "0", Resultados!I74)</f>
        <v>0</v>
      </c>
      <c r="F74" s="219" t="str">
        <f>IF(Preenchimento!G81=0, "-", Preenchimento!G81)</f>
        <v>-</v>
      </c>
      <c r="G74" s="219" t="str">
        <f>IF(Preenchimento!H81=0, "-", Preenchimento!H81)</f>
        <v>-</v>
      </c>
    </row>
    <row r="75" ht="15.75" customHeight="1">
      <c r="A75" s="204">
        <v>73.0</v>
      </c>
      <c r="B75" s="216" t="str">
        <f>IF(Preenchimento!B82=0, "-", Preenchimento!B82)</f>
        <v>-</v>
      </c>
      <c r="C75" s="216" t="str">
        <f>IF(Preenchimento!C82=0,"-", Preenchimento!C82)</f>
        <v>-</v>
      </c>
      <c r="D75" s="217" t="str">
        <f>IF(Preenchimento!F82=0,"-", Preenchimento!F82)</f>
        <v>-</v>
      </c>
      <c r="E75" s="218" t="str">
        <f>IF(Resultados!I75="-", "0", Resultados!I75)</f>
        <v>0</v>
      </c>
      <c r="F75" s="219" t="str">
        <f>IF(Preenchimento!G82=0, "-", Preenchimento!G82)</f>
        <v>-</v>
      </c>
      <c r="G75" s="219" t="str">
        <f>IF(Preenchimento!H82=0, "-", Preenchimento!H82)</f>
        <v>-</v>
      </c>
    </row>
    <row r="76" ht="15.75" customHeight="1">
      <c r="A76" s="204">
        <v>74.0</v>
      </c>
      <c r="B76" s="216" t="str">
        <f>IF(Preenchimento!B83=0, "-", Preenchimento!B83)</f>
        <v>-</v>
      </c>
      <c r="C76" s="216" t="str">
        <f>IF(Preenchimento!C83=0,"-", Preenchimento!C83)</f>
        <v>-</v>
      </c>
      <c r="D76" s="217" t="str">
        <f>IF(Preenchimento!F83=0,"-", Preenchimento!F83)</f>
        <v>-</v>
      </c>
      <c r="E76" s="218" t="str">
        <f>IF(Resultados!I76="-", "0", Resultados!I76)</f>
        <v>0</v>
      </c>
      <c r="F76" s="219" t="str">
        <f>IF(Preenchimento!G83=0, "-", Preenchimento!G83)</f>
        <v>-</v>
      </c>
      <c r="G76" s="219" t="str">
        <f>IF(Preenchimento!H83=0, "-", Preenchimento!H83)</f>
        <v>-</v>
      </c>
    </row>
    <row r="77" ht="15.75" customHeight="1">
      <c r="A77" s="204">
        <v>75.0</v>
      </c>
      <c r="B77" s="216" t="str">
        <f>IF(Preenchimento!B84=0, "-", Preenchimento!B84)</f>
        <v>-</v>
      </c>
      <c r="C77" s="216" t="str">
        <f>IF(Preenchimento!C84=0,"-", Preenchimento!C84)</f>
        <v>-</v>
      </c>
      <c r="D77" s="217" t="str">
        <f>IF(Preenchimento!F84=0,"-", Preenchimento!F84)</f>
        <v>-</v>
      </c>
      <c r="E77" s="218" t="str">
        <f>IF(Resultados!I77="-", "0", Resultados!I77)</f>
        <v>0</v>
      </c>
      <c r="F77" s="219" t="str">
        <f>IF(Preenchimento!G84=0, "-", Preenchimento!G84)</f>
        <v>-</v>
      </c>
      <c r="G77" s="219" t="str">
        <f>IF(Preenchimento!H84=0, "-", Preenchimento!H84)</f>
        <v>-</v>
      </c>
    </row>
    <row r="78" ht="15.75" customHeight="1">
      <c r="A78" s="204">
        <v>81.0</v>
      </c>
      <c r="B78" s="216" t="str">
        <f>IF(Preenchimento!B85=0, "-", Preenchimento!B85)</f>
        <v>-</v>
      </c>
      <c r="C78" s="216" t="str">
        <f>IF(Preenchimento!C85=0,"-", Preenchimento!C85)</f>
        <v>-</v>
      </c>
      <c r="D78" s="217" t="str">
        <f>IF(Preenchimento!F85=0,"-", Preenchimento!F85)</f>
        <v>-</v>
      </c>
      <c r="E78" s="218" t="str">
        <f>IF(Resultados!I78="-", "0", Resultados!I78)</f>
        <v>0</v>
      </c>
      <c r="F78" s="219" t="str">
        <f>IF(Preenchimento!G85=0, "-", Preenchimento!G85)</f>
        <v>-</v>
      </c>
      <c r="G78" s="219" t="str">
        <f>IF(Preenchimento!H85=0, "-", Preenchimento!H85)</f>
        <v>-</v>
      </c>
    </row>
    <row r="79" ht="15.75" customHeight="1">
      <c r="A79" s="204">
        <v>77.0</v>
      </c>
      <c r="B79" s="216" t="str">
        <f>IF(Preenchimento!B86=0, "-", Preenchimento!B86)</f>
        <v>-</v>
      </c>
      <c r="C79" s="216" t="str">
        <f>IF(Preenchimento!C86=0,"-", Preenchimento!C86)</f>
        <v>-</v>
      </c>
      <c r="D79" s="217" t="str">
        <f>IF(Preenchimento!F86=0,"-", Preenchimento!F86)</f>
        <v>-</v>
      </c>
      <c r="E79" s="218" t="str">
        <f>IF(Resultados!I79="-", "0", Resultados!I79)</f>
        <v>0</v>
      </c>
      <c r="F79" s="219" t="str">
        <f>IF(Preenchimento!G86=0, "-", Preenchimento!G86)</f>
        <v>-</v>
      </c>
      <c r="G79" s="219" t="str">
        <f>IF(Preenchimento!H86=0, "-", Preenchimento!H86)</f>
        <v>-</v>
      </c>
    </row>
    <row r="80" ht="15.75" customHeight="1">
      <c r="A80" s="204">
        <v>78.0</v>
      </c>
      <c r="B80" s="216" t="str">
        <f>IF(Preenchimento!B87=0, "-", Preenchimento!B87)</f>
        <v>-</v>
      </c>
      <c r="C80" s="216" t="str">
        <f>IF(Preenchimento!C87=0,"-", Preenchimento!C87)</f>
        <v>-</v>
      </c>
      <c r="D80" s="217" t="str">
        <f>IF(Preenchimento!F87=0,"-", Preenchimento!F87)</f>
        <v>-</v>
      </c>
      <c r="E80" s="218" t="str">
        <f>IF(Resultados!I80="-", "0", Resultados!I80)</f>
        <v>0</v>
      </c>
      <c r="F80" s="219" t="str">
        <f>IF(Preenchimento!G87=0, "-", Preenchimento!G87)</f>
        <v>-</v>
      </c>
      <c r="G80" s="219" t="str">
        <f>IF(Preenchimento!H87=0, "-", Preenchimento!H87)</f>
        <v>-</v>
      </c>
    </row>
    <row r="81" ht="15.75" customHeight="1">
      <c r="A81" s="204">
        <v>79.0</v>
      </c>
      <c r="B81" s="216" t="str">
        <f>IF(Preenchimento!B88=0, "-", Preenchimento!B88)</f>
        <v>-</v>
      </c>
      <c r="C81" s="216" t="str">
        <f>IF(Preenchimento!C88=0,"-", Preenchimento!C88)</f>
        <v>-</v>
      </c>
      <c r="D81" s="217" t="str">
        <f>IF(Preenchimento!F88=0,"-", Preenchimento!F88)</f>
        <v>-</v>
      </c>
      <c r="E81" s="218" t="str">
        <f>IF(Resultados!I81="-", "0", Resultados!I81)</f>
        <v>0</v>
      </c>
      <c r="F81" s="219" t="str">
        <f>IF(Preenchimento!G88=0, "-", Preenchimento!G88)</f>
        <v>-</v>
      </c>
      <c r="G81" s="219" t="str">
        <f>IF(Preenchimento!H88=0, "-", Preenchimento!H88)</f>
        <v>-</v>
      </c>
    </row>
    <row r="82" ht="15.75" customHeight="1">
      <c r="A82" s="204">
        <v>80.0</v>
      </c>
      <c r="B82" s="216" t="str">
        <f>IF(Preenchimento!B89=0, "-", Preenchimento!B89)</f>
        <v>-</v>
      </c>
      <c r="C82" s="216" t="str">
        <f>IF(Preenchimento!C89=0,"-", Preenchimento!C89)</f>
        <v>-</v>
      </c>
      <c r="D82" s="217" t="str">
        <f>IF(Preenchimento!F89=0,"-", Preenchimento!F89)</f>
        <v>-</v>
      </c>
      <c r="E82" s="218" t="str">
        <f>IF(Resultados!I82="-", "0", Resultados!I82)</f>
        <v>0</v>
      </c>
      <c r="F82" s="219" t="str">
        <f>IF(Preenchimento!G89=0, "-", Preenchimento!G89)</f>
        <v>-</v>
      </c>
      <c r="G82" s="219" t="str">
        <f>IF(Preenchimento!H89=0, "-", Preenchimento!H89)</f>
        <v>-</v>
      </c>
    </row>
    <row r="83" ht="15.75" customHeight="1">
      <c r="A83" s="204">
        <v>81.0</v>
      </c>
      <c r="B83" s="216" t="str">
        <f>IF(Preenchimento!B90=0, "-", Preenchimento!B90)</f>
        <v>-</v>
      </c>
      <c r="C83" s="216" t="str">
        <f>IF(Preenchimento!C90=0,"-", Preenchimento!C90)</f>
        <v>-</v>
      </c>
      <c r="D83" s="217" t="str">
        <f>IF(Preenchimento!F90=0,"-", Preenchimento!F90)</f>
        <v>-</v>
      </c>
      <c r="E83" s="218" t="str">
        <f>IF(Resultados!I83="-", "0", Resultados!I83)</f>
        <v>0</v>
      </c>
      <c r="F83" s="219" t="str">
        <f>IF(Preenchimento!G90=0, "-", Preenchimento!G90)</f>
        <v>-</v>
      </c>
      <c r="G83" s="219" t="str">
        <f>IF(Preenchimento!H90=0, "-", Preenchimento!H90)</f>
        <v>-</v>
      </c>
    </row>
    <row r="84" ht="15.75" customHeight="1">
      <c r="A84" s="204">
        <v>82.0</v>
      </c>
      <c r="B84" s="216" t="str">
        <f>IF(Preenchimento!B91=0, "-", Preenchimento!B91)</f>
        <v>-</v>
      </c>
      <c r="C84" s="216" t="str">
        <f>IF(Preenchimento!C91=0,"-", Preenchimento!C91)</f>
        <v>-</v>
      </c>
      <c r="D84" s="217" t="str">
        <f>IF(Preenchimento!F91=0,"-", Preenchimento!F91)</f>
        <v>-</v>
      </c>
      <c r="E84" s="218" t="str">
        <f>IF(Resultados!I84="-", "0", Resultados!I84)</f>
        <v>0</v>
      </c>
      <c r="F84" s="219" t="str">
        <f>IF(Preenchimento!G91=0, "-", Preenchimento!G91)</f>
        <v>-</v>
      </c>
      <c r="G84" s="219" t="str">
        <f>IF(Preenchimento!H91=0, "-", Preenchimento!H91)</f>
        <v>-</v>
      </c>
    </row>
    <row r="85" ht="15.75" customHeight="1">
      <c r="A85" s="204">
        <v>83.0</v>
      </c>
      <c r="B85" s="216" t="str">
        <f>IF(Preenchimento!B92=0, "-", Preenchimento!B92)</f>
        <v>-</v>
      </c>
      <c r="C85" s="216" t="str">
        <f>IF(Preenchimento!C92=0,"-", Preenchimento!C92)</f>
        <v>-</v>
      </c>
      <c r="D85" s="217" t="str">
        <f>IF(Preenchimento!F92=0,"-", Preenchimento!F92)</f>
        <v>-</v>
      </c>
      <c r="E85" s="218" t="str">
        <f>IF(Resultados!I85="-", "0", Resultados!I85)</f>
        <v>0</v>
      </c>
      <c r="F85" s="219" t="str">
        <f>IF(Preenchimento!G92=0, "-", Preenchimento!G92)</f>
        <v>-</v>
      </c>
      <c r="G85" s="219" t="str">
        <f>IF(Preenchimento!H92=0, "-", Preenchimento!H92)</f>
        <v>-</v>
      </c>
    </row>
    <row r="86" ht="15.75" customHeight="1">
      <c r="A86" s="204">
        <v>84.0</v>
      </c>
      <c r="B86" s="216" t="str">
        <f>IF(Preenchimento!B93=0, "-", Preenchimento!B93)</f>
        <v>-</v>
      </c>
      <c r="C86" s="216" t="str">
        <f>IF(Preenchimento!C93=0,"-", Preenchimento!C93)</f>
        <v>-</v>
      </c>
      <c r="D86" s="217" t="str">
        <f>IF(Preenchimento!F93=0,"-", Preenchimento!F93)</f>
        <v>-</v>
      </c>
      <c r="E86" s="218" t="str">
        <f>IF(Resultados!I86="-", "0", Resultados!I86)</f>
        <v>0</v>
      </c>
      <c r="F86" s="219" t="str">
        <f>IF(Preenchimento!G93=0, "-", Preenchimento!G93)</f>
        <v>-</v>
      </c>
      <c r="G86" s="219" t="str">
        <f>IF(Preenchimento!H93=0, "-", Preenchimento!H93)</f>
        <v>-</v>
      </c>
    </row>
    <row r="87" ht="15.75" customHeight="1">
      <c r="A87" s="204">
        <v>85.0</v>
      </c>
      <c r="B87" s="216" t="str">
        <f>IF(Preenchimento!B94=0, "-", Preenchimento!B94)</f>
        <v>-</v>
      </c>
      <c r="C87" s="216" t="str">
        <f>IF(Preenchimento!C94=0,"-", Preenchimento!C94)</f>
        <v>-</v>
      </c>
      <c r="D87" s="217" t="str">
        <f>IF(Preenchimento!F94=0,"-", Preenchimento!F94)</f>
        <v>-</v>
      </c>
      <c r="E87" s="218" t="str">
        <f>IF(Resultados!I87="-", "0", Resultados!I87)</f>
        <v>0</v>
      </c>
      <c r="F87" s="219" t="str">
        <f>IF(Preenchimento!G94=0, "-", Preenchimento!G94)</f>
        <v>-</v>
      </c>
      <c r="G87" s="219" t="str">
        <f>IF(Preenchimento!H94=0, "-", Preenchimento!H94)</f>
        <v>-</v>
      </c>
    </row>
    <row r="88" ht="15.75" customHeight="1">
      <c r="A88" s="204">
        <v>86.0</v>
      </c>
      <c r="B88" s="216" t="str">
        <f>IF(Preenchimento!B95=0, "-", Preenchimento!B95)</f>
        <v>-</v>
      </c>
      <c r="C88" s="216" t="str">
        <f>IF(Preenchimento!C95=0,"-", Preenchimento!C95)</f>
        <v>-</v>
      </c>
      <c r="D88" s="217" t="str">
        <f>IF(Preenchimento!F95=0,"-", Preenchimento!F95)</f>
        <v>-</v>
      </c>
      <c r="E88" s="218" t="str">
        <f>IF(Resultados!I88="-", "0", Resultados!I88)</f>
        <v>0</v>
      </c>
      <c r="F88" s="219" t="str">
        <f>IF(Preenchimento!G95=0, "-", Preenchimento!G95)</f>
        <v>-</v>
      </c>
      <c r="G88" s="219" t="str">
        <f>IF(Preenchimento!H95=0, "-", Preenchimento!H95)</f>
        <v>-</v>
      </c>
    </row>
    <row r="89" ht="15.75" customHeight="1">
      <c r="A89" s="204">
        <v>87.0</v>
      </c>
      <c r="B89" s="216" t="str">
        <f>IF(Preenchimento!B96=0, "-", Preenchimento!B96)</f>
        <v>-</v>
      </c>
      <c r="C89" s="216" t="str">
        <f>IF(Preenchimento!C96=0,"-", Preenchimento!C96)</f>
        <v>-</v>
      </c>
      <c r="D89" s="217" t="str">
        <f>IF(Preenchimento!F96=0,"-", Preenchimento!F96)</f>
        <v>-</v>
      </c>
      <c r="E89" s="218" t="str">
        <f>IF(Resultados!I89="-", "0", Resultados!I89)</f>
        <v>0</v>
      </c>
      <c r="F89" s="219" t="str">
        <f>IF(Preenchimento!G96=0, "-", Preenchimento!G96)</f>
        <v>-</v>
      </c>
      <c r="G89" s="219" t="str">
        <f>IF(Preenchimento!H96=0, "-", Preenchimento!H96)</f>
        <v>-</v>
      </c>
    </row>
    <row r="90" ht="15.75" customHeight="1">
      <c r="A90" s="204">
        <v>88.0</v>
      </c>
      <c r="B90" s="216" t="str">
        <f>IF(Preenchimento!B97=0, "-", Preenchimento!B97)</f>
        <v>-</v>
      </c>
      <c r="C90" s="216" t="str">
        <f>IF(Preenchimento!C97=0,"-", Preenchimento!C97)</f>
        <v>-</v>
      </c>
      <c r="D90" s="217" t="str">
        <f>IF(Preenchimento!F97=0,"-", Preenchimento!F97)</f>
        <v>-</v>
      </c>
      <c r="E90" s="218" t="str">
        <f>IF(Resultados!I90="-", "0", Resultados!I90)</f>
        <v>0</v>
      </c>
      <c r="F90" s="219" t="str">
        <f>IF(Preenchimento!G97=0, "-", Preenchimento!G97)</f>
        <v>-</v>
      </c>
      <c r="G90" s="219" t="str">
        <f>IF(Preenchimento!H97=0, "-", Preenchimento!H97)</f>
        <v>-</v>
      </c>
    </row>
    <row r="91" ht="15.75" customHeight="1">
      <c r="A91" s="204">
        <v>89.0</v>
      </c>
      <c r="B91" s="216" t="str">
        <f>IF(Preenchimento!B98=0, "-", Preenchimento!B98)</f>
        <v>-</v>
      </c>
      <c r="C91" s="216" t="str">
        <f>IF(Preenchimento!C98=0,"-", Preenchimento!C98)</f>
        <v>-</v>
      </c>
      <c r="D91" s="217" t="str">
        <f>IF(Preenchimento!F98=0,"-", Preenchimento!F98)</f>
        <v>-</v>
      </c>
      <c r="E91" s="218" t="str">
        <f>IF(Resultados!I91="-", "0", Resultados!I91)</f>
        <v>0</v>
      </c>
      <c r="F91" s="219" t="str">
        <f>IF(Preenchimento!G98=0, "-", Preenchimento!G98)</f>
        <v>-</v>
      </c>
      <c r="G91" s="219" t="str">
        <f>IF(Preenchimento!H98=0, "-", Preenchimento!H98)</f>
        <v>-</v>
      </c>
    </row>
    <row r="92" ht="15.75" customHeight="1">
      <c r="A92" s="204">
        <v>90.0</v>
      </c>
      <c r="B92" s="216" t="str">
        <f>IF(Preenchimento!B99=0, "-", Preenchimento!B99)</f>
        <v>-</v>
      </c>
      <c r="C92" s="216" t="str">
        <f>IF(Preenchimento!C99=0,"-", Preenchimento!C99)</f>
        <v>-</v>
      </c>
      <c r="D92" s="217" t="str">
        <f>IF(Preenchimento!F99=0,"-", Preenchimento!F99)</f>
        <v>-</v>
      </c>
      <c r="E92" s="218" t="str">
        <f>IF(Resultados!I92="-", "0", Resultados!I92)</f>
        <v>0</v>
      </c>
      <c r="F92" s="219" t="str">
        <f>IF(Preenchimento!G99=0, "-", Preenchimento!G99)</f>
        <v>-</v>
      </c>
      <c r="G92" s="219" t="str">
        <f>IF(Preenchimento!H99=0, "-", Preenchimento!H99)</f>
        <v>-</v>
      </c>
    </row>
    <row r="93" ht="15.75" customHeight="1">
      <c r="A93" s="204">
        <v>91.0</v>
      </c>
      <c r="B93" s="216" t="str">
        <f>IF(Preenchimento!B100=0, "-", Preenchimento!B100)</f>
        <v>-</v>
      </c>
      <c r="C93" s="216" t="str">
        <f>IF(Preenchimento!C100=0,"-", Preenchimento!C100)</f>
        <v>-</v>
      </c>
      <c r="D93" s="217" t="str">
        <f>IF(Preenchimento!F100=0,"-", Preenchimento!F100)</f>
        <v>-</v>
      </c>
      <c r="E93" s="218" t="str">
        <f>IF(Resultados!I93="-", "0", Resultados!I93)</f>
        <v>0</v>
      </c>
      <c r="F93" s="219" t="str">
        <f>IF(Preenchimento!G100=0, "-", Preenchimento!G100)</f>
        <v>-</v>
      </c>
      <c r="G93" s="219" t="str">
        <f>IF(Preenchimento!H100=0, "-", Preenchimento!H100)</f>
        <v>-</v>
      </c>
    </row>
    <row r="94" ht="15.75" customHeight="1">
      <c r="A94" s="204">
        <v>92.0</v>
      </c>
      <c r="B94" s="216" t="str">
        <f>IF(Preenchimento!B101=0, "-", Preenchimento!B101)</f>
        <v>-</v>
      </c>
      <c r="C94" s="216" t="str">
        <f>IF(Preenchimento!C101=0,"-", Preenchimento!C101)</f>
        <v>-</v>
      </c>
      <c r="D94" s="217" t="str">
        <f>IF(Preenchimento!F101=0,"-", Preenchimento!F101)</f>
        <v>-</v>
      </c>
      <c r="E94" s="218" t="str">
        <f>IF(Resultados!I94="-", "0", Resultados!I94)</f>
        <v>0</v>
      </c>
      <c r="F94" s="219" t="str">
        <f>IF(Preenchimento!G101=0, "-", Preenchimento!G101)</f>
        <v>-</v>
      </c>
      <c r="G94" s="219" t="str">
        <f>IF(Preenchimento!H101=0, "-", Preenchimento!H101)</f>
        <v>-</v>
      </c>
    </row>
    <row r="95" ht="15.75" customHeight="1">
      <c r="A95" s="204">
        <v>93.0</v>
      </c>
      <c r="B95" s="216" t="str">
        <f>IF(Preenchimento!B102=0, "-", Preenchimento!B102)</f>
        <v>-</v>
      </c>
      <c r="C95" s="216" t="str">
        <f>IF(Preenchimento!C102=0,"-", Preenchimento!C102)</f>
        <v>-</v>
      </c>
      <c r="D95" s="217" t="str">
        <f>IF(Preenchimento!F102=0,"-", Preenchimento!F102)</f>
        <v>-</v>
      </c>
      <c r="E95" s="218" t="str">
        <f>IF(Resultados!I95="-", "0", Resultados!I95)</f>
        <v>0</v>
      </c>
      <c r="F95" s="219" t="str">
        <f>IF(Preenchimento!G102=0, "-", Preenchimento!G102)</f>
        <v>-</v>
      </c>
      <c r="G95" s="219" t="str">
        <f>IF(Preenchimento!H102=0, "-", Preenchimento!H102)</f>
        <v>-</v>
      </c>
    </row>
    <row r="96" ht="15.75" customHeight="1">
      <c r="A96" s="204">
        <v>94.0</v>
      </c>
      <c r="B96" s="216" t="str">
        <f>IF(Preenchimento!B103=0, "-", Preenchimento!B103)</f>
        <v>-</v>
      </c>
      <c r="C96" s="216" t="str">
        <f>IF(Preenchimento!C103=0,"-", Preenchimento!C103)</f>
        <v>-</v>
      </c>
      <c r="D96" s="217" t="str">
        <f>IF(Preenchimento!F103=0,"-", Preenchimento!F103)</f>
        <v>-</v>
      </c>
      <c r="E96" s="218" t="str">
        <f>IF(Resultados!I96="-", "0", Resultados!I96)</f>
        <v>0</v>
      </c>
      <c r="F96" s="219" t="str">
        <f>IF(Preenchimento!G103=0, "-", Preenchimento!G103)</f>
        <v>-</v>
      </c>
      <c r="G96" s="219" t="str">
        <f>IF(Preenchimento!H103=0, "-", Preenchimento!H103)</f>
        <v>-</v>
      </c>
    </row>
    <row r="97" ht="15.75" customHeight="1">
      <c r="A97" s="204">
        <v>95.0</v>
      </c>
      <c r="B97" s="216" t="str">
        <f>IF(Preenchimento!B104=0, "-", Preenchimento!B104)</f>
        <v>-</v>
      </c>
      <c r="C97" s="216" t="str">
        <f>IF(Preenchimento!C104=0,"-", Preenchimento!C104)</f>
        <v>-</v>
      </c>
      <c r="D97" s="217" t="str">
        <f>IF(Preenchimento!F104=0,"-", Preenchimento!F104)</f>
        <v>-</v>
      </c>
      <c r="E97" s="218" t="str">
        <f>IF(Resultados!I97="-", "0", Resultados!I97)</f>
        <v>0</v>
      </c>
      <c r="F97" s="219" t="str">
        <f>IF(Preenchimento!G104=0, "-", Preenchimento!G104)</f>
        <v>-</v>
      </c>
      <c r="G97" s="219" t="str">
        <f>IF(Preenchimento!H104=0, "-", Preenchimento!H104)</f>
        <v>-</v>
      </c>
    </row>
    <row r="98" ht="15.75" customHeight="1">
      <c r="A98" s="204">
        <v>96.0</v>
      </c>
      <c r="B98" s="216" t="str">
        <f>IF(Preenchimento!B105=0, "-", Preenchimento!B105)</f>
        <v>-</v>
      </c>
      <c r="C98" s="216" t="str">
        <f>IF(Preenchimento!C105=0,"-", Preenchimento!C105)</f>
        <v>-</v>
      </c>
      <c r="D98" s="217" t="str">
        <f>IF(Preenchimento!F105=0,"-", Preenchimento!F105)</f>
        <v>-</v>
      </c>
      <c r="E98" s="218" t="str">
        <f>IF(Resultados!I98="-", "0", Resultados!I98)</f>
        <v>0</v>
      </c>
      <c r="F98" s="219" t="str">
        <f>IF(Preenchimento!G105=0, "-", Preenchimento!G105)</f>
        <v>-</v>
      </c>
      <c r="G98" s="219" t="str">
        <f>IF(Preenchimento!H105=0, "-", Preenchimento!H105)</f>
        <v>-</v>
      </c>
    </row>
    <row r="99" ht="15.75" customHeight="1">
      <c r="A99" s="204">
        <v>97.0</v>
      </c>
      <c r="B99" s="216" t="str">
        <f>IF(Preenchimento!B106=0, "-", Preenchimento!B106)</f>
        <v>-</v>
      </c>
      <c r="C99" s="216" t="str">
        <f>IF(Preenchimento!C106=0,"-", Preenchimento!C106)</f>
        <v>-</v>
      </c>
      <c r="D99" s="217" t="str">
        <f>IF(Preenchimento!F106=0,"-", Preenchimento!F106)</f>
        <v>-</v>
      </c>
      <c r="E99" s="218" t="str">
        <f>IF(Resultados!I99="-", "0", Resultados!I99)</f>
        <v>0</v>
      </c>
      <c r="F99" s="219" t="str">
        <f>IF(Preenchimento!G106=0, "-", Preenchimento!G106)</f>
        <v>-</v>
      </c>
      <c r="G99" s="219" t="str">
        <f>IF(Preenchimento!H106=0, "-", Preenchimento!H106)</f>
        <v>-</v>
      </c>
    </row>
    <row r="100" ht="15.75" customHeight="1">
      <c r="A100" s="204">
        <v>98.0</v>
      </c>
      <c r="B100" s="216" t="str">
        <f>IF(Preenchimento!B107=0, "-", Preenchimento!B107)</f>
        <v>-</v>
      </c>
      <c r="C100" s="216" t="str">
        <f>IF(Preenchimento!C107=0,"-", Preenchimento!C107)</f>
        <v>-</v>
      </c>
      <c r="D100" s="217" t="str">
        <f>IF(Preenchimento!F107=0,"-", Preenchimento!F107)</f>
        <v>-</v>
      </c>
      <c r="E100" s="218" t="str">
        <f>IF(Resultados!I100="-", "0", Resultados!I100)</f>
        <v>0</v>
      </c>
      <c r="F100" s="219" t="str">
        <f>IF(Preenchimento!G107=0, "-", Preenchimento!G107)</f>
        <v>-</v>
      </c>
      <c r="G100" s="219" t="str">
        <f>IF(Preenchimento!H107=0, "-", Preenchimento!H107)</f>
        <v>-</v>
      </c>
    </row>
    <row r="101" ht="15.75" customHeight="1">
      <c r="A101" s="204">
        <v>99.0</v>
      </c>
      <c r="B101" s="216" t="str">
        <f>IF(Preenchimento!B108=0, "-", Preenchimento!B108)</f>
        <v>-</v>
      </c>
      <c r="C101" s="216" t="str">
        <f>IF(Preenchimento!C108=0,"-", Preenchimento!C108)</f>
        <v>-</v>
      </c>
      <c r="D101" s="217" t="str">
        <f>IF(Preenchimento!F108=0,"-", Preenchimento!F108)</f>
        <v>-</v>
      </c>
      <c r="E101" s="218" t="str">
        <f>IF(Resultados!I101="-", "0", Resultados!I101)</f>
        <v>0</v>
      </c>
      <c r="F101" s="219" t="str">
        <f>IF(Preenchimento!G108=0, "-", Preenchimento!G108)</f>
        <v>-</v>
      </c>
      <c r="G101" s="219" t="str">
        <f>IF(Preenchimento!H108=0, "-", Preenchimento!H108)</f>
        <v>-</v>
      </c>
    </row>
    <row r="102" ht="15.75" customHeight="1">
      <c r="A102" s="204">
        <v>100.0</v>
      </c>
      <c r="B102" s="216" t="str">
        <f>IF(Preenchimento!B109=0, "-", Preenchimento!B109)</f>
        <v>-</v>
      </c>
      <c r="C102" s="216" t="str">
        <f>IF(Preenchimento!C109=0,"-", Preenchimento!C109)</f>
        <v>-</v>
      </c>
      <c r="D102" s="217" t="str">
        <f>IF(Preenchimento!F109=0,"-", Preenchimento!F109)</f>
        <v>-</v>
      </c>
      <c r="E102" s="218" t="str">
        <f>IF(Resultados!I102="-", "0", Resultados!I102)</f>
        <v>0</v>
      </c>
      <c r="F102" s="219" t="str">
        <f>IF(Preenchimento!G109=0, "-", Preenchimento!G109)</f>
        <v>-</v>
      </c>
      <c r="G102" s="219" t="str">
        <f>IF(Preenchimento!H109=0, "-", Preenchimento!H109)</f>
        <v>-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8.71"/>
    <col customWidth="1" min="8" max="8" width="21.57"/>
    <col customWidth="1" min="9" max="9" width="8.71"/>
  </cols>
  <sheetData>
    <row r="9">
      <c r="H9" s="21" t="s">
        <v>78</v>
      </c>
      <c r="I9" s="220">
        <v>0.025</v>
      </c>
    </row>
    <row r="10">
      <c r="H10" s="21" t="s">
        <v>79</v>
      </c>
      <c r="I10" s="220">
        <v>0.05</v>
      </c>
    </row>
    <row r="11">
      <c r="H11" s="21" t="s">
        <v>80</v>
      </c>
      <c r="I11" s="220">
        <v>0.0125</v>
      </c>
    </row>
    <row r="12">
      <c r="H12" s="21" t="s">
        <v>81</v>
      </c>
      <c r="I12" s="220">
        <v>0.0125</v>
      </c>
    </row>
    <row r="13">
      <c r="H13" s="21" t="s">
        <v>82</v>
      </c>
      <c r="I13" s="220">
        <v>0.04285714285714285</v>
      </c>
    </row>
    <row r="14">
      <c r="H14" s="21" t="s">
        <v>83</v>
      </c>
      <c r="I14" s="220">
        <v>0.04285714285714285</v>
      </c>
    </row>
    <row r="15">
      <c r="H15" s="21" t="s">
        <v>84</v>
      </c>
      <c r="I15" s="220">
        <v>0.04285714285714285</v>
      </c>
    </row>
    <row r="16">
      <c r="H16" s="21" t="s">
        <v>85</v>
      </c>
      <c r="I16" s="220">
        <v>0.04285714285714285</v>
      </c>
    </row>
    <row r="17">
      <c r="H17" s="21" t="s">
        <v>86</v>
      </c>
      <c r="I17" s="220">
        <v>0.04285714285714285</v>
      </c>
    </row>
    <row r="18">
      <c r="H18" s="21" t="s">
        <v>87</v>
      </c>
      <c r="I18" s="220">
        <v>0.04285714285714285</v>
      </c>
    </row>
    <row r="19">
      <c r="H19" s="21" t="s">
        <v>88</v>
      </c>
      <c r="I19" s="220">
        <v>0.04285714285714285</v>
      </c>
    </row>
    <row r="20">
      <c r="H20" s="21" t="s">
        <v>89</v>
      </c>
      <c r="I20" s="220">
        <v>0.1</v>
      </c>
    </row>
    <row r="21" ht="15.75" customHeight="1">
      <c r="H21" s="21" t="s">
        <v>90</v>
      </c>
      <c r="I21" s="220">
        <v>0.25</v>
      </c>
    </row>
    <row r="22" ht="15.75" customHeight="1">
      <c r="H22" s="21" t="s">
        <v>91</v>
      </c>
      <c r="I22" s="220">
        <v>0.025</v>
      </c>
    </row>
    <row r="23" ht="15.75" customHeight="1">
      <c r="H23" s="21" t="s">
        <v>92</v>
      </c>
      <c r="I23" s="220">
        <v>0.025</v>
      </c>
    </row>
    <row r="24" ht="15.75" customHeight="1">
      <c r="H24" s="21" t="s">
        <v>93</v>
      </c>
      <c r="I24" s="220">
        <v>0.025</v>
      </c>
    </row>
    <row r="25" ht="15.75" customHeight="1">
      <c r="H25" s="21" t="s">
        <v>94</v>
      </c>
      <c r="I25" s="220">
        <v>0.025</v>
      </c>
    </row>
    <row r="26" ht="15.75" customHeight="1">
      <c r="H26" s="21" t="s">
        <v>95</v>
      </c>
      <c r="I26" s="220">
        <v>0.025</v>
      </c>
    </row>
    <row r="27" ht="15.75" customHeight="1">
      <c r="H27" s="21" t="s">
        <v>96</v>
      </c>
      <c r="I27" s="220">
        <v>0.025</v>
      </c>
    </row>
    <row r="28" ht="15.75" customHeight="1">
      <c r="H28" s="21" t="s">
        <v>97</v>
      </c>
      <c r="I28" s="220">
        <v>0.025</v>
      </c>
    </row>
    <row r="29" ht="15.75" customHeight="1">
      <c r="H29" s="21" t="s">
        <v>98</v>
      </c>
      <c r="I29" s="220">
        <v>0.025</v>
      </c>
    </row>
    <row r="30" ht="15.75" customHeight="1">
      <c r="H30" s="21" t="s">
        <v>99</v>
      </c>
      <c r="I30" s="220">
        <v>0.025</v>
      </c>
    </row>
    <row r="31" ht="15.75" customHeight="1">
      <c r="H31" s="21" t="s">
        <v>100</v>
      </c>
      <c r="I31" s="220">
        <v>0.025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