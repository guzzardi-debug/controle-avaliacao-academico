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enchimento" sheetId="1" state="visible" r:id="rId1"/>
    <sheet name="Rubrica" sheetId="2" state="visible" r:id="rId2"/>
    <sheet name="Registro por Sessão" sheetId="3" state="visible" r:id="rId3"/>
    <sheet name="Nota" sheetId="4" state="visible" r:id="rId4"/>
  </sheets>
  <definedNames>
    <definedName name="_xlnm._FilterDatabase" localSheetId="0" hidden="1">'Preenchimento'!$A$9:$D$109</definedName>
    <definedName name="_xlnm._FilterDatabase" localSheetId="2" hidden="1">'Registro por Sessão'!$A$3:$X$503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b val="1"/>
      <color rgb="FFFFFFFF"/>
      <sz val="14"/>
    </font>
    <font>
      <name val="Calibri"/>
      <i val="1"/>
      <color rgb="FF666666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20124D"/>
        <bgColor rgb="FF20124D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3" borderId="0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5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FFE6B8AF"/>
          <bgColor rgb="FFE6B8A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124D"/>
    <outlinePr summaryBelow="1" summaryRight="1"/>
    <pageSetUpPr/>
  </sheetPr>
  <dimension ref="A1:D10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14" customWidth="1" min="4" max="4"/>
  </cols>
  <sheetData>
    <row r="1" ht="30" customHeight="1">
      <c r="A1" s="1" t="inlineStr">
        <is>
          <t>Controle Avaliação</t>
        </is>
      </c>
      <c r="B1" s="2" t="n"/>
      <c r="C1" s="2" t="n"/>
      <c r="D1" s="2" t="n"/>
    </row>
    <row r="2" ht="22" customHeight="1">
      <c r="A2" s="3" t="inlineStr">
        <is>
          <t>Preenchimento — lista-mãe do comitê</t>
        </is>
      </c>
      <c r="B2" s="2" t="n"/>
      <c r="C2" s="2" t="n"/>
      <c r="D2" s="2" t="n"/>
    </row>
    <row r="4">
      <c r="B4" s="4" t="inlineStr">
        <is>
          <t>Preencha um delegado por linha, a partir da linha 10. A ordem desta aba comanda o Registro por Sessão e a aba Nota.</t>
        </is>
      </c>
    </row>
    <row r="5">
      <c r="B5" s="4" t="inlineStr">
        <is>
          <t>Delegado e Representação/Função são preenchidos pela equipe. Presença geral é a presença consolidada do evento.</t>
        </is>
      </c>
    </row>
    <row r="6">
      <c r="B6" s="4" t="inlineStr">
        <is>
          <t>Não insira nem exclua linhas: as demais abas referenciam estas posições fixas.</t>
        </is>
      </c>
    </row>
    <row r="9" ht="20" customHeight="1">
      <c r="A9" s="5" t="inlineStr"/>
      <c r="B9" s="5" t="inlineStr">
        <is>
          <t>Delegado</t>
        </is>
      </c>
      <c r="C9" s="5" t="inlineStr">
        <is>
          <t>Representação/Função</t>
        </is>
      </c>
      <c r="D9" s="5" t="inlineStr">
        <is>
          <t>Presença geral</t>
        </is>
      </c>
    </row>
    <row r="10">
      <c r="A10" s="6">
        <f>IF($B10="","",ROW()-9)</f>
        <v/>
      </c>
      <c r="B10" s="7" t="n"/>
      <c r="C10" s="7" t="n"/>
      <c r="D10" s="6" t="n"/>
    </row>
    <row r="11">
      <c r="A11" s="8">
        <f>IF($B11="","",ROW()-9)</f>
        <v/>
      </c>
      <c r="B11" s="9" t="n"/>
      <c r="C11" s="9" t="n"/>
      <c r="D11" s="8" t="n"/>
    </row>
    <row r="12">
      <c r="A12" s="6">
        <f>IF($B12="","",ROW()-9)</f>
        <v/>
      </c>
      <c r="B12" s="7" t="n"/>
      <c r="C12" s="7" t="n"/>
      <c r="D12" s="6" t="n"/>
    </row>
    <row r="13">
      <c r="A13" s="8">
        <f>IF($B13="","",ROW()-9)</f>
        <v/>
      </c>
      <c r="B13" s="9" t="n"/>
      <c r="C13" s="9" t="n"/>
      <c r="D13" s="8" t="n"/>
    </row>
    <row r="14">
      <c r="A14" s="6">
        <f>IF($B14="","",ROW()-9)</f>
        <v/>
      </c>
      <c r="B14" s="7" t="n"/>
      <c r="C14" s="7" t="n"/>
      <c r="D14" s="6" t="n"/>
    </row>
    <row r="15">
      <c r="A15" s="8">
        <f>IF($B15="","",ROW()-9)</f>
        <v/>
      </c>
      <c r="B15" s="9" t="n"/>
      <c r="C15" s="9" t="n"/>
      <c r="D15" s="8" t="n"/>
    </row>
    <row r="16">
      <c r="A16" s="6">
        <f>IF($B16="","",ROW()-9)</f>
        <v/>
      </c>
      <c r="B16" s="7" t="n"/>
      <c r="C16" s="7" t="n"/>
      <c r="D16" s="6" t="n"/>
    </row>
    <row r="17">
      <c r="A17" s="8">
        <f>IF($B17="","",ROW()-9)</f>
        <v/>
      </c>
      <c r="B17" s="9" t="n"/>
      <c r="C17" s="9" t="n"/>
      <c r="D17" s="8" t="n"/>
    </row>
    <row r="18">
      <c r="A18" s="6">
        <f>IF($B18="","",ROW()-9)</f>
        <v/>
      </c>
      <c r="B18" s="7" t="n"/>
      <c r="C18" s="7" t="n"/>
      <c r="D18" s="6" t="n"/>
    </row>
    <row r="19">
      <c r="A19" s="8">
        <f>IF($B19="","",ROW()-9)</f>
        <v/>
      </c>
      <c r="B19" s="9" t="n"/>
      <c r="C19" s="9" t="n"/>
      <c r="D19" s="8" t="n"/>
    </row>
    <row r="20">
      <c r="A20" s="6">
        <f>IF($B20="","",ROW()-9)</f>
        <v/>
      </c>
      <c r="B20" s="7" t="n"/>
      <c r="C20" s="7" t="n"/>
      <c r="D20" s="6" t="n"/>
    </row>
    <row r="21">
      <c r="A21" s="8">
        <f>IF($B21="","",ROW()-9)</f>
        <v/>
      </c>
      <c r="B21" s="9" t="n"/>
      <c r="C21" s="9" t="n"/>
      <c r="D21" s="8" t="n"/>
    </row>
    <row r="22">
      <c r="A22" s="6">
        <f>IF($B22="","",ROW()-9)</f>
        <v/>
      </c>
      <c r="B22" s="7" t="n"/>
      <c r="C22" s="7" t="n"/>
      <c r="D22" s="6" t="n"/>
    </row>
    <row r="23">
      <c r="A23" s="8">
        <f>IF($B23="","",ROW()-9)</f>
        <v/>
      </c>
      <c r="B23" s="9" t="n"/>
      <c r="C23" s="9" t="n"/>
      <c r="D23" s="8" t="n"/>
    </row>
    <row r="24">
      <c r="A24" s="6">
        <f>IF($B24="","",ROW()-9)</f>
        <v/>
      </c>
      <c r="B24" s="7" t="n"/>
      <c r="C24" s="7" t="n"/>
      <c r="D24" s="6" t="n"/>
    </row>
    <row r="25">
      <c r="A25" s="8">
        <f>IF($B25="","",ROW()-9)</f>
        <v/>
      </c>
      <c r="B25" s="9" t="n"/>
      <c r="C25" s="9" t="n"/>
      <c r="D25" s="8" t="n"/>
    </row>
    <row r="26">
      <c r="A26" s="6">
        <f>IF($B26="","",ROW()-9)</f>
        <v/>
      </c>
      <c r="B26" s="7" t="n"/>
      <c r="C26" s="7" t="n"/>
      <c r="D26" s="6" t="n"/>
    </row>
    <row r="27">
      <c r="A27" s="8">
        <f>IF($B27="","",ROW()-9)</f>
        <v/>
      </c>
      <c r="B27" s="9" t="n"/>
      <c r="C27" s="9" t="n"/>
      <c r="D27" s="8" t="n"/>
    </row>
    <row r="28">
      <c r="A28" s="6">
        <f>IF($B28="","",ROW()-9)</f>
        <v/>
      </c>
      <c r="B28" s="7" t="n"/>
      <c r="C28" s="7" t="n"/>
      <c r="D28" s="6" t="n"/>
    </row>
    <row r="29">
      <c r="A29" s="8">
        <f>IF($B29="","",ROW()-9)</f>
        <v/>
      </c>
      <c r="B29" s="9" t="n"/>
      <c r="C29" s="9" t="n"/>
      <c r="D29" s="8" t="n"/>
    </row>
    <row r="30">
      <c r="A30" s="6">
        <f>IF($B30="","",ROW()-9)</f>
        <v/>
      </c>
      <c r="B30" s="7" t="n"/>
      <c r="C30" s="7" t="n"/>
      <c r="D30" s="6" t="n"/>
    </row>
    <row r="31">
      <c r="A31" s="8">
        <f>IF($B31="","",ROW()-9)</f>
        <v/>
      </c>
      <c r="B31" s="9" t="n"/>
      <c r="C31" s="9" t="n"/>
      <c r="D31" s="8" t="n"/>
    </row>
    <row r="32">
      <c r="A32" s="6">
        <f>IF($B32="","",ROW()-9)</f>
        <v/>
      </c>
      <c r="B32" s="7" t="n"/>
      <c r="C32" s="7" t="n"/>
      <c r="D32" s="6" t="n"/>
    </row>
    <row r="33">
      <c r="A33" s="8">
        <f>IF($B33="","",ROW()-9)</f>
        <v/>
      </c>
      <c r="B33" s="9" t="n"/>
      <c r="C33" s="9" t="n"/>
      <c r="D33" s="8" t="n"/>
    </row>
    <row r="34">
      <c r="A34" s="6">
        <f>IF($B34="","",ROW()-9)</f>
        <v/>
      </c>
      <c r="B34" s="7" t="n"/>
      <c r="C34" s="7" t="n"/>
      <c r="D34" s="6" t="n"/>
    </row>
    <row r="35">
      <c r="A35" s="8">
        <f>IF($B35="","",ROW()-9)</f>
        <v/>
      </c>
      <c r="B35" s="9" t="n"/>
      <c r="C35" s="9" t="n"/>
      <c r="D35" s="8" t="n"/>
    </row>
    <row r="36">
      <c r="A36" s="6">
        <f>IF($B36="","",ROW()-9)</f>
        <v/>
      </c>
      <c r="B36" s="7" t="n"/>
      <c r="C36" s="7" t="n"/>
      <c r="D36" s="6" t="n"/>
    </row>
    <row r="37">
      <c r="A37" s="8">
        <f>IF($B37="","",ROW()-9)</f>
        <v/>
      </c>
      <c r="B37" s="9" t="n"/>
      <c r="C37" s="9" t="n"/>
      <c r="D37" s="8" t="n"/>
    </row>
    <row r="38">
      <c r="A38" s="6">
        <f>IF($B38="","",ROW()-9)</f>
        <v/>
      </c>
      <c r="B38" s="7" t="n"/>
      <c r="C38" s="7" t="n"/>
      <c r="D38" s="6" t="n"/>
    </row>
    <row r="39">
      <c r="A39" s="8">
        <f>IF($B39="","",ROW()-9)</f>
        <v/>
      </c>
      <c r="B39" s="9" t="n"/>
      <c r="C39" s="9" t="n"/>
      <c r="D39" s="8" t="n"/>
    </row>
    <row r="40">
      <c r="A40" s="6">
        <f>IF($B40="","",ROW()-9)</f>
        <v/>
      </c>
      <c r="B40" s="7" t="n"/>
      <c r="C40" s="7" t="n"/>
      <c r="D40" s="6" t="n"/>
    </row>
    <row r="41">
      <c r="A41" s="8">
        <f>IF($B41="","",ROW()-9)</f>
        <v/>
      </c>
      <c r="B41" s="9" t="n"/>
      <c r="C41" s="9" t="n"/>
      <c r="D41" s="8" t="n"/>
    </row>
    <row r="42">
      <c r="A42" s="6">
        <f>IF($B42="","",ROW()-9)</f>
        <v/>
      </c>
      <c r="B42" s="7" t="n"/>
      <c r="C42" s="7" t="n"/>
      <c r="D42" s="6" t="n"/>
    </row>
    <row r="43">
      <c r="A43" s="8">
        <f>IF($B43="","",ROW()-9)</f>
        <v/>
      </c>
      <c r="B43" s="9" t="n"/>
      <c r="C43" s="9" t="n"/>
      <c r="D43" s="8" t="n"/>
    </row>
    <row r="44">
      <c r="A44" s="6">
        <f>IF($B44="","",ROW()-9)</f>
        <v/>
      </c>
      <c r="B44" s="7" t="n"/>
      <c r="C44" s="7" t="n"/>
      <c r="D44" s="6" t="n"/>
    </row>
    <row r="45">
      <c r="A45" s="8">
        <f>IF($B45="","",ROW()-9)</f>
        <v/>
      </c>
      <c r="B45" s="9" t="n"/>
      <c r="C45" s="9" t="n"/>
      <c r="D45" s="8" t="n"/>
    </row>
    <row r="46">
      <c r="A46" s="6">
        <f>IF($B46="","",ROW()-9)</f>
        <v/>
      </c>
      <c r="B46" s="7" t="n"/>
      <c r="C46" s="7" t="n"/>
      <c r="D46" s="6" t="n"/>
    </row>
    <row r="47">
      <c r="A47" s="8">
        <f>IF($B47="","",ROW()-9)</f>
        <v/>
      </c>
      <c r="B47" s="9" t="n"/>
      <c r="C47" s="9" t="n"/>
      <c r="D47" s="8" t="n"/>
    </row>
    <row r="48">
      <c r="A48" s="6">
        <f>IF($B48="","",ROW()-9)</f>
        <v/>
      </c>
      <c r="B48" s="7" t="n"/>
      <c r="C48" s="7" t="n"/>
      <c r="D48" s="6" t="n"/>
    </row>
    <row r="49">
      <c r="A49" s="8">
        <f>IF($B49="","",ROW()-9)</f>
        <v/>
      </c>
      <c r="B49" s="9" t="n"/>
      <c r="C49" s="9" t="n"/>
      <c r="D49" s="8" t="n"/>
    </row>
    <row r="50">
      <c r="A50" s="6">
        <f>IF($B50="","",ROW()-9)</f>
        <v/>
      </c>
      <c r="B50" s="7" t="n"/>
      <c r="C50" s="7" t="n"/>
      <c r="D50" s="6" t="n"/>
    </row>
    <row r="51">
      <c r="A51" s="8">
        <f>IF($B51="","",ROW()-9)</f>
        <v/>
      </c>
      <c r="B51" s="9" t="n"/>
      <c r="C51" s="9" t="n"/>
      <c r="D51" s="8" t="n"/>
    </row>
    <row r="52">
      <c r="A52" s="6">
        <f>IF($B52="","",ROW()-9)</f>
        <v/>
      </c>
      <c r="B52" s="7" t="n"/>
      <c r="C52" s="7" t="n"/>
      <c r="D52" s="6" t="n"/>
    </row>
    <row r="53">
      <c r="A53" s="8">
        <f>IF($B53="","",ROW()-9)</f>
        <v/>
      </c>
      <c r="B53" s="9" t="n"/>
      <c r="C53" s="9" t="n"/>
      <c r="D53" s="8" t="n"/>
    </row>
    <row r="54">
      <c r="A54" s="6">
        <f>IF($B54="","",ROW()-9)</f>
        <v/>
      </c>
      <c r="B54" s="7" t="n"/>
      <c r="C54" s="7" t="n"/>
      <c r="D54" s="6" t="n"/>
    </row>
    <row r="55">
      <c r="A55" s="8">
        <f>IF($B55="","",ROW()-9)</f>
        <v/>
      </c>
      <c r="B55" s="9" t="n"/>
      <c r="C55" s="9" t="n"/>
      <c r="D55" s="8" t="n"/>
    </row>
    <row r="56">
      <c r="A56" s="6">
        <f>IF($B56="","",ROW()-9)</f>
        <v/>
      </c>
      <c r="B56" s="7" t="n"/>
      <c r="C56" s="7" t="n"/>
      <c r="D56" s="6" t="n"/>
    </row>
    <row r="57">
      <c r="A57" s="8">
        <f>IF($B57="","",ROW()-9)</f>
        <v/>
      </c>
      <c r="B57" s="9" t="n"/>
      <c r="C57" s="9" t="n"/>
      <c r="D57" s="8" t="n"/>
    </row>
    <row r="58">
      <c r="A58" s="6">
        <f>IF($B58="","",ROW()-9)</f>
        <v/>
      </c>
      <c r="B58" s="7" t="n"/>
      <c r="C58" s="7" t="n"/>
      <c r="D58" s="6" t="n"/>
    </row>
    <row r="59">
      <c r="A59" s="8">
        <f>IF($B59="","",ROW()-9)</f>
        <v/>
      </c>
      <c r="B59" s="9" t="n"/>
      <c r="C59" s="9" t="n"/>
      <c r="D59" s="8" t="n"/>
    </row>
    <row r="60">
      <c r="A60" s="6">
        <f>IF($B60="","",ROW()-9)</f>
        <v/>
      </c>
      <c r="B60" s="7" t="n"/>
      <c r="C60" s="7" t="n"/>
      <c r="D60" s="6" t="n"/>
    </row>
    <row r="61">
      <c r="A61" s="8">
        <f>IF($B61="","",ROW()-9)</f>
        <v/>
      </c>
      <c r="B61" s="9" t="n"/>
      <c r="C61" s="9" t="n"/>
      <c r="D61" s="8" t="n"/>
    </row>
    <row r="62">
      <c r="A62" s="6">
        <f>IF($B62="","",ROW()-9)</f>
        <v/>
      </c>
      <c r="B62" s="7" t="n"/>
      <c r="C62" s="7" t="n"/>
      <c r="D62" s="6" t="n"/>
    </row>
    <row r="63">
      <c r="A63" s="8">
        <f>IF($B63="","",ROW()-9)</f>
        <v/>
      </c>
      <c r="B63" s="9" t="n"/>
      <c r="C63" s="9" t="n"/>
      <c r="D63" s="8" t="n"/>
    </row>
    <row r="64">
      <c r="A64" s="6">
        <f>IF($B64="","",ROW()-9)</f>
        <v/>
      </c>
      <c r="B64" s="7" t="n"/>
      <c r="C64" s="7" t="n"/>
      <c r="D64" s="6" t="n"/>
    </row>
    <row r="65">
      <c r="A65" s="8">
        <f>IF($B65="","",ROW()-9)</f>
        <v/>
      </c>
      <c r="B65" s="9" t="n"/>
      <c r="C65" s="9" t="n"/>
      <c r="D65" s="8" t="n"/>
    </row>
    <row r="66">
      <c r="A66" s="6">
        <f>IF($B66="","",ROW()-9)</f>
        <v/>
      </c>
      <c r="B66" s="7" t="n"/>
      <c r="C66" s="7" t="n"/>
      <c r="D66" s="6" t="n"/>
    </row>
    <row r="67">
      <c r="A67" s="8">
        <f>IF($B67="","",ROW()-9)</f>
        <v/>
      </c>
      <c r="B67" s="9" t="n"/>
      <c r="C67" s="9" t="n"/>
      <c r="D67" s="8" t="n"/>
    </row>
    <row r="68">
      <c r="A68" s="6">
        <f>IF($B68="","",ROW()-9)</f>
        <v/>
      </c>
      <c r="B68" s="7" t="n"/>
      <c r="C68" s="7" t="n"/>
      <c r="D68" s="6" t="n"/>
    </row>
    <row r="69">
      <c r="A69" s="8">
        <f>IF($B69="","",ROW()-9)</f>
        <v/>
      </c>
      <c r="B69" s="9" t="n"/>
      <c r="C69" s="9" t="n"/>
      <c r="D69" s="8" t="n"/>
    </row>
    <row r="70">
      <c r="A70" s="6">
        <f>IF($B70="","",ROW()-9)</f>
        <v/>
      </c>
      <c r="B70" s="7" t="n"/>
      <c r="C70" s="7" t="n"/>
      <c r="D70" s="6" t="n"/>
    </row>
    <row r="71">
      <c r="A71" s="8">
        <f>IF($B71="","",ROW()-9)</f>
        <v/>
      </c>
      <c r="B71" s="9" t="n"/>
      <c r="C71" s="9" t="n"/>
      <c r="D71" s="8" t="n"/>
    </row>
    <row r="72">
      <c r="A72" s="6">
        <f>IF($B72="","",ROW()-9)</f>
        <v/>
      </c>
      <c r="B72" s="7" t="n"/>
      <c r="C72" s="7" t="n"/>
      <c r="D72" s="6" t="n"/>
    </row>
    <row r="73">
      <c r="A73" s="8">
        <f>IF($B73="","",ROW()-9)</f>
        <v/>
      </c>
      <c r="B73" s="9" t="n"/>
      <c r="C73" s="9" t="n"/>
      <c r="D73" s="8" t="n"/>
    </row>
    <row r="74">
      <c r="A74" s="6">
        <f>IF($B74="","",ROW()-9)</f>
        <v/>
      </c>
      <c r="B74" s="7" t="n"/>
      <c r="C74" s="7" t="n"/>
      <c r="D74" s="6" t="n"/>
    </row>
    <row r="75">
      <c r="A75" s="8">
        <f>IF($B75="","",ROW()-9)</f>
        <v/>
      </c>
      <c r="B75" s="9" t="n"/>
      <c r="C75" s="9" t="n"/>
      <c r="D75" s="8" t="n"/>
    </row>
    <row r="76">
      <c r="A76" s="6">
        <f>IF($B76="","",ROW()-9)</f>
        <v/>
      </c>
      <c r="B76" s="7" t="n"/>
      <c r="C76" s="7" t="n"/>
      <c r="D76" s="6" t="n"/>
    </row>
    <row r="77">
      <c r="A77" s="8">
        <f>IF($B77="","",ROW()-9)</f>
        <v/>
      </c>
      <c r="B77" s="9" t="n"/>
      <c r="C77" s="9" t="n"/>
      <c r="D77" s="8" t="n"/>
    </row>
    <row r="78">
      <c r="A78" s="6">
        <f>IF($B78="","",ROW()-9)</f>
        <v/>
      </c>
      <c r="B78" s="7" t="n"/>
      <c r="C78" s="7" t="n"/>
      <c r="D78" s="6" t="n"/>
    </row>
    <row r="79">
      <c r="A79" s="8">
        <f>IF($B79="","",ROW()-9)</f>
        <v/>
      </c>
      <c r="B79" s="9" t="n"/>
      <c r="C79" s="9" t="n"/>
      <c r="D79" s="8" t="n"/>
    </row>
    <row r="80">
      <c r="A80" s="6">
        <f>IF($B80="","",ROW()-9)</f>
        <v/>
      </c>
      <c r="B80" s="7" t="n"/>
      <c r="C80" s="7" t="n"/>
      <c r="D80" s="6" t="n"/>
    </row>
    <row r="81">
      <c r="A81" s="8">
        <f>IF($B81="","",ROW()-9)</f>
        <v/>
      </c>
      <c r="B81" s="9" t="n"/>
      <c r="C81" s="9" t="n"/>
      <c r="D81" s="8" t="n"/>
    </row>
    <row r="82">
      <c r="A82" s="6">
        <f>IF($B82="","",ROW()-9)</f>
        <v/>
      </c>
      <c r="B82" s="7" t="n"/>
      <c r="C82" s="7" t="n"/>
      <c r="D82" s="6" t="n"/>
    </row>
    <row r="83">
      <c r="A83" s="8">
        <f>IF($B83="","",ROW()-9)</f>
        <v/>
      </c>
      <c r="B83" s="9" t="n"/>
      <c r="C83" s="9" t="n"/>
      <c r="D83" s="8" t="n"/>
    </row>
    <row r="84">
      <c r="A84" s="6">
        <f>IF($B84="","",ROW()-9)</f>
        <v/>
      </c>
      <c r="B84" s="7" t="n"/>
      <c r="C84" s="7" t="n"/>
      <c r="D84" s="6" t="n"/>
    </row>
    <row r="85">
      <c r="A85" s="8">
        <f>IF($B85="","",ROW()-9)</f>
        <v/>
      </c>
      <c r="B85" s="9" t="n"/>
      <c r="C85" s="9" t="n"/>
      <c r="D85" s="8" t="n"/>
    </row>
    <row r="86">
      <c r="A86" s="6">
        <f>IF($B86="","",ROW()-9)</f>
        <v/>
      </c>
      <c r="B86" s="7" t="n"/>
      <c r="C86" s="7" t="n"/>
      <c r="D86" s="6" t="n"/>
    </row>
    <row r="87">
      <c r="A87" s="8">
        <f>IF($B87="","",ROW()-9)</f>
        <v/>
      </c>
      <c r="B87" s="9" t="n"/>
      <c r="C87" s="9" t="n"/>
      <c r="D87" s="8" t="n"/>
    </row>
    <row r="88">
      <c r="A88" s="6">
        <f>IF($B88="","",ROW()-9)</f>
        <v/>
      </c>
      <c r="B88" s="7" t="n"/>
      <c r="C88" s="7" t="n"/>
      <c r="D88" s="6" t="n"/>
    </row>
    <row r="89">
      <c r="A89" s="8">
        <f>IF($B89="","",ROW()-9)</f>
        <v/>
      </c>
      <c r="B89" s="9" t="n"/>
      <c r="C89" s="9" t="n"/>
      <c r="D89" s="8" t="n"/>
    </row>
    <row r="90">
      <c r="A90" s="6">
        <f>IF($B90="","",ROW()-9)</f>
        <v/>
      </c>
      <c r="B90" s="7" t="n"/>
      <c r="C90" s="7" t="n"/>
      <c r="D90" s="6" t="n"/>
    </row>
    <row r="91">
      <c r="A91" s="8">
        <f>IF($B91="","",ROW()-9)</f>
        <v/>
      </c>
      <c r="B91" s="9" t="n"/>
      <c r="C91" s="9" t="n"/>
      <c r="D91" s="8" t="n"/>
    </row>
    <row r="92">
      <c r="A92" s="6">
        <f>IF($B92="","",ROW()-9)</f>
        <v/>
      </c>
      <c r="B92" s="7" t="n"/>
      <c r="C92" s="7" t="n"/>
      <c r="D92" s="6" t="n"/>
    </row>
    <row r="93">
      <c r="A93" s="8">
        <f>IF($B93="","",ROW()-9)</f>
        <v/>
      </c>
      <c r="B93" s="9" t="n"/>
      <c r="C93" s="9" t="n"/>
      <c r="D93" s="8" t="n"/>
    </row>
    <row r="94">
      <c r="A94" s="6">
        <f>IF($B94="","",ROW()-9)</f>
        <v/>
      </c>
      <c r="B94" s="7" t="n"/>
      <c r="C94" s="7" t="n"/>
      <c r="D94" s="6" t="n"/>
    </row>
    <row r="95">
      <c r="A95" s="8">
        <f>IF($B95="","",ROW()-9)</f>
        <v/>
      </c>
      <c r="B95" s="9" t="n"/>
      <c r="C95" s="9" t="n"/>
      <c r="D95" s="8" t="n"/>
    </row>
    <row r="96">
      <c r="A96" s="6">
        <f>IF($B96="","",ROW()-9)</f>
        <v/>
      </c>
      <c r="B96" s="7" t="n"/>
      <c r="C96" s="7" t="n"/>
      <c r="D96" s="6" t="n"/>
    </row>
    <row r="97">
      <c r="A97" s="8">
        <f>IF($B97="","",ROW()-9)</f>
        <v/>
      </c>
      <c r="B97" s="9" t="n"/>
      <c r="C97" s="9" t="n"/>
      <c r="D97" s="8" t="n"/>
    </row>
    <row r="98">
      <c r="A98" s="6">
        <f>IF($B98="","",ROW()-9)</f>
        <v/>
      </c>
      <c r="B98" s="7" t="n"/>
      <c r="C98" s="7" t="n"/>
      <c r="D98" s="6" t="n"/>
    </row>
    <row r="99">
      <c r="A99" s="8">
        <f>IF($B99="","",ROW()-9)</f>
        <v/>
      </c>
      <c r="B99" s="9" t="n"/>
      <c r="C99" s="9" t="n"/>
      <c r="D99" s="8" t="n"/>
    </row>
    <row r="100">
      <c r="A100" s="6">
        <f>IF($B100="","",ROW()-9)</f>
        <v/>
      </c>
      <c r="B100" s="7" t="n"/>
      <c r="C100" s="7" t="n"/>
      <c r="D100" s="6" t="n"/>
    </row>
    <row r="101">
      <c r="A101" s="8">
        <f>IF($B101="","",ROW()-9)</f>
        <v/>
      </c>
      <c r="B101" s="9" t="n"/>
      <c r="C101" s="9" t="n"/>
      <c r="D101" s="8" t="n"/>
    </row>
    <row r="102">
      <c r="A102" s="6">
        <f>IF($B102="","",ROW()-9)</f>
        <v/>
      </c>
      <c r="B102" s="7" t="n"/>
      <c r="C102" s="7" t="n"/>
      <c r="D102" s="6" t="n"/>
    </row>
    <row r="103">
      <c r="A103" s="8">
        <f>IF($B103="","",ROW()-9)</f>
        <v/>
      </c>
      <c r="B103" s="9" t="n"/>
      <c r="C103" s="9" t="n"/>
      <c r="D103" s="8" t="n"/>
    </row>
    <row r="104">
      <c r="A104" s="6">
        <f>IF($B104="","",ROW()-9)</f>
        <v/>
      </c>
      <c r="B104" s="7" t="n"/>
      <c r="C104" s="7" t="n"/>
      <c r="D104" s="6" t="n"/>
    </row>
    <row r="105">
      <c r="A105" s="8">
        <f>IF($B105="","",ROW()-9)</f>
        <v/>
      </c>
      <c r="B105" s="9" t="n"/>
      <c r="C105" s="9" t="n"/>
      <c r="D105" s="8" t="n"/>
    </row>
    <row r="106">
      <c r="A106" s="6">
        <f>IF($B106="","",ROW()-9)</f>
        <v/>
      </c>
      <c r="B106" s="7" t="n"/>
      <c r="C106" s="7" t="n"/>
      <c r="D106" s="6" t="n"/>
    </row>
    <row r="107">
      <c r="A107" s="8">
        <f>IF($B107="","",ROW()-9)</f>
        <v/>
      </c>
      <c r="B107" s="9" t="n"/>
      <c r="C107" s="9" t="n"/>
      <c r="D107" s="8" t="n"/>
    </row>
    <row r="108">
      <c r="A108" s="6">
        <f>IF($B108="","",ROW()-9)</f>
        <v/>
      </c>
      <c r="B108" s="7" t="n"/>
      <c r="C108" s="7" t="n"/>
      <c r="D108" s="6" t="n"/>
    </row>
    <row r="109">
      <c r="A109" s="8">
        <f>IF($B109="","",ROW()-9)</f>
        <v/>
      </c>
      <c r="B109" s="9" t="n"/>
      <c r="C109" s="9" t="n"/>
      <c r="D109" s="8" t="n"/>
    </row>
  </sheetData>
  <autoFilter ref="A9:D109"/>
  <mergeCells count="2">
    <mergeCell ref="A1:D1"/>
    <mergeCell ref="A2:D2"/>
  </mergeCells>
  <conditionalFormatting sqref="A10:D109">
    <cfRule type="expression" priority="1" dxfId="0">
      <formula>$D10="Falta"</formula>
    </cfRule>
  </conditionalFormatting>
  <dataValidations count="1">
    <dataValidation sqref="D10:D109" showDropDown="0" showInputMessage="0" showErrorMessage="1" allowBlank="1" error="Use apenas Presente ou Falta." type="list">
      <formula1>"Presente,Falta"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0124D"/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Controle Avaliação</t>
        </is>
      </c>
      <c r="B1" s="2" t="n"/>
      <c r="C1" s="2" t="n"/>
      <c r="D1" s="2" t="n"/>
      <c r="E1" s="2" t="n"/>
    </row>
    <row r="2" ht="22" customHeight="1">
      <c r="A2" s="3" t="inlineStr">
        <is>
          <t>Rubrica — referência operacional</t>
        </is>
      </c>
      <c r="B2" s="2" t="n"/>
      <c r="C2" s="2" t="n"/>
      <c r="D2" s="2" t="n"/>
      <c r="E2" s="2" t="n"/>
    </row>
    <row r="4" ht="22" customHeight="1">
      <c r="B4" s="10" t="inlineStr">
        <is>
          <t>1. Eixos e notas base</t>
        </is>
      </c>
      <c r="C4" s="11" t="n"/>
      <c r="D4" s="11" t="n"/>
      <c r="E4" s="11" t="n"/>
    </row>
    <row r="5">
      <c r="B5" s="12" t="inlineStr">
        <is>
          <t>Eixo</t>
        </is>
      </c>
      <c r="C5" s="12" t="inlineStr">
        <is>
          <t>O que mede</t>
        </is>
      </c>
      <c r="D5" s="12" t="inlineStr">
        <is>
          <t>Nota base</t>
        </is>
      </c>
      <c r="E5" s="12" t="inlineStr">
        <is>
          <t>Pergunta avaliativa central</t>
        </is>
      </c>
    </row>
    <row r="6">
      <c r="B6" s="13" t="inlineStr">
        <is>
          <t>Diplomacia e Respeito às Regras</t>
        </is>
      </c>
      <c r="C6" s="13" t="inlineStr">
        <is>
          <t>Postura, decoro, domínio procedimental, relação com a presidência</t>
        </is>
      </c>
      <c r="D6" s="13" t="n">
        <v>8</v>
      </c>
      <c r="E6" s="13" t="inlineStr">
        <is>
          <t>Atuou com postura adequada e respeito ao procedimento?</t>
        </is>
      </c>
    </row>
    <row r="7">
      <c r="B7" s="14" t="inlineStr">
        <is>
          <t>Fidelidade à Função Designada</t>
        </is>
      </c>
      <c r="C7" s="14" t="inlineStr">
        <is>
          <t>Coerência com o papel atribuído (política externa para delegações; condução neutra para presidência)</t>
        </is>
      </c>
      <c r="D7" s="14" t="n">
        <v>8</v>
      </c>
      <c r="E7" s="14" t="inlineStr">
        <is>
          <t>Foi coerente com o papel que recebeu?</t>
        </is>
      </c>
    </row>
    <row r="8">
      <c r="B8" s="13" t="inlineStr">
        <is>
          <t>Contribuição</t>
        </is>
      </c>
      <c r="C8" s="13" t="inlineStr">
        <is>
          <t>Impacto e avanço material: proposta, cláusula, documento, acordo, destravamento, organização de solução, materialização</t>
        </is>
      </c>
      <c r="D8" s="13" t="n">
        <v>5</v>
      </c>
      <c r="E8" s="13" t="inlineStr">
        <is>
          <t>Fez o comitê avançar concretamente?</t>
        </is>
      </c>
    </row>
    <row r="9">
      <c r="B9" s="14" t="inlineStr">
        <is>
          <t>Participação</t>
        </is>
      </c>
      <c r="C9" s="14" t="inlineStr">
        <is>
          <t>Presença ativa, regularidade e volume de engajamento nas sessões</t>
        </is>
      </c>
      <c r="D9" s="14" t="n">
        <v>5</v>
      </c>
      <c r="E9" s="14" t="inlineStr">
        <is>
          <t>Esteve presente e ativo nas sessões?</t>
        </is>
      </c>
    </row>
    <row r="10">
      <c r="B10" s="15" t="inlineStr">
        <is>
          <t>Base 8 (Diplomacia, Fidelidade): presunção de adequação — a nota se move para cima ou para baixo apenas mediante gatilho registrado.</t>
        </is>
      </c>
    </row>
    <row r="11">
      <c r="B11" s="15" t="inlineStr">
        <is>
          <t>Base 5 (Contribuição, Participação): nada é presumido — a nota só sobe mediante atuação demonstrada e registrada.</t>
        </is>
      </c>
    </row>
    <row r="12">
      <c r="B12" s="16" t="inlineStr">
        <is>
          <t>Participação alta não compensa Contribuição baixa. Os dois eixos são registrados de forma independente.</t>
        </is>
      </c>
    </row>
    <row r="14" ht="22" customHeight="1">
      <c r="B14" s="10" t="inlineStr">
        <is>
          <t>2. Gatilhos pontuáveis (campo Gatilho)</t>
        </is>
      </c>
      <c r="C14" s="11" t="n"/>
      <c r="D14" s="11" t="n"/>
      <c r="E14" s="11" t="n"/>
    </row>
    <row r="15">
      <c r="B15" s="16" t="inlineStr">
        <is>
          <t>Neste Controle Avaliação, o campo Gatilho usa tokens pontuáveis: cada token soma ou subtrai pontos diretamente na nota do eixo.</t>
        </is>
      </c>
    </row>
    <row r="16">
      <c r="B16" s="15" t="inlineStr">
        <is>
          <t>Os tokens não são os IDs fixos do catálogo da Matriz de Avaliação — ver specs/ERRATA_GATILHOS_PONTUAVEIS.md (decisão registrada do projeto).</t>
        </is>
      </c>
    </row>
    <row r="17">
      <c r="B17" s="15" t="inlineStr">
        <is>
          <t>Formato: D+X / D-Y, F+X / F-Y, C+X / C-Y, P+X / P-Y, com X e Y inteiros. Validação recomendada: valores de -8 até +5.</t>
        </is>
      </c>
    </row>
    <row r="18">
      <c r="B18" s="15" t="inlineStr">
        <is>
          <t>Vários tokens no mesmo campo, separados por ponto e vírgula (até 8 tokens por campo). Exemplo: C+2; C-1</t>
        </is>
      </c>
    </row>
    <row r="19">
      <c r="B19" s="15" t="inlineStr">
        <is>
          <t>Nota Preliminar = nota base do eixo + soma dos tokens, sempre limitada entre 0 e 10.</t>
        </is>
      </c>
    </row>
    <row r="20">
      <c r="B20" s="15" t="inlineStr">
        <is>
          <t>Tokens de outro eixo ou texto inválido são ignorados pela fórmula. Presença na sessão = Falta gera nota "-".</t>
        </is>
      </c>
    </row>
    <row r="21">
      <c r="B21" s="16" t="inlineStr">
        <is>
          <t>Cada token exige Evidência correspondente no mesmo eixo e na mesma sessão. A fórmula organiza a pontuação; ela não substitui a análise nem a revisão acadêmica.</t>
        </is>
      </c>
    </row>
    <row r="22">
      <c r="B22" s="12" t="inlineStr">
        <is>
          <t>Exemplo de Gatilho</t>
        </is>
      </c>
      <c r="C22" s="12" t="inlineStr">
        <is>
          <t>Eixo</t>
        </is>
      </c>
      <c r="D22" s="12" t="inlineStr">
        <is>
          <t>Cálculo</t>
        </is>
      </c>
      <c r="E22" s="12" t="inlineStr">
        <is>
          <t>Nota Preliminar</t>
        </is>
      </c>
    </row>
    <row r="23">
      <c r="B23" s="13" t="inlineStr">
        <is>
          <t>C+2</t>
        </is>
      </c>
      <c r="C23" s="13" t="inlineStr">
        <is>
          <t>Contribuição</t>
        </is>
      </c>
      <c r="D23" s="13" t="inlineStr">
        <is>
          <t>5 + 2</t>
        </is>
      </c>
      <c r="E23" s="13" t="n">
        <v>7</v>
      </c>
    </row>
    <row r="24">
      <c r="B24" s="14" t="inlineStr">
        <is>
          <t>C+2; C-1</t>
        </is>
      </c>
      <c r="C24" s="14" t="inlineStr">
        <is>
          <t>Contribuição</t>
        </is>
      </c>
      <c r="D24" s="14" t="inlineStr">
        <is>
          <t>5 + 2 - 1</t>
        </is>
      </c>
      <c r="E24" s="14" t="n">
        <v>6</v>
      </c>
    </row>
    <row r="25">
      <c r="B25" s="13" t="inlineStr">
        <is>
          <t>D+1; D-2</t>
        </is>
      </c>
      <c r="C25" s="13" t="inlineStr">
        <is>
          <t>Diplomacia e Respeito às Regras</t>
        </is>
      </c>
      <c r="D25" s="13" t="inlineStr">
        <is>
          <t>8 + 1 - 2</t>
        </is>
      </c>
      <c r="E25" s="13" t="n">
        <v>7</v>
      </c>
    </row>
    <row r="26">
      <c r="B26" s="14" t="inlineStr">
        <is>
          <t>F+2; F-1</t>
        </is>
      </c>
      <c r="C26" s="14" t="inlineStr">
        <is>
          <t>Fidelidade à Função Designada</t>
        </is>
      </c>
      <c r="D26" s="14" t="inlineStr">
        <is>
          <t>8 + 2 - 1</t>
        </is>
      </c>
      <c r="E26" s="14" t="n">
        <v>9</v>
      </c>
    </row>
    <row r="27">
      <c r="B27" s="13" t="inlineStr">
        <is>
          <t>P-2</t>
        </is>
      </c>
      <c r="C27" s="13" t="inlineStr">
        <is>
          <t>Participação</t>
        </is>
      </c>
      <c r="D27" s="13" t="inlineStr">
        <is>
          <t>5 - 2</t>
        </is>
      </c>
      <c r="E27" s="13" t="n">
        <v>3</v>
      </c>
    </row>
    <row r="29" ht="22" customHeight="1">
      <c r="B29" s="10" t="inlineStr">
        <is>
          <t>3. Escala de interpretação (0 a 10)</t>
        </is>
      </c>
      <c r="C29" s="11" t="n"/>
      <c r="D29" s="11" t="n"/>
      <c r="E29" s="11" t="n"/>
    </row>
    <row r="30">
      <c r="B30" s="12" t="inlineStr">
        <is>
          <t>Nota</t>
        </is>
      </c>
      <c r="C30" s="12" t="inlineStr">
        <is>
          <t>Interpretação</t>
        </is>
      </c>
      <c r="D30" s="12" t="inlineStr"/>
      <c r="E30" s="12" t="inlineStr"/>
    </row>
    <row r="31">
      <c r="B31" s="13" t="n">
        <v>10</v>
      </c>
      <c r="C31" s="13" t="inlineStr">
        <is>
          <t>Desempenho excepcional: evidência clara, impacto decisivo, aderência plena ao eixo</t>
        </is>
      </c>
      <c r="D31" s="13" t="inlineStr"/>
      <c r="E31" s="13" t="inlineStr"/>
    </row>
    <row r="32">
      <c r="B32" s="14" t="n">
        <v>9</v>
      </c>
      <c r="C32" s="14" t="inlineStr">
        <is>
          <t>Desempenho destacado: evidência concreta, impacto relevante</t>
        </is>
      </c>
      <c r="D32" s="14" t="inlineStr"/>
      <c r="E32" s="14" t="inlineStr"/>
    </row>
    <row r="33">
      <c r="B33" s="13" t="n">
        <v>8</v>
      </c>
      <c r="C33" s="13" t="inlineStr">
        <is>
          <t>Desempenho adequado ou bom, compatível com o esperado</t>
        </is>
      </c>
      <c r="D33" s="13" t="inlineStr"/>
      <c r="E33" s="13" t="inlineStr"/>
    </row>
    <row r="34">
      <c r="B34" s="14" t="n">
        <v>7</v>
      </c>
      <c r="C34" s="14" t="inlineStr">
        <is>
          <t>Desempenho aceitável, com pequenos limites ou irregularidades</t>
        </is>
      </c>
      <c r="D34" s="14" t="inlineStr"/>
      <c r="E34" s="14" t="inlineStr"/>
    </row>
    <row r="35">
      <c r="B35" s="13" t="n">
        <v>6</v>
      </c>
      <c r="C35" s="13" t="inlineStr">
        <is>
          <t>Desempenho limitado, irregular ou pouco consistente</t>
        </is>
      </c>
      <c r="D35" s="13" t="inlineStr"/>
      <c r="E35" s="13" t="inlineStr"/>
    </row>
    <row r="36">
      <c r="B36" s="14" t="n">
        <v>5</v>
      </c>
      <c r="C36" s="14" t="inlineStr">
        <is>
          <t>Desempenho mediano, mínimo ou insuficientemente demonstrado</t>
        </is>
      </c>
      <c r="D36" s="14" t="inlineStr"/>
      <c r="E36" s="14" t="inlineStr"/>
    </row>
    <row r="37">
      <c r="B37" s="13" t="n">
        <v>4</v>
      </c>
      <c r="C37" s="13" t="inlineStr">
        <is>
          <t>Problema relevante ou baixa atuação no eixo</t>
        </is>
      </c>
      <c r="D37" s="13" t="inlineStr"/>
      <c r="E37" s="13" t="inlineStr"/>
    </row>
    <row r="38">
      <c r="B38" s="14" t="n">
        <v>3</v>
      </c>
      <c r="C38" s="14" t="inlineStr">
        <is>
          <t>Problema grave, repetido ou impacto negativo claro</t>
        </is>
      </c>
      <c r="D38" s="14" t="inlineStr"/>
      <c r="E38" s="14" t="inlineStr"/>
    </row>
    <row r="39">
      <c r="B39" s="13" t="n">
        <v>2</v>
      </c>
      <c r="C39" s="13" t="inlineStr">
        <is>
          <t>Atuação muito insuficiente ou fortemente incompatível com o eixo</t>
        </is>
      </c>
      <c r="D39" s="13" t="inlineStr"/>
      <c r="E39" s="13" t="inlineStr"/>
    </row>
    <row r="40">
      <c r="B40" s="14" t="n">
        <v>1</v>
      </c>
      <c r="C40" s="14" t="inlineStr">
        <is>
          <t>Atuação quase inexistente ou conduta extremamente prejudicial</t>
        </is>
      </c>
      <c r="D40" s="14" t="inlineStr"/>
      <c r="E40" s="14" t="inlineStr"/>
    </row>
    <row r="41">
      <c r="B41" s="13" t="n">
        <v>0</v>
      </c>
      <c r="C41" s="13" t="inlineStr">
        <is>
          <t>Ausência total de atuação avaliável ou conduta incompatível com avaliação no eixo</t>
        </is>
      </c>
      <c r="D41" s="13" t="inlineStr"/>
      <c r="E41" s="13" t="inlineStr"/>
    </row>
    <row r="42">
      <c r="B42" s="15" t="inlineStr">
        <is>
          <t>A mesma nota tem significado diferente conforme a base do eixo: 5 em Contribuição é atuação mediana; 5 em Diplomacia é queda de 3 pontos abaixo da base.</t>
        </is>
      </c>
    </row>
    <row r="44" ht="22" customHeight="1">
      <c r="B44" s="10" t="inlineStr">
        <is>
          <t>4. Travas de registro</t>
        </is>
      </c>
      <c r="C44" s="11" t="n"/>
      <c r="D44" s="11" t="n"/>
      <c r="E44" s="11" t="n"/>
    </row>
    <row r="45">
      <c r="B45" s="15" t="inlineStr">
        <is>
          <t>Nota 9 ou 10 exige evidência escrita com fato concreto, impacto claro e relação direta com o eixo.</t>
        </is>
      </c>
    </row>
    <row r="46">
      <c r="B46" s="15" t="inlineStr">
        <is>
          <t>Nota abaixo da base do eixo exige evidência escrita.</t>
        </is>
      </c>
    </row>
    <row r="47">
      <c r="B47" s="16" t="inlineStr">
        <is>
          <t>Participação não compensa Contribuição: volume de fala sem avanço material não eleva Contribuição.</t>
        </is>
      </c>
    </row>
    <row r="48">
      <c r="B48" s="15" t="inlineStr">
        <is>
          <t>Registro apenas observacional: preencher Evidência e Triagem, sem token no Gatilho (delta zero).</t>
        </is>
      </c>
    </row>
    <row r="49">
      <c r="B49" s="15" t="inlineStr">
        <is>
          <t>A consolidação final e a premiação passam por revisão acadêmica. A Nota Preliminar não é nota final.</t>
        </is>
      </c>
    </row>
    <row r="50">
      <c r="B50" s="15" t="inlineStr">
        <is>
          <t>Status do registro (Registro por Sessão): Pendente, Em andamento, Concluído, Revisado — controle operacional da equipe.</t>
        </is>
      </c>
    </row>
    <row r="52" ht="22" customHeight="1">
      <c r="B52" s="10" t="inlineStr">
        <is>
          <t>5. Triagem — opções por eixo (menu suspenso)</t>
        </is>
      </c>
      <c r="C52" s="11" t="n"/>
      <c r="D52" s="11" t="n"/>
      <c r="E52" s="11" t="n"/>
    </row>
    <row r="53">
      <c r="B53" s="16" t="inlineStr">
        <is>
          <t>A Triagem classifica rapidamente o tipo de evidência para leitura acadêmica posterior. Ela não calcula nota: a pontuação vem apenas do campo Gatilho.</t>
        </is>
      </c>
    </row>
    <row r="54">
      <c r="B54" s="12" t="inlineStr">
        <is>
          <t>Eixo</t>
        </is>
      </c>
      <c r="C54" s="12" t="inlineStr">
        <is>
          <t>Opção de Triagem</t>
        </is>
      </c>
      <c r="D54" s="12" t="inlineStr"/>
      <c r="E54" s="12" t="inlineStr"/>
    </row>
    <row r="55">
      <c r="B55" s="17" t="inlineStr">
        <is>
          <t>Diplomacia e Respeito às Regras</t>
        </is>
      </c>
      <c r="C55" s="13" t="inlineStr">
        <is>
          <t>Procedimento adequado</t>
        </is>
      </c>
      <c r="D55" s="18" t="n"/>
      <c r="E55" s="18" t="n"/>
    </row>
    <row r="56">
      <c r="B56" s="19" t="n"/>
      <c r="C56" s="14" t="inlineStr">
        <is>
          <t>Uso correto de moção/questão de ordem</t>
        </is>
      </c>
      <c r="D56" s="18" t="n"/>
      <c r="E56" s="18" t="n"/>
    </row>
    <row r="57">
      <c r="B57" s="19" t="n"/>
      <c r="C57" s="13" t="inlineStr">
        <is>
          <t>Postura respeitosa em conflito</t>
        </is>
      </c>
      <c r="D57" s="18" t="n"/>
      <c r="E57" s="18" t="n"/>
    </row>
    <row r="58">
      <c r="B58" s="19" t="n"/>
      <c r="C58" s="14" t="inlineStr">
        <is>
          <t>Erro procedimental isolado</t>
        </is>
      </c>
      <c r="D58" s="18" t="n"/>
      <c r="E58" s="18" t="n"/>
    </row>
    <row r="59">
      <c r="B59" s="19" t="n"/>
      <c r="C59" s="13" t="inlineStr">
        <is>
          <t>Erro procedimental repetido</t>
        </is>
      </c>
      <c r="D59" s="18" t="n"/>
      <c r="E59" s="18" t="n"/>
    </row>
    <row r="60">
      <c r="B60" s="19" t="n"/>
      <c r="C60" s="14" t="inlineStr">
        <is>
          <t>Interrupção/fala fora de ordem</t>
        </is>
      </c>
      <c r="D60" s="18" t="n"/>
      <c r="E60" s="18" t="n"/>
    </row>
    <row r="61">
      <c r="B61" s="19" t="n"/>
      <c r="C61" s="13" t="inlineStr">
        <is>
          <t>Conflito improdutivo</t>
        </is>
      </c>
      <c r="D61" s="18" t="n"/>
      <c r="E61" s="18" t="n"/>
    </row>
    <row r="62">
      <c r="B62" s="20" t="n"/>
      <c r="C62" s="14" t="inlineStr">
        <is>
          <t>Conduta excludente/dominadora</t>
        </is>
      </c>
      <c r="D62" s="18" t="n"/>
      <c r="E62" s="18" t="n"/>
    </row>
    <row r="63">
      <c r="B63" s="17" t="inlineStr">
        <is>
          <t>Fidelidade à Função Designada</t>
        </is>
      </c>
      <c r="C63" s="13" t="inlineStr">
        <is>
          <t>Coerente com a função</t>
        </is>
      </c>
      <c r="D63" s="18" t="n"/>
      <c r="E63" s="18" t="n"/>
    </row>
    <row r="64">
      <c r="B64" s="19" t="n"/>
      <c r="C64" s="14" t="inlineStr">
        <is>
          <t>Coerência entre fala e documento</t>
        </is>
      </c>
      <c r="D64" s="18" t="n"/>
      <c r="E64" s="18" t="n"/>
    </row>
    <row r="65">
      <c r="B65" s="19" t="n"/>
      <c r="C65" s="13" t="inlineStr">
        <is>
          <t>Argumento compatível com interesses</t>
        </is>
      </c>
      <c r="D65" s="18" t="n"/>
      <c r="E65" s="18" t="n"/>
    </row>
    <row r="66">
      <c r="B66" s="19" t="n"/>
      <c r="C66" s="14" t="inlineStr">
        <is>
          <t>Concessão justificada</t>
        </is>
      </c>
      <c r="D66" s="18" t="n"/>
      <c r="E66" s="18" t="n"/>
    </row>
    <row r="67">
      <c r="B67" s="19" t="n"/>
      <c r="C67" s="13" t="inlineStr">
        <is>
          <t>Atuação genérica</t>
        </is>
      </c>
      <c r="D67" s="18" t="n"/>
      <c r="E67" s="18" t="n"/>
    </row>
    <row r="68">
      <c r="B68" s="19" t="n"/>
      <c r="C68" s="14" t="inlineStr">
        <is>
          <t>Proposta incompatível com função</t>
        </is>
      </c>
      <c r="D68" s="18" t="n"/>
      <c r="E68" s="18" t="n"/>
    </row>
    <row r="69">
      <c r="B69" s="19" t="n"/>
      <c r="C69" s="13" t="inlineStr">
        <is>
          <t>Mudança oportunista sem justificativa</t>
        </is>
      </c>
      <c r="D69" s="18" t="n"/>
      <c r="E69" s="18" t="n"/>
    </row>
    <row r="70">
      <c r="B70" s="20" t="n"/>
      <c r="C70" s="14" t="inlineStr">
        <is>
          <t>Incoerência em bloco/aliança</t>
        </is>
      </c>
      <c r="D70" s="18" t="n"/>
      <c r="E70" s="18" t="n"/>
    </row>
    <row r="71">
      <c r="B71" s="17" t="inlineStr">
        <is>
          <t>Contribuição</t>
        </is>
      </c>
      <c r="C71" s="13" t="inlineStr">
        <is>
          <t>Sem contribuição observável</t>
        </is>
      </c>
      <c r="D71" s="18" t="n"/>
      <c r="E71" s="18" t="n"/>
    </row>
    <row r="72">
      <c r="B72" s="19" t="n"/>
      <c r="C72" s="14" t="inlineStr">
        <is>
          <t>Participa sem encaminhamento</t>
        </is>
      </c>
      <c r="D72" s="18" t="n"/>
      <c r="E72" s="18" t="n"/>
    </row>
    <row r="73">
      <c r="B73" s="19" t="n"/>
      <c r="C73" s="13" t="inlineStr">
        <is>
          <t>Proposta genérica</t>
        </is>
      </c>
      <c r="D73" s="18" t="n"/>
      <c r="E73" s="18" t="n"/>
    </row>
    <row r="74">
      <c r="B74" s="19" t="n"/>
      <c r="C74" s="14" t="inlineStr">
        <is>
          <t>Proposta aproveitável</t>
        </is>
      </c>
      <c r="D74" s="18" t="n"/>
      <c r="E74" s="18" t="n"/>
    </row>
    <row r="75">
      <c r="B75" s="19" t="n"/>
      <c r="C75" s="13" t="inlineStr">
        <is>
          <t>Proposta desenvolvida</t>
        </is>
      </c>
      <c r="D75" s="18" t="n"/>
      <c r="E75" s="18" t="n"/>
    </row>
    <row r="76">
      <c r="B76" s="19" t="n"/>
      <c r="C76" s="14" t="inlineStr">
        <is>
          <t>Cláusula/documento melhorado</t>
        </is>
      </c>
      <c r="D76" s="18" t="n"/>
      <c r="E76" s="18" t="n"/>
    </row>
    <row r="77">
      <c r="B77" s="19" t="n"/>
      <c r="C77" s="13" t="inlineStr">
        <is>
          <t>Organização de solução</t>
        </is>
      </c>
      <c r="D77" s="18" t="n"/>
      <c r="E77" s="18" t="n"/>
    </row>
    <row r="78">
      <c r="B78" s="19" t="n"/>
      <c r="C78" s="14" t="inlineStr">
        <is>
          <t>Destravamento de impasse</t>
        </is>
      </c>
      <c r="D78" s="18" t="n"/>
      <c r="E78" s="18" t="n"/>
    </row>
    <row r="79">
      <c r="B79" s="19" t="n"/>
      <c r="C79" s="13" t="inlineStr">
        <is>
          <t>Materialização decisiva</t>
        </is>
      </c>
      <c r="D79" s="18" t="n"/>
      <c r="E79" s="18" t="n"/>
    </row>
    <row r="80">
      <c r="B80" s="20" t="n"/>
      <c r="C80" s="14" t="inlineStr">
        <is>
          <t>Centralização excludente</t>
        </is>
      </c>
      <c r="D80" s="18" t="n"/>
      <c r="E80" s="18" t="n"/>
    </row>
    <row r="81">
      <c r="B81" s="17" t="inlineStr">
        <is>
          <t>Participação</t>
        </is>
      </c>
      <c r="C81" s="13" t="inlineStr">
        <is>
          <t>Sem engajamento observável</t>
        </is>
      </c>
      <c r="D81" s="18" t="n"/>
      <c r="E81" s="18" t="n"/>
    </row>
    <row r="82">
      <c r="B82" s="19" t="n"/>
      <c r="C82" s="14" t="inlineStr">
        <is>
          <t>Presença irregular</t>
        </is>
      </c>
      <c r="D82" s="18" t="n"/>
      <c r="E82" s="18" t="n"/>
    </row>
    <row r="83">
      <c r="B83" s="19" t="n"/>
      <c r="C83" s="13" t="inlineStr">
        <is>
          <t>Fala pontual</t>
        </is>
      </c>
      <c r="D83" s="18" t="n"/>
      <c r="E83" s="18" t="n"/>
    </row>
    <row r="84">
      <c r="B84" s="19" t="n"/>
      <c r="C84" s="14" t="inlineStr">
        <is>
          <t>Discursos regulares</t>
        </is>
      </c>
      <c r="D84" s="18" t="n"/>
      <c r="E84" s="18" t="n"/>
    </row>
    <row r="85">
      <c r="B85" s="19" t="n"/>
      <c r="C85" s="13" t="inlineStr">
        <is>
          <t>Participa de negociação</t>
        </is>
      </c>
      <c r="D85" s="18" t="n"/>
      <c r="E85" s="18" t="n"/>
    </row>
    <row r="86">
      <c r="B86" s="19" t="n"/>
      <c r="C86" s="14" t="inlineStr">
        <is>
          <t>Interage com diferentes representações</t>
        </is>
      </c>
      <c r="D86" s="18" t="n"/>
      <c r="E86" s="18" t="n"/>
    </row>
    <row r="87">
      <c r="B87" s="19" t="n"/>
      <c r="C87" s="13" t="inlineStr">
        <is>
          <t>Presente em momento decisivo</t>
        </is>
      </c>
      <c r="D87" s="18" t="n"/>
      <c r="E87" s="18" t="n"/>
    </row>
    <row r="88">
      <c r="B88" s="19" t="n"/>
      <c r="C88" s="14" t="inlineStr">
        <is>
          <t>Acompanha documentos/debates</t>
        </is>
      </c>
      <c r="D88" s="18" t="n"/>
      <c r="E88" s="18" t="n"/>
    </row>
    <row r="89">
      <c r="B89" s="20" t="n"/>
      <c r="C89" s="13" t="inlineStr">
        <is>
          <t>Fala muito sem avanço</t>
        </is>
      </c>
      <c r="D89" s="18" t="n"/>
      <c r="E89" s="18" t="n"/>
    </row>
    <row r="91" ht="22" customHeight="1">
      <c r="B91" s="10" t="inlineStr">
        <is>
          <t>6. Padrão de evidência</t>
        </is>
      </c>
      <c r="C91" s="11" t="n"/>
      <c r="D91" s="11" t="n"/>
      <c r="E91" s="11" t="n"/>
    </row>
    <row r="92">
      <c r="B92" s="15" t="inlineStr">
        <is>
          <t>Evidência observável: o quê, quem, quando, eixo e impacto. Pode ser mais longa quando necessário para a revisão acadêmica.</t>
        </is>
      </c>
    </row>
    <row r="93">
      <c r="B93" s="15" t="inlineStr">
        <is>
          <t>Válido: "Redigiu cláusula aceita na proposta final após articular acordo entre três representações."</t>
        </is>
      </c>
    </row>
    <row r="94">
      <c r="B94" s="15" t="inlineStr">
        <is>
          <t>Inválido: "Foi muito bom." / "Participou bem."</t>
        </is>
      </c>
    </row>
    <row r="95">
      <c r="B95" s="15" t="inlineStr">
        <is>
          <t>Terminologia: usar Presidência (não usar Mesa); usar sessão, comitê, debates, discussões (não usar Plenária); usar representação e delegação.</t>
        </is>
      </c>
    </row>
  </sheetData>
  <mergeCells count="34">
    <mergeCell ref="B55:B62"/>
    <mergeCell ref="B49:E49"/>
    <mergeCell ref="B92:E92"/>
    <mergeCell ref="B15:E15"/>
    <mergeCell ref="A1:E1"/>
    <mergeCell ref="B63:B70"/>
    <mergeCell ref="B20:E20"/>
    <mergeCell ref="B95:E95"/>
    <mergeCell ref="B94:E94"/>
    <mergeCell ref="B45:E45"/>
    <mergeCell ref="B4:E4"/>
    <mergeCell ref="B50:E50"/>
    <mergeCell ref="B71:B80"/>
    <mergeCell ref="B91:E91"/>
    <mergeCell ref="B16:E16"/>
    <mergeCell ref="B47:E47"/>
    <mergeCell ref="B46:E46"/>
    <mergeCell ref="B93:E93"/>
    <mergeCell ref="B18:E18"/>
    <mergeCell ref="A2:E2"/>
    <mergeCell ref="B12:E12"/>
    <mergeCell ref="B52:E52"/>
    <mergeCell ref="B21:E21"/>
    <mergeCell ref="B48:E48"/>
    <mergeCell ref="B11:E11"/>
    <mergeCell ref="B42:E42"/>
    <mergeCell ref="B81:B89"/>
    <mergeCell ref="B14:E14"/>
    <mergeCell ref="B17:E17"/>
    <mergeCell ref="B53:E53"/>
    <mergeCell ref="B44:E44"/>
    <mergeCell ref="B29:E29"/>
    <mergeCell ref="B19:E19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0124D"/>
    <outlinePr summaryBelow="1" summaryRight="1"/>
    <pageSetUpPr/>
  </sheetPr>
  <dimension ref="A1:X5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4" customWidth="1" min="3" max="3"/>
    <col width="22" customWidth="1" min="4" max="4"/>
    <col width="13" customWidth="1" min="5" max="5"/>
    <col width="14" customWidth="1" min="6" max="6"/>
    <col width="38" customWidth="1" min="7" max="7"/>
    <col width="12" customWidth="1" min="8" max="8"/>
    <col width="26" customWidth="1" min="9" max="9"/>
    <col width="11" customWidth="1" min="10" max="10"/>
    <col width="38" customWidth="1" min="11" max="11"/>
    <col width="12" customWidth="1" min="12" max="12"/>
    <col width="26" customWidth="1" min="13" max="13"/>
    <col width="11" customWidth="1" min="14" max="14"/>
    <col width="38" customWidth="1" min="15" max="15"/>
    <col width="12" customWidth="1" min="16" max="16"/>
    <col width="26" customWidth="1" min="17" max="17"/>
    <col width="11" customWidth="1" min="18" max="18"/>
    <col width="38" customWidth="1" min="19" max="19"/>
    <col width="12" customWidth="1" min="20" max="20"/>
    <col width="26" customWidth="1" min="21" max="21"/>
    <col width="11" customWidth="1" min="22" max="22"/>
    <col width="36" customWidth="1" min="23" max="23"/>
    <col width="30" customWidth="1" min="24" max="24"/>
  </cols>
  <sheetData>
    <row r="1" ht="30" customHeight="1">
      <c r="A1" s="1" t="inlineStr">
        <is>
          <t>Controle Avaliação — Registro por Sessão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4" customHeight="1">
      <c r="A2" s="21" t="inlineStr">
        <is>
          <t>Identificação</t>
        </is>
      </c>
      <c r="B2" s="11" t="n"/>
      <c r="C2" s="11" t="n"/>
      <c r="D2" s="11" t="n"/>
      <c r="E2" s="11" t="n"/>
      <c r="F2" s="11" t="n"/>
      <c r="G2" s="22" t="inlineStr">
        <is>
          <t>Diplomacia e Respeito às Regras</t>
        </is>
      </c>
      <c r="H2" s="11" t="n"/>
      <c r="I2" s="11" t="n"/>
      <c r="J2" s="11" t="n"/>
      <c r="K2" s="22" t="inlineStr">
        <is>
          <t>Fidelidade à Função Designada</t>
        </is>
      </c>
      <c r="L2" s="11" t="n"/>
      <c r="M2" s="11" t="n"/>
      <c r="N2" s="11" t="n"/>
      <c r="O2" s="22" t="inlineStr">
        <is>
          <t>Contribuição</t>
        </is>
      </c>
      <c r="P2" s="11" t="n"/>
      <c r="Q2" s="11" t="n"/>
      <c r="R2" s="11" t="n"/>
      <c r="S2" s="22" t="inlineStr">
        <is>
          <t>Participação</t>
        </is>
      </c>
      <c r="T2" s="11" t="n"/>
      <c r="U2" s="11" t="n"/>
      <c r="V2" s="11" t="n"/>
      <c r="W2" s="22" t="inlineStr">
        <is>
          <t>Síntese</t>
        </is>
      </c>
      <c r="X2" s="11" t="n"/>
    </row>
    <row r="3" ht="30" customHeight="1">
      <c r="A3" s="12" t="inlineStr"/>
      <c r="B3" s="12" t="inlineStr">
        <is>
          <t>Sessão</t>
        </is>
      </c>
      <c r="C3" s="12" t="inlineStr">
        <is>
          <t>Delegado</t>
        </is>
      </c>
      <c r="D3" s="12" t="inlineStr">
        <is>
          <t>Representação/Função</t>
        </is>
      </c>
      <c r="E3" s="12" t="inlineStr">
        <is>
          <t>Presença na sessão</t>
        </is>
      </c>
      <c r="F3" s="12" t="inlineStr">
        <is>
          <t>Status do registro</t>
        </is>
      </c>
      <c r="G3" s="23" t="inlineStr">
        <is>
          <t>Evidência D</t>
        </is>
      </c>
      <c r="H3" s="12" t="inlineStr">
        <is>
          <t>Gatilho D</t>
        </is>
      </c>
      <c r="I3" s="12" t="inlineStr">
        <is>
          <t>Triagem D</t>
        </is>
      </c>
      <c r="J3" s="12" t="inlineStr">
        <is>
          <t>Nota Preliminar D</t>
        </is>
      </c>
      <c r="K3" s="23" t="inlineStr">
        <is>
          <t>Evidência F</t>
        </is>
      </c>
      <c r="L3" s="12" t="inlineStr">
        <is>
          <t>Gatilho F</t>
        </is>
      </c>
      <c r="M3" s="12" t="inlineStr">
        <is>
          <t>Triagem F</t>
        </is>
      </c>
      <c r="N3" s="12" t="inlineStr">
        <is>
          <t>Nota Preliminar F</t>
        </is>
      </c>
      <c r="O3" s="23" t="inlineStr">
        <is>
          <t>Evidência C</t>
        </is>
      </c>
      <c r="P3" s="12" t="inlineStr">
        <is>
          <t>Gatilho C</t>
        </is>
      </c>
      <c r="Q3" s="12" t="inlineStr">
        <is>
          <t>Triagem C</t>
        </is>
      </c>
      <c r="R3" s="12" t="inlineStr">
        <is>
          <t>Nota Preliminar C</t>
        </is>
      </c>
      <c r="S3" s="23" t="inlineStr">
        <is>
          <t>Evidência P</t>
        </is>
      </c>
      <c r="T3" s="12" t="inlineStr">
        <is>
          <t>Gatilho P</t>
        </is>
      </c>
      <c r="U3" s="12" t="inlineStr">
        <is>
          <t>Triagem P</t>
        </is>
      </c>
      <c r="V3" s="12" t="inlineStr">
        <is>
          <t>Nota Preliminar P</t>
        </is>
      </c>
      <c r="W3" s="23" t="inlineStr">
        <is>
          <t>Síntese acumulada da sessão</t>
        </is>
      </c>
      <c r="X3" s="12" t="inlineStr">
        <is>
          <t>Observação geral da sessão</t>
        </is>
      </c>
    </row>
    <row r="4">
      <c r="A4" s="8">
        <f>IF($C4="","",1)</f>
        <v/>
      </c>
      <c r="B4" s="8">
        <f>IF($C4="","","1ª Sessão")</f>
        <v/>
      </c>
      <c r="C4" s="8">
        <f>IF(Preenchimento!$B$10="","",Preenchimento!$B$10)</f>
        <v/>
      </c>
      <c r="D4" s="8">
        <f>IF($C4="","",IF(Preenchimento!$C$10="","-",Preenchimento!$C$10))</f>
        <v/>
      </c>
      <c r="E4" s="8" t="n"/>
      <c r="F4" s="8" t="n"/>
      <c r="G4" s="24" t="n"/>
      <c r="H4" s="8" t="n"/>
      <c r="I4" s="14" t="n"/>
      <c r="J4" s="25">
        <f>IF($C4="","",IF($E4="Falta","-",MAX(0,MIN(10,8+IFERROR(VALUE(TRIM(MID(SUBSTITUTE(SUBSTITUTE(SUBSTITUTE(UPPER($H4)," ",""),"D",""),";",REPT(" ",30)),1,30))),0)+IFERROR(VALUE(TRIM(MID(SUBSTITUTE(SUBSTITUTE(SUBSTITUTE(UPPER($H4)," ",""),"D",""),";",REPT(" ",30)),31,30))),0)+IFERROR(VALUE(TRIM(MID(SUBSTITUTE(SUBSTITUTE(SUBSTITUTE(UPPER($H4)," ",""),"D",""),";",REPT(" ",30)),61,30))),0)+IFERROR(VALUE(TRIM(MID(SUBSTITUTE(SUBSTITUTE(SUBSTITUTE(UPPER($H4)," ",""),"D",""),";",REPT(" ",30)),91,30))),0)+IFERROR(VALUE(TRIM(MID(SUBSTITUTE(SUBSTITUTE(SUBSTITUTE(UPPER($H4)," ",""),"D",""),";",REPT(" ",30)),121,30))),0)+IFERROR(VALUE(TRIM(MID(SUBSTITUTE(SUBSTITUTE(SUBSTITUTE(UPPER($H4)," ",""),"D",""),";",REPT(" ",30)),151,30))),0)+IFERROR(VALUE(TRIM(MID(SUBSTITUTE(SUBSTITUTE(SUBSTITUTE(UPPER($H4)," ",""),"D",""),";",REPT(" ",30)),181,30))),0)+IFERROR(VALUE(TRIM(MID(SUBSTITUTE(SUBSTITUTE(SUBSTITUTE(UPPER($H4)," ",""),"D",""),";",REPT(" ",30)),211,30))),0)))))</f>
        <v/>
      </c>
      <c r="K4" s="24" t="n"/>
      <c r="L4" s="8" t="n"/>
      <c r="M4" s="14" t="n"/>
      <c r="N4" s="25">
        <f>IF($C4="","",IF($E4="Falta","-",MAX(0,MIN(10,8+IFERROR(VALUE(TRIM(MID(SUBSTITUTE(SUBSTITUTE(SUBSTITUTE(UPPER($L4)," ",""),"F",""),";",REPT(" ",30)),1,30))),0)+IFERROR(VALUE(TRIM(MID(SUBSTITUTE(SUBSTITUTE(SUBSTITUTE(UPPER($L4)," ",""),"F",""),";",REPT(" ",30)),31,30))),0)+IFERROR(VALUE(TRIM(MID(SUBSTITUTE(SUBSTITUTE(SUBSTITUTE(UPPER($L4)," ",""),"F",""),";",REPT(" ",30)),61,30))),0)+IFERROR(VALUE(TRIM(MID(SUBSTITUTE(SUBSTITUTE(SUBSTITUTE(UPPER($L4)," ",""),"F",""),";",REPT(" ",30)),91,30))),0)+IFERROR(VALUE(TRIM(MID(SUBSTITUTE(SUBSTITUTE(SUBSTITUTE(UPPER($L4)," ",""),"F",""),";",REPT(" ",30)),121,30))),0)+IFERROR(VALUE(TRIM(MID(SUBSTITUTE(SUBSTITUTE(SUBSTITUTE(UPPER($L4)," ",""),"F",""),";",REPT(" ",30)),151,30))),0)+IFERROR(VALUE(TRIM(MID(SUBSTITUTE(SUBSTITUTE(SUBSTITUTE(UPPER($L4)," ",""),"F",""),";",REPT(" ",30)),181,30))),0)+IFERROR(VALUE(TRIM(MID(SUBSTITUTE(SUBSTITUTE(SUBSTITUTE(UPPER($L4)," ",""),"F",""),";",REPT(" ",30)),211,30))),0)))))</f>
        <v/>
      </c>
      <c r="O4" s="24" t="n"/>
      <c r="P4" s="8" t="n"/>
      <c r="Q4" s="14" t="n"/>
      <c r="R4" s="25">
        <f>IF($C4="","",IF($E4="Falta","-",MAX(0,MIN(10,5+IFERROR(VALUE(TRIM(MID(SUBSTITUTE(SUBSTITUTE(SUBSTITUTE(UPPER($P4)," ",""),"C",""),";",REPT(" ",30)),1,30))),0)+IFERROR(VALUE(TRIM(MID(SUBSTITUTE(SUBSTITUTE(SUBSTITUTE(UPPER($P4)," ",""),"C",""),";",REPT(" ",30)),31,30))),0)+IFERROR(VALUE(TRIM(MID(SUBSTITUTE(SUBSTITUTE(SUBSTITUTE(UPPER($P4)," ",""),"C",""),";",REPT(" ",30)),61,30))),0)+IFERROR(VALUE(TRIM(MID(SUBSTITUTE(SUBSTITUTE(SUBSTITUTE(UPPER($P4)," ",""),"C",""),";",REPT(" ",30)),91,30))),0)+IFERROR(VALUE(TRIM(MID(SUBSTITUTE(SUBSTITUTE(SUBSTITUTE(UPPER($P4)," ",""),"C",""),";",REPT(" ",30)),121,30))),0)+IFERROR(VALUE(TRIM(MID(SUBSTITUTE(SUBSTITUTE(SUBSTITUTE(UPPER($P4)," ",""),"C",""),";",REPT(" ",30)),151,30))),0)+IFERROR(VALUE(TRIM(MID(SUBSTITUTE(SUBSTITUTE(SUBSTITUTE(UPPER($P4)," ",""),"C",""),";",REPT(" ",30)),181,30))),0)+IFERROR(VALUE(TRIM(MID(SUBSTITUTE(SUBSTITUTE(SUBSTITUTE(UPPER($P4)," ",""),"C",""),";",REPT(" ",30)),211,30))),0)))))</f>
        <v/>
      </c>
      <c r="S4" s="24" t="n"/>
      <c r="T4" s="8" t="n"/>
      <c r="U4" s="14" t="n"/>
      <c r="V4" s="25">
        <f>IF($C4="","",IF($E4="Falta","-",MAX(0,MIN(10,5+IFERROR(VALUE(TRIM(MID(SUBSTITUTE(SUBSTITUTE(SUBSTITUTE(UPPER($T4)," ",""),"P",""),";",REPT(" ",30)),1,30))),0)+IFERROR(VALUE(TRIM(MID(SUBSTITUTE(SUBSTITUTE(SUBSTITUTE(UPPER($T4)," ",""),"P",""),";",REPT(" ",30)),31,30))),0)+IFERROR(VALUE(TRIM(MID(SUBSTITUTE(SUBSTITUTE(SUBSTITUTE(UPPER($T4)," ",""),"P",""),";",REPT(" ",30)),61,30))),0)+IFERROR(VALUE(TRIM(MID(SUBSTITUTE(SUBSTITUTE(SUBSTITUTE(UPPER($T4)," ",""),"P",""),";",REPT(" ",30)),91,30))),0)+IFERROR(VALUE(TRIM(MID(SUBSTITUTE(SUBSTITUTE(SUBSTITUTE(UPPER($T4)," ",""),"P",""),";",REPT(" ",30)),121,30))),0)+IFERROR(VALUE(TRIM(MID(SUBSTITUTE(SUBSTITUTE(SUBSTITUTE(UPPER($T4)," ",""),"P",""),";",REPT(" ",30)),151,30))),0)+IFERROR(VALUE(TRIM(MID(SUBSTITUTE(SUBSTITUTE(SUBSTITUTE(UPPER($T4)," ",""),"P",""),";",REPT(" ",30)),181,30))),0)+IFERROR(VALUE(TRIM(MID(SUBSTITUTE(SUBSTITUTE(SUBSTITUTE(UPPER($T4)," ",""),"P",""),";",REPT(" ",30)),211,30))),0)))))</f>
        <v/>
      </c>
      <c r="W4" s="24" t="n"/>
      <c r="X4" s="14" t="n"/>
    </row>
    <row r="5">
      <c r="A5" s="8">
        <f>IF($C5="","",1)</f>
        <v/>
      </c>
      <c r="B5" s="8">
        <f>IF($C5="","","2ª Sessão")</f>
        <v/>
      </c>
      <c r="C5" s="8">
        <f>IF(Preenchimento!$B$10="","",Preenchimento!$B$10)</f>
        <v/>
      </c>
      <c r="D5" s="8">
        <f>IF($C5="","",IF(Preenchimento!$C$10="","-",Preenchimento!$C$10))</f>
        <v/>
      </c>
      <c r="E5" s="8" t="n"/>
      <c r="F5" s="8" t="n"/>
      <c r="G5" s="24" t="n"/>
      <c r="H5" s="8" t="n"/>
      <c r="I5" s="14" t="n"/>
      <c r="J5" s="25">
        <f>IF($C5="","",IF($E5="Falta","-",MAX(0,MIN(10,8+IFERROR(VALUE(TRIM(MID(SUBSTITUTE(SUBSTITUTE(SUBSTITUTE(UPPER($H5)," ",""),"D",""),";",REPT(" ",30)),1,30))),0)+IFERROR(VALUE(TRIM(MID(SUBSTITUTE(SUBSTITUTE(SUBSTITUTE(UPPER($H5)," ",""),"D",""),";",REPT(" ",30)),31,30))),0)+IFERROR(VALUE(TRIM(MID(SUBSTITUTE(SUBSTITUTE(SUBSTITUTE(UPPER($H5)," ",""),"D",""),";",REPT(" ",30)),61,30))),0)+IFERROR(VALUE(TRIM(MID(SUBSTITUTE(SUBSTITUTE(SUBSTITUTE(UPPER($H5)," ",""),"D",""),";",REPT(" ",30)),91,30))),0)+IFERROR(VALUE(TRIM(MID(SUBSTITUTE(SUBSTITUTE(SUBSTITUTE(UPPER($H5)," ",""),"D",""),";",REPT(" ",30)),121,30))),0)+IFERROR(VALUE(TRIM(MID(SUBSTITUTE(SUBSTITUTE(SUBSTITUTE(UPPER($H5)," ",""),"D",""),";",REPT(" ",30)),151,30))),0)+IFERROR(VALUE(TRIM(MID(SUBSTITUTE(SUBSTITUTE(SUBSTITUTE(UPPER($H5)," ",""),"D",""),";",REPT(" ",30)),181,30))),0)+IFERROR(VALUE(TRIM(MID(SUBSTITUTE(SUBSTITUTE(SUBSTITUTE(UPPER($H5)," ",""),"D",""),";",REPT(" ",30)),211,30))),0)))))</f>
        <v/>
      </c>
      <c r="K5" s="24" t="n"/>
      <c r="L5" s="8" t="n"/>
      <c r="M5" s="14" t="n"/>
      <c r="N5" s="25">
        <f>IF($C5="","",IF($E5="Falta","-",MAX(0,MIN(10,8+IFERROR(VALUE(TRIM(MID(SUBSTITUTE(SUBSTITUTE(SUBSTITUTE(UPPER($L5)," ",""),"F",""),";",REPT(" ",30)),1,30))),0)+IFERROR(VALUE(TRIM(MID(SUBSTITUTE(SUBSTITUTE(SUBSTITUTE(UPPER($L5)," ",""),"F",""),";",REPT(" ",30)),31,30))),0)+IFERROR(VALUE(TRIM(MID(SUBSTITUTE(SUBSTITUTE(SUBSTITUTE(UPPER($L5)," ",""),"F",""),";",REPT(" ",30)),61,30))),0)+IFERROR(VALUE(TRIM(MID(SUBSTITUTE(SUBSTITUTE(SUBSTITUTE(UPPER($L5)," ",""),"F",""),";",REPT(" ",30)),91,30))),0)+IFERROR(VALUE(TRIM(MID(SUBSTITUTE(SUBSTITUTE(SUBSTITUTE(UPPER($L5)," ",""),"F",""),";",REPT(" ",30)),121,30))),0)+IFERROR(VALUE(TRIM(MID(SUBSTITUTE(SUBSTITUTE(SUBSTITUTE(UPPER($L5)," ",""),"F",""),";",REPT(" ",30)),151,30))),0)+IFERROR(VALUE(TRIM(MID(SUBSTITUTE(SUBSTITUTE(SUBSTITUTE(UPPER($L5)," ",""),"F",""),";",REPT(" ",30)),181,30))),0)+IFERROR(VALUE(TRIM(MID(SUBSTITUTE(SUBSTITUTE(SUBSTITUTE(UPPER($L5)," ",""),"F",""),";",REPT(" ",30)),211,30))),0)))))</f>
        <v/>
      </c>
      <c r="O5" s="24" t="n"/>
      <c r="P5" s="8" t="n"/>
      <c r="Q5" s="14" t="n"/>
      <c r="R5" s="25">
        <f>IF($C5="","",IF($E5="Falta","-",MAX(0,MIN(10,5+IFERROR(VALUE(TRIM(MID(SUBSTITUTE(SUBSTITUTE(SUBSTITUTE(UPPER($P5)," ",""),"C",""),";",REPT(" ",30)),1,30))),0)+IFERROR(VALUE(TRIM(MID(SUBSTITUTE(SUBSTITUTE(SUBSTITUTE(UPPER($P5)," ",""),"C",""),";",REPT(" ",30)),31,30))),0)+IFERROR(VALUE(TRIM(MID(SUBSTITUTE(SUBSTITUTE(SUBSTITUTE(UPPER($P5)," ",""),"C",""),";",REPT(" ",30)),61,30))),0)+IFERROR(VALUE(TRIM(MID(SUBSTITUTE(SUBSTITUTE(SUBSTITUTE(UPPER($P5)," ",""),"C",""),";",REPT(" ",30)),91,30))),0)+IFERROR(VALUE(TRIM(MID(SUBSTITUTE(SUBSTITUTE(SUBSTITUTE(UPPER($P5)," ",""),"C",""),";",REPT(" ",30)),121,30))),0)+IFERROR(VALUE(TRIM(MID(SUBSTITUTE(SUBSTITUTE(SUBSTITUTE(UPPER($P5)," ",""),"C",""),";",REPT(" ",30)),151,30))),0)+IFERROR(VALUE(TRIM(MID(SUBSTITUTE(SUBSTITUTE(SUBSTITUTE(UPPER($P5)," ",""),"C",""),";",REPT(" ",30)),181,30))),0)+IFERROR(VALUE(TRIM(MID(SUBSTITUTE(SUBSTITUTE(SUBSTITUTE(UPPER($P5)," ",""),"C",""),";",REPT(" ",30)),211,30))),0)))))</f>
        <v/>
      </c>
      <c r="S5" s="24" t="n"/>
      <c r="T5" s="8" t="n"/>
      <c r="U5" s="14" t="n"/>
      <c r="V5" s="25">
        <f>IF($C5="","",IF($E5="Falta","-",MAX(0,MIN(10,5+IFERROR(VALUE(TRIM(MID(SUBSTITUTE(SUBSTITUTE(SUBSTITUTE(UPPER($T5)," ",""),"P",""),";",REPT(" ",30)),1,30))),0)+IFERROR(VALUE(TRIM(MID(SUBSTITUTE(SUBSTITUTE(SUBSTITUTE(UPPER($T5)," ",""),"P",""),";",REPT(" ",30)),31,30))),0)+IFERROR(VALUE(TRIM(MID(SUBSTITUTE(SUBSTITUTE(SUBSTITUTE(UPPER($T5)," ",""),"P",""),";",REPT(" ",30)),61,30))),0)+IFERROR(VALUE(TRIM(MID(SUBSTITUTE(SUBSTITUTE(SUBSTITUTE(UPPER($T5)," ",""),"P",""),";",REPT(" ",30)),91,30))),0)+IFERROR(VALUE(TRIM(MID(SUBSTITUTE(SUBSTITUTE(SUBSTITUTE(UPPER($T5)," ",""),"P",""),";",REPT(" ",30)),121,30))),0)+IFERROR(VALUE(TRIM(MID(SUBSTITUTE(SUBSTITUTE(SUBSTITUTE(UPPER($T5)," ",""),"P",""),";",REPT(" ",30)),151,30))),0)+IFERROR(VALUE(TRIM(MID(SUBSTITUTE(SUBSTITUTE(SUBSTITUTE(UPPER($T5)," ",""),"P",""),";",REPT(" ",30)),181,30))),0)+IFERROR(VALUE(TRIM(MID(SUBSTITUTE(SUBSTITUTE(SUBSTITUTE(UPPER($T5)," ",""),"P",""),";",REPT(" ",30)),211,30))),0)))))</f>
        <v/>
      </c>
      <c r="W5" s="24" t="n"/>
      <c r="X5" s="14" t="n"/>
    </row>
    <row r="6">
      <c r="A6" s="8">
        <f>IF($C6="","",1)</f>
        <v/>
      </c>
      <c r="B6" s="8">
        <f>IF($C6="","","3ª Sessão")</f>
        <v/>
      </c>
      <c r="C6" s="8">
        <f>IF(Preenchimento!$B$10="","",Preenchimento!$B$10)</f>
        <v/>
      </c>
      <c r="D6" s="8">
        <f>IF($C6="","",IF(Preenchimento!$C$10="","-",Preenchimento!$C$10))</f>
        <v/>
      </c>
      <c r="E6" s="8" t="n"/>
      <c r="F6" s="8" t="n"/>
      <c r="G6" s="24" t="n"/>
      <c r="H6" s="8" t="n"/>
      <c r="I6" s="14" t="n"/>
      <c r="J6" s="25">
        <f>IF($C6="","",IF($E6="Falta","-",MAX(0,MIN(10,8+IFERROR(VALUE(TRIM(MID(SUBSTITUTE(SUBSTITUTE(SUBSTITUTE(UPPER($H6)," ",""),"D",""),";",REPT(" ",30)),1,30))),0)+IFERROR(VALUE(TRIM(MID(SUBSTITUTE(SUBSTITUTE(SUBSTITUTE(UPPER($H6)," ",""),"D",""),";",REPT(" ",30)),31,30))),0)+IFERROR(VALUE(TRIM(MID(SUBSTITUTE(SUBSTITUTE(SUBSTITUTE(UPPER($H6)," ",""),"D",""),";",REPT(" ",30)),61,30))),0)+IFERROR(VALUE(TRIM(MID(SUBSTITUTE(SUBSTITUTE(SUBSTITUTE(UPPER($H6)," ",""),"D",""),";",REPT(" ",30)),91,30))),0)+IFERROR(VALUE(TRIM(MID(SUBSTITUTE(SUBSTITUTE(SUBSTITUTE(UPPER($H6)," ",""),"D",""),";",REPT(" ",30)),121,30))),0)+IFERROR(VALUE(TRIM(MID(SUBSTITUTE(SUBSTITUTE(SUBSTITUTE(UPPER($H6)," ",""),"D",""),";",REPT(" ",30)),151,30))),0)+IFERROR(VALUE(TRIM(MID(SUBSTITUTE(SUBSTITUTE(SUBSTITUTE(UPPER($H6)," ",""),"D",""),";",REPT(" ",30)),181,30))),0)+IFERROR(VALUE(TRIM(MID(SUBSTITUTE(SUBSTITUTE(SUBSTITUTE(UPPER($H6)," ",""),"D",""),";",REPT(" ",30)),211,30))),0)))))</f>
        <v/>
      </c>
      <c r="K6" s="24" t="n"/>
      <c r="L6" s="8" t="n"/>
      <c r="M6" s="14" t="n"/>
      <c r="N6" s="25">
        <f>IF($C6="","",IF($E6="Falta","-",MAX(0,MIN(10,8+IFERROR(VALUE(TRIM(MID(SUBSTITUTE(SUBSTITUTE(SUBSTITUTE(UPPER($L6)," ",""),"F",""),";",REPT(" ",30)),1,30))),0)+IFERROR(VALUE(TRIM(MID(SUBSTITUTE(SUBSTITUTE(SUBSTITUTE(UPPER($L6)," ",""),"F",""),";",REPT(" ",30)),31,30))),0)+IFERROR(VALUE(TRIM(MID(SUBSTITUTE(SUBSTITUTE(SUBSTITUTE(UPPER($L6)," ",""),"F",""),";",REPT(" ",30)),61,30))),0)+IFERROR(VALUE(TRIM(MID(SUBSTITUTE(SUBSTITUTE(SUBSTITUTE(UPPER($L6)," ",""),"F",""),";",REPT(" ",30)),91,30))),0)+IFERROR(VALUE(TRIM(MID(SUBSTITUTE(SUBSTITUTE(SUBSTITUTE(UPPER($L6)," ",""),"F",""),";",REPT(" ",30)),121,30))),0)+IFERROR(VALUE(TRIM(MID(SUBSTITUTE(SUBSTITUTE(SUBSTITUTE(UPPER($L6)," ",""),"F",""),";",REPT(" ",30)),151,30))),0)+IFERROR(VALUE(TRIM(MID(SUBSTITUTE(SUBSTITUTE(SUBSTITUTE(UPPER($L6)," ",""),"F",""),";",REPT(" ",30)),181,30))),0)+IFERROR(VALUE(TRIM(MID(SUBSTITUTE(SUBSTITUTE(SUBSTITUTE(UPPER($L6)," ",""),"F",""),";",REPT(" ",30)),211,30))),0)))))</f>
        <v/>
      </c>
      <c r="O6" s="24" t="n"/>
      <c r="P6" s="8" t="n"/>
      <c r="Q6" s="14" t="n"/>
      <c r="R6" s="25">
        <f>IF($C6="","",IF($E6="Falta","-",MAX(0,MIN(10,5+IFERROR(VALUE(TRIM(MID(SUBSTITUTE(SUBSTITUTE(SUBSTITUTE(UPPER($P6)," ",""),"C",""),";",REPT(" ",30)),1,30))),0)+IFERROR(VALUE(TRIM(MID(SUBSTITUTE(SUBSTITUTE(SUBSTITUTE(UPPER($P6)," ",""),"C",""),";",REPT(" ",30)),31,30))),0)+IFERROR(VALUE(TRIM(MID(SUBSTITUTE(SUBSTITUTE(SUBSTITUTE(UPPER($P6)," ",""),"C",""),";",REPT(" ",30)),61,30))),0)+IFERROR(VALUE(TRIM(MID(SUBSTITUTE(SUBSTITUTE(SUBSTITUTE(UPPER($P6)," ",""),"C",""),";",REPT(" ",30)),91,30))),0)+IFERROR(VALUE(TRIM(MID(SUBSTITUTE(SUBSTITUTE(SUBSTITUTE(UPPER($P6)," ",""),"C",""),";",REPT(" ",30)),121,30))),0)+IFERROR(VALUE(TRIM(MID(SUBSTITUTE(SUBSTITUTE(SUBSTITUTE(UPPER($P6)," ",""),"C",""),";",REPT(" ",30)),151,30))),0)+IFERROR(VALUE(TRIM(MID(SUBSTITUTE(SUBSTITUTE(SUBSTITUTE(UPPER($P6)," ",""),"C",""),";",REPT(" ",30)),181,30))),0)+IFERROR(VALUE(TRIM(MID(SUBSTITUTE(SUBSTITUTE(SUBSTITUTE(UPPER($P6)," ",""),"C",""),";",REPT(" ",30)),211,30))),0)))))</f>
        <v/>
      </c>
      <c r="S6" s="24" t="n"/>
      <c r="T6" s="8" t="n"/>
      <c r="U6" s="14" t="n"/>
      <c r="V6" s="25">
        <f>IF($C6="","",IF($E6="Falta","-",MAX(0,MIN(10,5+IFERROR(VALUE(TRIM(MID(SUBSTITUTE(SUBSTITUTE(SUBSTITUTE(UPPER($T6)," ",""),"P",""),";",REPT(" ",30)),1,30))),0)+IFERROR(VALUE(TRIM(MID(SUBSTITUTE(SUBSTITUTE(SUBSTITUTE(UPPER($T6)," ",""),"P",""),";",REPT(" ",30)),31,30))),0)+IFERROR(VALUE(TRIM(MID(SUBSTITUTE(SUBSTITUTE(SUBSTITUTE(UPPER($T6)," ",""),"P",""),";",REPT(" ",30)),61,30))),0)+IFERROR(VALUE(TRIM(MID(SUBSTITUTE(SUBSTITUTE(SUBSTITUTE(UPPER($T6)," ",""),"P",""),";",REPT(" ",30)),91,30))),0)+IFERROR(VALUE(TRIM(MID(SUBSTITUTE(SUBSTITUTE(SUBSTITUTE(UPPER($T6)," ",""),"P",""),";",REPT(" ",30)),121,30))),0)+IFERROR(VALUE(TRIM(MID(SUBSTITUTE(SUBSTITUTE(SUBSTITUTE(UPPER($T6)," ",""),"P",""),";",REPT(" ",30)),151,30))),0)+IFERROR(VALUE(TRIM(MID(SUBSTITUTE(SUBSTITUTE(SUBSTITUTE(UPPER($T6)," ",""),"P",""),";",REPT(" ",30)),181,30))),0)+IFERROR(VALUE(TRIM(MID(SUBSTITUTE(SUBSTITUTE(SUBSTITUTE(UPPER($T6)," ",""),"P",""),";",REPT(" ",30)),211,30))),0)))))</f>
        <v/>
      </c>
      <c r="W6" s="24" t="n"/>
      <c r="X6" s="14" t="n"/>
    </row>
    <row r="7">
      <c r="A7" s="8">
        <f>IF($C7="","",1)</f>
        <v/>
      </c>
      <c r="B7" s="8">
        <f>IF($C7="","","4ª Sessão")</f>
        <v/>
      </c>
      <c r="C7" s="8">
        <f>IF(Preenchimento!$B$10="","",Preenchimento!$B$10)</f>
        <v/>
      </c>
      <c r="D7" s="8">
        <f>IF($C7="","",IF(Preenchimento!$C$10="","-",Preenchimento!$C$10))</f>
        <v/>
      </c>
      <c r="E7" s="8" t="n"/>
      <c r="F7" s="8" t="n"/>
      <c r="G7" s="24" t="n"/>
      <c r="H7" s="8" t="n"/>
      <c r="I7" s="14" t="n"/>
      <c r="J7" s="25">
        <f>IF($C7="","",IF($E7="Falta","-",MAX(0,MIN(10,8+IFERROR(VALUE(TRIM(MID(SUBSTITUTE(SUBSTITUTE(SUBSTITUTE(UPPER($H7)," ",""),"D",""),";",REPT(" ",30)),1,30))),0)+IFERROR(VALUE(TRIM(MID(SUBSTITUTE(SUBSTITUTE(SUBSTITUTE(UPPER($H7)," ",""),"D",""),";",REPT(" ",30)),31,30))),0)+IFERROR(VALUE(TRIM(MID(SUBSTITUTE(SUBSTITUTE(SUBSTITUTE(UPPER($H7)," ",""),"D",""),";",REPT(" ",30)),61,30))),0)+IFERROR(VALUE(TRIM(MID(SUBSTITUTE(SUBSTITUTE(SUBSTITUTE(UPPER($H7)," ",""),"D",""),";",REPT(" ",30)),91,30))),0)+IFERROR(VALUE(TRIM(MID(SUBSTITUTE(SUBSTITUTE(SUBSTITUTE(UPPER($H7)," ",""),"D",""),";",REPT(" ",30)),121,30))),0)+IFERROR(VALUE(TRIM(MID(SUBSTITUTE(SUBSTITUTE(SUBSTITUTE(UPPER($H7)," ",""),"D",""),";",REPT(" ",30)),151,30))),0)+IFERROR(VALUE(TRIM(MID(SUBSTITUTE(SUBSTITUTE(SUBSTITUTE(UPPER($H7)," ",""),"D",""),";",REPT(" ",30)),181,30))),0)+IFERROR(VALUE(TRIM(MID(SUBSTITUTE(SUBSTITUTE(SUBSTITUTE(UPPER($H7)," ",""),"D",""),";",REPT(" ",30)),211,30))),0)))))</f>
        <v/>
      </c>
      <c r="K7" s="24" t="n"/>
      <c r="L7" s="8" t="n"/>
      <c r="M7" s="14" t="n"/>
      <c r="N7" s="25">
        <f>IF($C7="","",IF($E7="Falta","-",MAX(0,MIN(10,8+IFERROR(VALUE(TRIM(MID(SUBSTITUTE(SUBSTITUTE(SUBSTITUTE(UPPER($L7)," ",""),"F",""),";",REPT(" ",30)),1,30))),0)+IFERROR(VALUE(TRIM(MID(SUBSTITUTE(SUBSTITUTE(SUBSTITUTE(UPPER($L7)," ",""),"F",""),";",REPT(" ",30)),31,30))),0)+IFERROR(VALUE(TRIM(MID(SUBSTITUTE(SUBSTITUTE(SUBSTITUTE(UPPER($L7)," ",""),"F",""),";",REPT(" ",30)),61,30))),0)+IFERROR(VALUE(TRIM(MID(SUBSTITUTE(SUBSTITUTE(SUBSTITUTE(UPPER($L7)," ",""),"F",""),";",REPT(" ",30)),91,30))),0)+IFERROR(VALUE(TRIM(MID(SUBSTITUTE(SUBSTITUTE(SUBSTITUTE(UPPER($L7)," ",""),"F",""),";",REPT(" ",30)),121,30))),0)+IFERROR(VALUE(TRIM(MID(SUBSTITUTE(SUBSTITUTE(SUBSTITUTE(UPPER($L7)," ",""),"F",""),";",REPT(" ",30)),151,30))),0)+IFERROR(VALUE(TRIM(MID(SUBSTITUTE(SUBSTITUTE(SUBSTITUTE(UPPER($L7)," ",""),"F",""),";",REPT(" ",30)),181,30))),0)+IFERROR(VALUE(TRIM(MID(SUBSTITUTE(SUBSTITUTE(SUBSTITUTE(UPPER($L7)," ",""),"F",""),";",REPT(" ",30)),211,30))),0)))))</f>
        <v/>
      </c>
      <c r="O7" s="24" t="n"/>
      <c r="P7" s="8" t="n"/>
      <c r="Q7" s="14" t="n"/>
      <c r="R7" s="25">
        <f>IF($C7="","",IF($E7="Falta","-",MAX(0,MIN(10,5+IFERROR(VALUE(TRIM(MID(SUBSTITUTE(SUBSTITUTE(SUBSTITUTE(UPPER($P7)," ",""),"C",""),";",REPT(" ",30)),1,30))),0)+IFERROR(VALUE(TRIM(MID(SUBSTITUTE(SUBSTITUTE(SUBSTITUTE(UPPER($P7)," ",""),"C",""),";",REPT(" ",30)),31,30))),0)+IFERROR(VALUE(TRIM(MID(SUBSTITUTE(SUBSTITUTE(SUBSTITUTE(UPPER($P7)," ",""),"C",""),";",REPT(" ",30)),61,30))),0)+IFERROR(VALUE(TRIM(MID(SUBSTITUTE(SUBSTITUTE(SUBSTITUTE(UPPER($P7)," ",""),"C",""),";",REPT(" ",30)),91,30))),0)+IFERROR(VALUE(TRIM(MID(SUBSTITUTE(SUBSTITUTE(SUBSTITUTE(UPPER($P7)," ",""),"C",""),";",REPT(" ",30)),121,30))),0)+IFERROR(VALUE(TRIM(MID(SUBSTITUTE(SUBSTITUTE(SUBSTITUTE(UPPER($P7)," ",""),"C",""),";",REPT(" ",30)),151,30))),0)+IFERROR(VALUE(TRIM(MID(SUBSTITUTE(SUBSTITUTE(SUBSTITUTE(UPPER($P7)," ",""),"C",""),";",REPT(" ",30)),181,30))),0)+IFERROR(VALUE(TRIM(MID(SUBSTITUTE(SUBSTITUTE(SUBSTITUTE(UPPER($P7)," ",""),"C",""),";",REPT(" ",30)),211,30))),0)))))</f>
        <v/>
      </c>
      <c r="S7" s="24" t="n"/>
      <c r="T7" s="8" t="n"/>
      <c r="U7" s="14" t="n"/>
      <c r="V7" s="25">
        <f>IF($C7="","",IF($E7="Falta","-",MAX(0,MIN(10,5+IFERROR(VALUE(TRIM(MID(SUBSTITUTE(SUBSTITUTE(SUBSTITUTE(UPPER($T7)," ",""),"P",""),";",REPT(" ",30)),1,30))),0)+IFERROR(VALUE(TRIM(MID(SUBSTITUTE(SUBSTITUTE(SUBSTITUTE(UPPER($T7)," ",""),"P",""),";",REPT(" ",30)),31,30))),0)+IFERROR(VALUE(TRIM(MID(SUBSTITUTE(SUBSTITUTE(SUBSTITUTE(UPPER($T7)," ",""),"P",""),";",REPT(" ",30)),61,30))),0)+IFERROR(VALUE(TRIM(MID(SUBSTITUTE(SUBSTITUTE(SUBSTITUTE(UPPER($T7)," ",""),"P",""),";",REPT(" ",30)),91,30))),0)+IFERROR(VALUE(TRIM(MID(SUBSTITUTE(SUBSTITUTE(SUBSTITUTE(UPPER($T7)," ",""),"P",""),";",REPT(" ",30)),121,30))),0)+IFERROR(VALUE(TRIM(MID(SUBSTITUTE(SUBSTITUTE(SUBSTITUTE(UPPER($T7)," ",""),"P",""),";",REPT(" ",30)),151,30))),0)+IFERROR(VALUE(TRIM(MID(SUBSTITUTE(SUBSTITUTE(SUBSTITUTE(UPPER($T7)," ",""),"P",""),";",REPT(" ",30)),181,30))),0)+IFERROR(VALUE(TRIM(MID(SUBSTITUTE(SUBSTITUTE(SUBSTITUTE(UPPER($T7)," ",""),"P",""),";",REPT(" ",30)),211,30))),0)))))</f>
        <v/>
      </c>
      <c r="W7" s="24" t="n"/>
      <c r="X7" s="14" t="n"/>
    </row>
    <row r="8">
      <c r="A8" s="8">
        <f>IF($C8="","",1)</f>
        <v/>
      </c>
      <c r="B8" s="8">
        <f>IF($C8="","","5ª Sessão")</f>
        <v/>
      </c>
      <c r="C8" s="8">
        <f>IF(Preenchimento!$B$10="","",Preenchimento!$B$10)</f>
        <v/>
      </c>
      <c r="D8" s="8">
        <f>IF($C8="","",IF(Preenchimento!$C$10="","-",Preenchimento!$C$10))</f>
        <v/>
      </c>
      <c r="E8" s="8" t="n"/>
      <c r="F8" s="8" t="n"/>
      <c r="G8" s="24" t="n"/>
      <c r="H8" s="8" t="n"/>
      <c r="I8" s="14" t="n"/>
      <c r="J8" s="25">
        <f>IF($C8="","",IF($E8="Falta","-",MAX(0,MIN(10,8+IFERROR(VALUE(TRIM(MID(SUBSTITUTE(SUBSTITUTE(SUBSTITUTE(UPPER($H8)," ",""),"D",""),";",REPT(" ",30)),1,30))),0)+IFERROR(VALUE(TRIM(MID(SUBSTITUTE(SUBSTITUTE(SUBSTITUTE(UPPER($H8)," ",""),"D",""),";",REPT(" ",30)),31,30))),0)+IFERROR(VALUE(TRIM(MID(SUBSTITUTE(SUBSTITUTE(SUBSTITUTE(UPPER($H8)," ",""),"D",""),";",REPT(" ",30)),61,30))),0)+IFERROR(VALUE(TRIM(MID(SUBSTITUTE(SUBSTITUTE(SUBSTITUTE(UPPER($H8)," ",""),"D",""),";",REPT(" ",30)),91,30))),0)+IFERROR(VALUE(TRIM(MID(SUBSTITUTE(SUBSTITUTE(SUBSTITUTE(UPPER($H8)," ",""),"D",""),";",REPT(" ",30)),121,30))),0)+IFERROR(VALUE(TRIM(MID(SUBSTITUTE(SUBSTITUTE(SUBSTITUTE(UPPER($H8)," ",""),"D",""),";",REPT(" ",30)),151,30))),0)+IFERROR(VALUE(TRIM(MID(SUBSTITUTE(SUBSTITUTE(SUBSTITUTE(UPPER($H8)," ",""),"D",""),";",REPT(" ",30)),181,30))),0)+IFERROR(VALUE(TRIM(MID(SUBSTITUTE(SUBSTITUTE(SUBSTITUTE(UPPER($H8)," ",""),"D",""),";",REPT(" ",30)),211,30))),0)))))</f>
        <v/>
      </c>
      <c r="K8" s="24" t="n"/>
      <c r="L8" s="8" t="n"/>
      <c r="M8" s="14" t="n"/>
      <c r="N8" s="25">
        <f>IF($C8="","",IF($E8="Falta","-",MAX(0,MIN(10,8+IFERROR(VALUE(TRIM(MID(SUBSTITUTE(SUBSTITUTE(SUBSTITUTE(UPPER($L8)," ",""),"F",""),";",REPT(" ",30)),1,30))),0)+IFERROR(VALUE(TRIM(MID(SUBSTITUTE(SUBSTITUTE(SUBSTITUTE(UPPER($L8)," ",""),"F",""),";",REPT(" ",30)),31,30))),0)+IFERROR(VALUE(TRIM(MID(SUBSTITUTE(SUBSTITUTE(SUBSTITUTE(UPPER($L8)," ",""),"F",""),";",REPT(" ",30)),61,30))),0)+IFERROR(VALUE(TRIM(MID(SUBSTITUTE(SUBSTITUTE(SUBSTITUTE(UPPER($L8)," ",""),"F",""),";",REPT(" ",30)),91,30))),0)+IFERROR(VALUE(TRIM(MID(SUBSTITUTE(SUBSTITUTE(SUBSTITUTE(UPPER($L8)," ",""),"F",""),";",REPT(" ",30)),121,30))),0)+IFERROR(VALUE(TRIM(MID(SUBSTITUTE(SUBSTITUTE(SUBSTITUTE(UPPER($L8)," ",""),"F",""),";",REPT(" ",30)),151,30))),0)+IFERROR(VALUE(TRIM(MID(SUBSTITUTE(SUBSTITUTE(SUBSTITUTE(UPPER($L8)," ",""),"F",""),";",REPT(" ",30)),181,30))),0)+IFERROR(VALUE(TRIM(MID(SUBSTITUTE(SUBSTITUTE(SUBSTITUTE(UPPER($L8)," ",""),"F",""),";",REPT(" ",30)),211,30))),0)))))</f>
        <v/>
      </c>
      <c r="O8" s="24" t="n"/>
      <c r="P8" s="8" t="n"/>
      <c r="Q8" s="14" t="n"/>
      <c r="R8" s="25">
        <f>IF($C8="","",IF($E8="Falta","-",MAX(0,MIN(10,5+IFERROR(VALUE(TRIM(MID(SUBSTITUTE(SUBSTITUTE(SUBSTITUTE(UPPER($P8)," ",""),"C",""),";",REPT(" ",30)),1,30))),0)+IFERROR(VALUE(TRIM(MID(SUBSTITUTE(SUBSTITUTE(SUBSTITUTE(UPPER($P8)," ",""),"C",""),";",REPT(" ",30)),31,30))),0)+IFERROR(VALUE(TRIM(MID(SUBSTITUTE(SUBSTITUTE(SUBSTITUTE(UPPER($P8)," ",""),"C",""),";",REPT(" ",30)),61,30))),0)+IFERROR(VALUE(TRIM(MID(SUBSTITUTE(SUBSTITUTE(SUBSTITUTE(UPPER($P8)," ",""),"C",""),";",REPT(" ",30)),91,30))),0)+IFERROR(VALUE(TRIM(MID(SUBSTITUTE(SUBSTITUTE(SUBSTITUTE(UPPER($P8)," ",""),"C",""),";",REPT(" ",30)),121,30))),0)+IFERROR(VALUE(TRIM(MID(SUBSTITUTE(SUBSTITUTE(SUBSTITUTE(UPPER($P8)," ",""),"C",""),";",REPT(" ",30)),151,30))),0)+IFERROR(VALUE(TRIM(MID(SUBSTITUTE(SUBSTITUTE(SUBSTITUTE(UPPER($P8)," ",""),"C",""),";",REPT(" ",30)),181,30))),0)+IFERROR(VALUE(TRIM(MID(SUBSTITUTE(SUBSTITUTE(SUBSTITUTE(UPPER($P8)," ",""),"C",""),";",REPT(" ",30)),211,30))),0)))))</f>
        <v/>
      </c>
      <c r="S8" s="24" t="n"/>
      <c r="T8" s="8" t="n"/>
      <c r="U8" s="14" t="n"/>
      <c r="V8" s="25">
        <f>IF($C8="","",IF($E8="Falta","-",MAX(0,MIN(10,5+IFERROR(VALUE(TRIM(MID(SUBSTITUTE(SUBSTITUTE(SUBSTITUTE(UPPER($T8)," ",""),"P",""),";",REPT(" ",30)),1,30))),0)+IFERROR(VALUE(TRIM(MID(SUBSTITUTE(SUBSTITUTE(SUBSTITUTE(UPPER($T8)," ",""),"P",""),";",REPT(" ",30)),31,30))),0)+IFERROR(VALUE(TRIM(MID(SUBSTITUTE(SUBSTITUTE(SUBSTITUTE(UPPER($T8)," ",""),"P",""),";",REPT(" ",30)),61,30))),0)+IFERROR(VALUE(TRIM(MID(SUBSTITUTE(SUBSTITUTE(SUBSTITUTE(UPPER($T8)," ",""),"P",""),";",REPT(" ",30)),91,30))),0)+IFERROR(VALUE(TRIM(MID(SUBSTITUTE(SUBSTITUTE(SUBSTITUTE(UPPER($T8)," ",""),"P",""),";",REPT(" ",30)),121,30))),0)+IFERROR(VALUE(TRIM(MID(SUBSTITUTE(SUBSTITUTE(SUBSTITUTE(UPPER($T8)," ",""),"P",""),";",REPT(" ",30)),151,30))),0)+IFERROR(VALUE(TRIM(MID(SUBSTITUTE(SUBSTITUTE(SUBSTITUTE(UPPER($T8)," ",""),"P",""),";",REPT(" ",30)),181,30))),0)+IFERROR(VALUE(TRIM(MID(SUBSTITUTE(SUBSTITUTE(SUBSTITUTE(UPPER($T8)," ",""),"P",""),";",REPT(" ",30)),211,30))),0)))))</f>
        <v/>
      </c>
      <c r="W8" s="24" t="n"/>
      <c r="X8" s="14" t="n"/>
    </row>
    <row r="9">
      <c r="A9" s="6">
        <f>IF($C9="","",2)</f>
        <v/>
      </c>
      <c r="B9" s="6">
        <f>IF($C9="","","1ª Sessão")</f>
        <v/>
      </c>
      <c r="C9" s="6">
        <f>IF(Preenchimento!$B$11="","",Preenchimento!$B$11)</f>
        <v/>
      </c>
      <c r="D9" s="6">
        <f>IF($C9="","",IF(Preenchimento!$C$11="","-",Preenchimento!$C$11))</f>
        <v/>
      </c>
      <c r="E9" s="6" t="n"/>
      <c r="F9" s="6" t="n"/>
      <c r="G9" s="26" t="n"/>
      <c r="H9" s="6" t="n"/>
      <c r="I9" s="13" t="n"/>
      <c r="J9" s="27">
        <f>IF($C9="","",IF($E9="Falta","-",MAX(0,MIN(10,8+IFERROR(VALUE(TRIM(MID(SUBSTITUTE(SUBSTITUTE(SUBSTITUTE(UPPER($H9)," ",""),"D",""),";",REPT(" ",30)),1,30))),0)+IFERROR(VALUE(TRIM(MID(SUBSTITUTE(SUBSTITUTE(SUBSTITUTE(UPPER($H9)," ",""),"D",""),";",REPT(" ",30)),31,30))),0)+IFERROR(VALUE(TRIM(MID(SUBSTITUTE(SUBSTITUTE(SUBSTITUTE(UPPER($H9)," ",""),"D",""),";",REPT(" ",30)),61,30))),0)+IFERROR(VALUE(TRIM(MID(SUBSTITUTE(SUBSTITUTE(SUBSTITUTE(UPPER($H9)," ",""),"D",""),";",REPT(" ",30)),91,30))),0)+IFERROR(VALUE(TRIM(MID(SUBSTITUTE(SUBSTITUTE(SUBSTITUTE(UPPER($H9)," ",""),"D",""),";",REPT(" ",30)),121,30))),0)+IFERROR(VALUE(TRIM(MID(SUBSTITUTE(SUBSTITUTE(SUBSTITUTE(UPPER($H9)," ",""),"D",""),";",REPT(" ",30)),151,30))),0)+IFERROR(VALUE(TRIM(MID(SUBSTITUTE(SUBSTITUTE(SUBSTITUTE(UPPER($H9)," ",""),"D",""),";",REPT(" ",30)),181,30))),0)+IFERROR(VALUE(TRIM(MID(SUBSTITUTE(SUBSTITUTE(SUBSTITUTE(UPPER($H9)," ",""),"D",""),";",REPT(" ",30)),211,30))),0)))))</f>
        <v/>
      </c>
      <c r="K9" s="26" t="n"/>
      <c r="L9" s="6" t="n"/>
      <c r="M9" s="13" t="n"/>
      <c r="N9" s="27">
        <f>IF($C9="","",IF($E9="Falta","-",MAX(0,MIN(10,8+IFERROR(VALUE(TRIM(MID(SUBSTITUTE(SUBSTITUTE(SUBSTITUTE(UPPER($L9)," ",""),"F",""),";",REPT(" ",30)),1,30))),0)+IFERROR(VALUE(TRIM(MID(SUBSTITUTE(SUBSTITUTE(SUBSTITUTE(UPPER($L9)," ",""),"F",""),";",REPT(" ",30)),31,30))),0)+IFERROR(VALUE(TRIM(MID(SUBSTITUTE(SUBSTITUTE(SUBSTITUTE(UPPER($L9)," ",""),"F",""),";",REPT(" ",30)),61,30))),0)+IFERROR(VALUE(TRIM(MID(SUBSTITUTE(SUBSTITUTE(SUBSTITUTE(UPPER($L9)," ",""),"F",""),";",REPT(" ",30)),91,30))),0)+IFERROR(VALUE(TRIM(MID(SUBSTITUTE(SUBSTITUTE(SUBSTITUTE(UPPER($L9)," ",""),"F",""),";",REPT(" ",30)),121,30))),0)+IFERROR(VALUE(TRIM(MID(SUBSTITUTE(SUBSTITUTE(SUBSTITUTE(UPPER($L9)," ",""),"F",""),";",REPT(" ",30)),151,30))),0)+IFERROR(VALUE(TRIM(MID(SUBSTITUTE(SUBSTITUTE(SUBSTITUTE(UPPER($L9)," ",""),"F",""),";",REPT(" ",30)),181,30))),0)+IFERROR(VALUE(TRIM(MID(SUBSTITUTE(SUBSTITUTE(SUBSTITUTE(UPPER($L9)," ",""),"F",""),";",REPT(" ",30)),211,30))),0)))))</f>
        <v/>
      </c>
      <c r="O9" s="26" t="n"/>
      <c r="P9" s="6" t="n"/>
      <c r="Q9" s="13" t="n"/>
      <c r="R9" s="27">
        <f>IF($C9="","",IF($E9="Falta","-",MAX(0,MIN(10,5+IFERROR(VALUE(TRIM(MID(SUBSTITUTE(SUBSTITUTE(SUBSTITUTE(UPPER($P9)," ",""),"C",""),";",REPT(" ",30)),1,30))),0)+IFERROR(VALUE(TRIM(MID(SUBSTITUTE(SUBSTITUTE(SUBSTITUTE(UPPER($P9)," ",""),"C",""),";",REPT(" ",30)),31,30))),0)+IFERROR(VALUE(TRIM(MID(SUBSTITUTE(SUBSTITUTE(SUBSTITUTE(UPPER($P9)," ",""),"C",""),";",REPT(" ",30)),61,30))),0)+IFERROR(VALUE(TRIM(MID(SUBSTITUTE(SUBSTITUTE(SUBSTITUTE(UPPER($P9)," ",""),"C",""),";",REPT(" ",30)),91,30))),0)+IFERROR(VALUE(TRIM(MID(SUBSTITUTE(SUBSTITUTE(SUBSTITUTE(UPPER($P9)," ",""),"C",""),";",REPT(" ",30)),121,30))),0)+IFERROR(VALUE(TRIM(MID(SUBSTITUTE(SUBSTITUTE(SUBSTITUTE(UPPER($P9)," ",""),"C",""),";",REPT(" ",30)),151,30))),0)+IFERROR(VALUE(TRIM(MID(SUBSTITUTE(SUBSTITUTE(SUBSTITUTE(UPPER($P9)," ",""),"C",""),";",REPT(" ",30)),181,30))),0)+IFERROR(VALUE(TRIM(MID(SUBSTITUTE(SUBSTITUTE(SUBSTITUTE(UPPER($P9)," ",""),"C",""),";",REPT(" ",30)),211,30))),0)))))</f>
        <v/>
      </c>
      <c r="S9" s="26" t="n"/>
      <c r="T9" s="6" t="n"/>
      <c r="U9" s="13" t="n"/>
      <c r="V9" s="27">
        <f>IF($C9="","",IF($E9="Falta","-",MAX(0,MIN(10,5+IFERROR(VALUE(TRIM(MID(SUBSTITUTE(SUBSTITUTE(SUBSTITUTE(UPPER($T9)," ",""),"P",""),";",REPT(" ",30)),1,30))),0)+IFERROR(VALUE(TRIM(MID(SUBSTITUTE(SUBSTITUTE(SUBSTITUTE(UPPER($T9)," ",""),"P",""),";",REPT(" ",30)),31,30))),0)+IFERROR(VALUE(TRIM(MID(SUBSTITUTE(SUBSTITUTE(SUBSTITUTE(UPPER($T9)," ",""),"P",""),";",REPT(" ",30)),61,30))),0)+IFERROR(VALUE(TRIM(MID(SUBSTITUTE(SUBSTITUTE(SUBSTITUTE(UPPER($T9)," ",""),"P",""),";",REPT(" ",30)),91,30))),0)+IFERROR(VALUE(TRIM(MID(SUBSTITUTE(SUBSTITUTE(SUBSTITUTE(UPPER($T9)," ",""),"P",""),";",REPT(" ",30)),121,30))),0)+IFERROR(VALUE(TRIM(MID(SUBSTITUTE(SUBSTITUTE(SUBSTITUTE(UPPER($T9)," ",""),"P",""),";",REPT(" ",30)),151,30))),0)+IFERROR(VALUE(TRIM(MID(SUBSTITUTE(SUBSTITUTE(SUBSTITUTE(UPPER($T9)," ",""),"P",""),";",REPT(" ",30)),181,30))),0)+IFERROR(VALUE(TRIM(MID(SUBSTITUTE(SUBSTITUTE(SUBSTITUTE(UPPER($T9)," ",""),"P",""),";",REPT(" ",30)),211,30))),0)))))</f>
        <v/>
      </c>
      <c r="W9" s="26" t="n"/>
      <c r="X9" s="13" t="n"/>
    </row>
    <row r="10">
      <c r="A10" s="6">
        <f>IF($C10="","",2)</f>
        <v/>
      </c>
      <c r="B10" s="6">
        <f>IF($C10="","","2ª Sessão")</f>
        <v/>
      </c>
      <c r="C10" s="6">
        <f>IF(Preenchimento!$B$11="","",Preenchimento!$B$11)</f>
        <v/>
      </c>
      <c r="D10" s="6">
        <f>IF($C10="","",IF(Preenchimento!$C$11="","-",Preenchimento!$C$11))</f>
        <v/>
      </c>
      <c r="E10" s="6" t="n"/>
      <c r="F10" s="6" t="n"/>
      <c r="G10" s="26" t="n"/>
      <c r="H10" s="6" t="n"/>
      <c r="I10" s="13" t="n"/>
      <c r="J10" s="27">
        <f>IF($C10="","",IF($E10="Falta","-",MAX(0,MIN(10,8+IFERROR(VALUE(TRIM(MID(SUBSTITUTE(SUBSTITUTE(SUBSTITUTE(UPPER($H10)," ",""),"D",""),";",REPT(" ",30)),1,30))),0)+IFERROR(VALUE(TRIM(MID(SUBSTITUTE(SUBSTITUTE(SUBSTITUTE(UPPER($H10)," ",""),"D",""),";",REPT(" ",30)),31,30))),0)+IFERROR(VALUE(TRIM(MID(SUBSTITUTE(SUBSTITUTE(SUBSTITUTE(UPPER($H10)," ",""),"D",""),";",REPT(" ",30)),61,30))),0)+IFERROR(VALUE(TRIM(MID(SUBSTITUTE(SUBSTITUTE(SUBSTITUTE(UPPER($H10)," ",""),"D",""),";",REPT(" ",30)),91,30))),0)+IFERROR(VALUE(TRIM(MID(SUBSTITUTE(SUBSTITUTE(SUBSTITUTE(UPPER($H10)," ",""),"D",""),";",REPT(" ",30)),121,30))),0)+IFERROR(VALUE(TRIM(MID(SUBSTITUTE(SUBSTITUTE(SUBSTITUTE(UPPER($H10)," ",""),"D",""),";",REPT(" ",30)),151,30))),0)+IFERROR(VALUE(TRIM(MID(SUBSTITUTE(SUBSTITUTE(SUBSTITUTE(UPPER($H10)," ",""),"D",""),";",REPT(" ",30)),181,30))),0)+IFERROR(VALUE(TRIM(MID(SUBSTITUTE(SUBSTITUTE(SUBSTITUTE(UPPER($H10)," ",""),"D",""),";",REPT(" ",30)),211,30))),0)))))</f>
        <v/>
      </c>
      <c r="K10" s="26" t="n"/>
      <c r="L10" s="6" t="n"/>
      <c r="M10" s="13" t="n"/>
      <c r="N10" s="27">
        <f>IF($C10="","",IF($E10="Falta","-",MAX(0,MIN(10,8+IFERROR(VALUE(TRIM(MID(SUBSTITUTE(SUBSTITUTE(SUBSTITUTE(UPPER($L10)," ",""),"F",""),";",REPT(" ",30)),1,30))),0)+IFERROR(VALUE(TRIM(MID(SUBSTITUTE(SUBSTITUTE(SUBSTITUTE(UPPER($L10)," ",""),"F",""),";",REPT(" ",30)),31,30))),0)+IFERROR(VALUE(TRIM(MID(SUBSTITUTE(SUBSTITUTE(SUBSTITUTE(UPPER($L10)," ",""),"F",""),";",REPT(" ",30)),61,30))),0)+IFERROR(VALUE(TRIM(MID(SUBSTITUTE(SUBSTITUTE(SUBSTITUTE(UPPER($L10)," ",""),"F",""),";",REPT(" ",30)),91,30))),0)+IFERROR(VALUE(TRIM(MID(SUBSTITUTE(SUBSTITUTE(SUBSTITUTE(UPPER($L10)," ",""),"F",""),";",REPT(" ",30)),121,30))),0)+IFERROR(VALUE(TRIM(MID(SUBSTITUTE(SUBSTITUTE(SUBSTITUTE(UPPER($L10)," ",""),"F",""),";",REPT(" ",30)),151,30))),0)+IFERROR(VALUE(TRIM(MID(SUBSTITUTE(SUBSTITUTE(SUBSTITUTE(UPPER($L10)," ",""),"F",""),";",REPT(" ",30)),181,30))),0)+IFERROR(VALUE(TRIM(MID(SUBSTITUTE(SUBSTITUTE(SUBSTITUTE(UPPER($L10)," ",""),"F",""),";",REPT(" ",30)),211,30))),0)))))</f>
        <v/>
      </c>
      <c r="O10" s="26" t="n"/>
      <c r="P10" s="6" t="n"/>
      <c r="Q10" s="13" t="n"/>
      <c r="R10" s="27">
        <f>IF($C10="","",IF($E10="Falta","-",MAX(0,MIN(10,5+IFERROR(VALUE(TRIM(MID(SUBSTITUTE(SUBSTITUTE(SUBSTITUTE(UPPER($P10)," ",""),"C",""),";",REPT(" ",30)),1,30))),0)+IFERROR(VALUE(TRIM(MID(SUBSTITUTE(SUBSTITUTE(SUBSTITUTE(UPPER($P10)," ",""),"C",""),";",REPT(" ",30)),31,30))),0)+IFERROR(VALUE(TRIM(MID(SUBSTITUTE(SUBSTITUTE(SUBSTITUTE(UPPER($P10)," ",""),"C",""),";",REPT(" ",30)),61,30))),0)+IFERROR(VALUE(TRIM(MID(SUBSTITUTE(SUBSTITUTE(SUBSTITUTE(UPPER($P10)," ",""),"C",""),";",REPT(" ",30)),91,30))),0)+IFERROR(VALUE(TRIM(MID(SUBSTITUTE(SUBSTITUTE(SUBSTITUTE(UPPER($P10)," ",""),"C",""),";",REPT(" ",30)),121,30))),0)+IFERROR(VALUE(TRIM(MID(SUBSTITUTE(SUBSTITUTE(SUBSTITUTE(UPPER($P10)," ",""),"C",""),";",REPT(" ",30)),151,30))),0)+IFERROR(VALUE(TRIM(MID(SUBSTITUTE(SUBSTITUTE(SUBSTITUTE(UPPER($P10)," ",""),"C",""),";",REPT(" ",30)),181,30))),0)+IFERROR(VALUE(TRIM(MID(SUBSTITUTE(SUBSTITUTE(SUBSTITUTE(UPPER($P10)," ",""),"C",""),";",REPT(" ",30)),211,30))),0)))))</f>
        <v/>
      </c>
      <c r="S10" s="26" t="n"/>
      <c r="T10" s="6" t="n"/>
      <c r="U10" s="13" t="n"/>
      <c r="V10" s="27">
        <f>IF($C10="","",IF($E10="Falta","-",MAX(0,MIN(10,5+IFERROR(VALUE(TRIM(MID(SUBSTITUTE(SUBSTITUTE(SUBSTITUTE(UPPER($T10)," ",""),"P",""),";",REPT(" ",30)),1,30))),0)+IFERROR(VALUE(TRIM(MID(SUBSTITUTE(SUBSTITUTE(SUBSTITUTE(UPPER($T10)," ",""),"P",""),";",REPT(" ",30)),31,30))),0)+IFERROR(VALUE(TRIM(MID(SUBSTITUTE(SUBSTITUTE(SUBSTITUTE(UPPER($T10)," ",""),"P",""),";",REPT(" ",30)),61,30))),0)+IFERROR(VALUE(TRIM(MID(SUBSTITUTE(SUBSTITUTE(SUBSTITUTE(UPPER($T10)," ",""),"P",""),";",REPT(" ",30)),91,30))),0)+IFERROR(VALUE(TRIM(MID(SUBSTITUTE(SUBSTITUTE(SUBSTITUTE(UPPER($T10)," ",""),"P",""),";",REPT(" ",30)),121,30))),0)+IFERROR(VALUE(TRIM(MID(SUBSTITUTE(SUBSTITUTE(SUBSTITUTE(UPPER($T10)," ",""),"P",""),";",REPT(" ",30)),151,30))),0)+IFERROR(VALUE(TRIM(MID(SUBSTITUTE(SUBSTITUTE(SUBSTITUTE(UPPER($T10)," ",""),"P",""),";",REPT(" ",30)),181,30))),0)+IFERROR(VALUE(TRIM(MID(SUBSTITUTE(SUBSTITUTE(SUBSTITUTE(UPPER($T10)," ",""),"P",""),";",REPT(" ",30)),211,30))),0)))))</f>
        <v/>
      </c>
      <c r="W10" s="26" t="n"/>
      <c r="X10" s="13" t="n"/>
    </row>
    <row r="11">
      <c r="A11" s="6">
        <f>IF($C11="","",2)</f>
        <v/>
      </c>
      <c r="B11" s="6">
        <f>IF($C11="","","3ª Sessão")</f>
        <v/>
      </c>
      <c r="C11" s="6">
        <f>IF(Preenchimento!$B$11="","",Preenchimento!$B$11)</f>
        <v/>
      </c>
      <c r="D11" s="6">
        <f>IF($C11="","",IF(Preenchimento!$C$11="","-",Preenchimento!$C$11))</f>
        <v/>
      </c>
      <c r="E11" s="6" t="n"/>
      <c r="F11" s="6" t="n"/>
      <c r="G11" s="26" t="n"/>
      <c r="H11" s="6" t="n"/>
      <c r="I11" s="13" t="n"/>
      <c r="J11" s="27">
        <f>IF($C11="","",IF($E11="Falta","-",MAX(0,MIN(10,8+IFERROR(VALUE(TRIM(MID(SUBSTITUTE(SUBSTITUTE(SUBSTITUTE(UPPER($H11)," ",""),"D",""),";",REPT(" ",30)),1,30))),0)+IFERROR(VALUE(TRIM(MID(SUBSTITUTE(SUBSTITUTE(SUBSTITUTE(UPPER($H11)," ",""),"D",""),";",REPT(" ",30)),31,30))),0)+IFERROR(VALUE(TRIM(MID(SUBSTITUTE(SUBSTITUTE(SUBSTITUTE(UPPER($H11)," ",""),"D",""),";",REPT(" ",30)),61,30))),0)+IFERROR(VALUE(TRIM(MID(SUBSTITUTE(SUBSTITUTE(SUBSTITUTE(UPPER($H11)," ",""),"D",""),";",REPT(" ",30)),91,30))),0)+IFERROR(VALUE(TRIM(MID(SUBSTITUTE(SUBSTITUTE(SUBSTITUTE(UPPER($H11)," ",""),"D",""),";",REPT(" ",30)),121,30))),0)+IFERROR(VALUE(TRIM(MID(SUBSTITUTE(SUBSTITUTE(SUBSTITUTE(UPPER($H11)," ",""),"D",""),";",REPT(" ",30)),151,30))),0)+IFERROR(VALUE(TRIM(MID(SUBSTITUTE(SUBSTITUTE(SUBSTITUTE(UPPER($H11)," ",""),"D",""),";",REPT(" ",30)),181,30))),0)+IFERROR(VALUE(TRIM(MID(SUBSTITUTE(SUBSTITUTE(SUBSTITUTE(UPPER($H11)," ",""),"D",""),";",REPT(" ",30)),211,30))),0)))))</f>
        <v/>
      </c>
      <c r="K11" s="26" t="n"/>
      <c r="L11" s="6" t="n"/>
      <c r="M11" s="13" t="n"/>
      <c r="N11" s="27">
        <f>IF($C11="","",IF($E11="Falta","-",MAX(0,MIN(10,8+IFERROR(VALUE(TRIM(MID(SUBSTITUTE(SUBSTITUTE(SUBSTITUTE(UPPER($L11)," ",""),"F",""),";",REPT(" ",30)),1,30))),0)+IFERROR(VALUE(TRIM(MID(SUBSTITUTE(SUBSTITUTE(SUBSTITUTE(UPPER($L11)," ",""),"F",""),";",REPT(" ",30)),31,30))),0)+IFERROR(VALUE(TRIM(MID(SUBSTITUTE(SUBSTITUTE(SUBSTITUTE(UPPER($L11)," ",""),"F",""),";",REPT(" ",30)),61,30))),0)+IFERROR(VALUE(TRIM(MID(SUBSTITUTE(SUBSTITUTE(SUBSTITUTE(UPPER($L11)," ",""),"F",""),";",REPT(" ",30)),91,30))),0)+IFERROR(VALUE(TRIM(MID(SUBSTITUTE(SUBSTITUTE(SUBSTITUTE(UPPER($L11)," ",""),"F",""),";",REPT(" ",30)),121,30))),0)+IFERROR(VALUE(TRIM(MID(SUBSTITUTE(SUBSTITUTE(SUBSTITUTE(UPPER($L11)," ",""),"F",""),";",REPT(" ",30)),151,30))),0)+IFERROR(VALUE(TRIM(MID(SUBSTITUTE(SUBSTITUTE(SUBSTITUTE(UPPER($L11)," ",""),"F",""),";",REPT(" ",30)),181,30))),0)+IFERROR(VALUE(TRIM(MID(SUBSTITUTE(SUBSTITUTE(SUBSTITUTE(UPPER($L11)," ",""),"F",""),";",REPT(" ",30)),211,30))),0)))))</f>
        <v/>
      </c>
      <c r="O11" s="26" t="n"/>
      <c r="P11" s="6" t="n"/>
      <c r="Q11" s="13" t="n"/>
      <c r="R11" s="27">
        <f>IF($C11="","",IF($E11="Falta","-",MAX(0,MIN(10,5+IFERROR(VALUE(TRIM(MID(SUBSTITUTE(SUBSTITUTE(SUBSTITUTE(UPPER($P11)," ",""),"C",""),";",REPT(" ",30)),1,30))),0)+IFERROR(VALUE(TRIM(MID(SUBSTITUTE(SUBSTITUTE(SUBSTITUTE(UPPER($P11)," ",""),"C",""),";",REPT(" ",30)),31,30))),0)+IFERROR(VALUE(TRIM(MID(SUBSTITUTE(SUBSTITUTE(SUBSTITUTE(UPPER($P11)," ",""),"C",""),";",REPT(" ",30)),61,30))),0)+IFERROR(VALUE(TRIM(MID(SUBSTITUTE(SUBSTITUTE(SUBSTITUTE(UPPER($P11)," ",""),"C",""),";",REPT(" ",30)),91,30))),0)+IFERROR(VALUE(TRIM(MID(SUBSTITUTE(SUBSTITUTE(SUBSTITUTE(UPPER($P11)," ",""),"C",""),";",REPT(" ",30)),121,30))),0)+IFERROR(VALUE(TRIM(MID(SUBSTITUTE(SUBSTITUTE(SUBSTITUTE(UPPER($P11)," ",""),"C",""),";",REPT(" ",30)),151,30))),0)+IFERROR(VALUE(TRIM(MID(SUBSTITUTE(SUBSTITUTE(SUBSTITUTE(UPPER($P11)," ",""),"C",""),";",REPT(" ",30)),181,30))),0)+IFERROR(VALUE(TRIM(MID(SUBSTITUTE(SUBSTITUTE(SUBSTITUTE(UPPER($P11)," ",""),"C",""),";",REPT(" ",30)),211,30))),0)))))</f>
        <v/>
      </c>
      <c r="S11" s="26" t="n"/>
      <c r="T11" s="6" t="n"/>
      <c r="U11" s="13" t="n"/>
      <c r="V11" s="27">
        <f>IF($C11="","",IF($E11="Falta","-",MAX(0,MIN(10,5+IFERROR(VALUE(TRIM(MID(SUBSTITUTE(SUBSTITUTE(SUBSTITUTE(UPPER($T11)," ",""),"P",""),";",REPT(" ",30)),1,30))),0)+IFERROR(VALUE(TRIM(MID(SUBSTITUTE(SUBSTITUTE(SUBSTITUTE(UPPER($T11)," ",""),"P",""),";",REPT(" ",30)),31,30))),0)+IFERROR(VALUE(TRIM(MID(SUBSTITUTE(SUBSTITUTE(SUBSTITUTE(UPPER($T11)," ",""),"P",""),";",REPT(" ",30)),61,30))),0)+IFERROR(VALUE(TRIM(MID(SUBSTITUTE(SUBSTITUTE(SUBSTITUTE(UPPER($T11)," ",""),"P",""),";",REPT(" ",30)),91,30))),0)+IFERROR(VALUE(TRIM(MID(SUBSTITUTE(SUBSTITUTE(SUBSTITUTE(UPPER($T11)," ",""),"P",""),";",REPT(" ",30)),121,30))),0)+IFERROR(VALUE(TRIM(MID(SUBSTITUTE(SUBSTITUTE(SUBSTITUTE(UPPER($T11)," ",""),"P",""),";",REPT(" ",30)),151,30))),0)+IFERROR(VALUE(TRIM(MID(SUBSTITUTE(SUBSTITUTE(SUBSTITUTE(UPPER($T11)," ",""),"P",""),";",REPT(" ",30)),181,30))),0)+IFERROR(VALUE(TRIM(MID(SUBSTITUTE(SUBSTITUTE(SUBSTITUTE(UPPER($T11)," ",""),"P",""),";",REPT(" ",30)),211,30))),0)))))</f>
        <v/>
      </c>
      <c r="W11" s="26" t="n"/>
      <c r="X11" s="13" t="n"/>
    </row>
    <row r="12">
      <c r="A12" s="6">
        <f>IF($C12="","",2)</f>
        <v/>
      </c>
      <c r="B12" s="6">
        <f>IF($C12="","","4ª Sessão")</f>
        <v/>
      </c>
      <c r="C12" s="6">
        <f>IF(Preenchimento!$B$11="","",Preenchimento!$B$11)</f>
        <v/>
      </c>
      <c r="D12" s="6">
        <f>IF($C12="","",IF(Preenchimento!$C$11="","-",Preenchimento!$C$11))</f>
        <v/>
      </c>
      <c r="E12" s="6" t="n"/>
      <c r="F12" s="6" t="n"/>
      <c r="G12" s="26" t="n"/>
      <c r="H12" s="6" t="n"/>
      <c r="I12" s="13" t="n"/>
      <c r="J12" s="27">
        <f>IF($C12="","",IF($E12="Falta","-",MAX(0,MIN(10,8+IFERROR(VALUE(TRIM(MID(SUBSTITUTE(SUBSTITUTE(SUBSTITUTE(UPPER($H12)," ",""),"D",""),";",REPT(" ",30)),1,30))),0)+IFERROR(VALUE(TRIM(MID(SUBSTITUTE(SUBSTITUTE(SUBSTITUTE(UPPER($H12)," ",""),"D",""),";",REPT(" ",30)),31,30))),0)+IFERROR(VALUE(TRIM(MID(SUBSTITUTE(SUBSTITUTE(SUBSTITUTE(UPPER($H12)," ",""),"D",""),";",REPT(" ",30)),61,30))),0)+IFERROR(VALUE(TRIM(MID(SUBSTITUTE(SUBSTITUTE(SUBSTITUTE(UPPER($H12)," ",""),"D",""),";",REPT(" ",30)),91,30))),0)+IFERROR(VALUE(TRIM(MID(SUBSTITUTE(SUBSTITUTE(SUBSTITUTE(UPPER($H12)," ",""),"D",""),";",REPT(" ",30)),121,30))),0)+IFERROR(VALUE(TRIM(MID(SUBSTITUTE(SUBSTITUTE(SUBSTITUTE(UPPER($H12)," ",""),"D",""),";",REPT(" ",30)),151,30))),0)+IFERROR(VALUE(TRIM(MID(SUBSTITUTE(SUBSTITUTE(SUBSTITUTE(UPPER($H12)," ",""),"D",""),";",REPT(" ",30)),181,30))),0)+IFERROR(VALUE(TRIM(MID(SUBSTITUTE(SUBSTITUTE(SUBSTITUTE(UPPER($H12)," ",""),"D",""),";",REPT(" ",30)),211,30))),0)))))</f>
        <v/>
      </c>
      <c r="K12" s="26" t="n"/>
      <c r="L12" s="6" t="n"/>
      <c r="M12" s="13" t="n"/>
      <c r="N12" s="27">
        <f>IF($C12="","",IF($E12="Falta","-",MAX(0,MIN(10,8+IFERROR(VALUE(TRIM(MID(SUBSTITUTE(SUBSTITUTE(SUBSTITUTE(UPPER($L12)," ",""),"F",""),";",REPT(" ",30)),1,30))),0)+IFERROR(VALUE(TRIM(MID(SUBSTITUTE(SUBSTITUTE(SUBSTITUTE(UPPER($L12)," ",""),"F",""),";",REPT(" ",30)),31,30))),0)+IFERROR(VALUE(TRIM(MID(SUBSTITUTE(SUBSTITUTE(SUBSTITUTE(UPPER($L12)," ",""),"F",""),";",REPT(" ",30)),61,30))),0)+IFERROR(VALUE(TRIM(MID(SUBSTITUTE(SUBSTITUTE(SUBSTITUTE(UPPER($L12)," ",""),"F",""),";",REPT(" ",30)),91,30))),0)+IFERROR(VALUE(TRIM(MID(SUBSTITUTE(SUBSTITUTE(SUBSTITUTE(UPPER($L12)," ",""),"F",""),";",REPT(" ",30)),121,30))),0)+IFERROR(VALUE(TRIM(MID(SUBSTITUTE(SUBSTITUTE(SUBSTITUTE(UPPER($L12)," ",""),"F",""),";",REPT(" ",30)),151,30))),0)+IFERROR(VALUE(TRIM(MID(SUBSTITUTE(SUBSTITUTE(SUBSTITUTE(UPPER($L12)," ",""),"F",""),";",REPT(" ",30)),181,30))),0)+IFERROR(VALUE(TRIM(MID(SUBSTITUTE(SUBSTITUTE(SUBSTITUTE(UPPER($L12)," ",""),"F",""),";",REPT(" ",30)),211,30))),0)))))</f>
        <v/>
      </c>
      <c r="O12" s="26" t="n"/>
      <c r="P12" s="6" t="n"/>
      <c r="Q12" s="13" t="n"/>
      <c r="R12" s="27">
        <f>IF($C12="","",IF($E12="Falta","-",MAX(0,MIN(10,5+IFERROR(VALUE(TRIM(MID(SUBSTITUTE(SUBSTITUTE(SUBSTITUTE(UPPER($P12)," ",""),"C",""),";",REPT(" ",30)),1,30))),0)+IFERROR(VALUE(TRIM(MID(SUBSTITUTE(SUBSTITUTE(SUBSTITUTE(UPPER($P12)," ",""),"C",""),";",REPT(" ",30)),31,30))),0)+IFERROR(VALUE(TRIM(MID(SUBSTITUTE(SUBSTITUTE(SUBSTITUTE(UPPER($P12)," ",""),"C",""),";",REPT(" ",30)),61,30))),0)+IFERROR(VALUE(TRIM(MID(SUBSTITUTE(SUBSTITUTE(SUBSTITUTE(UPPER($P12)," ",""),"C",""),";",REPT(" ",30)),91,30))),0)+IFERROR(VALUE(TRIM(MID(SUBSTITUTE(SUBSTITUTE(SUBSTITUTE(UPPER($P12)," ",""),"C",""),";",REPT(" ",30)),121,30))),0)+IFERROR(VALUE(TRIM(MID(SUBSTITUTE(SUBSTITUTE(SUBSTITUTE(UPPER($P12)," ",""),"C",""),";",REPT(" ",30)),151,30))),0)+IFERROR(VALUE(TRIM(MID(SUBSTITUTE(SUBSTITUTE(SUBSTITUTE(UPPER($P12)," ",""),"C",""),";",REPT(" ",30)),181,30))),0)+IFERROR(VALUE(TRIM(MID(SUBSTITUTE(SUBSTITUTE(SUBSTITUTE(UPPER($P12)," ",""),"C",""),";",REPT(" ",30)),211,30))),0)))))</f>
        <v/>
      </c>
      <c r="S12" s="26" t="n"/>
      <c r="T12" s="6" t="n"/>
      <c r="U12" s="13" t="n"/>
      <c r="V12" s="27">
        <f>IF($C12="","",IF($E12="Falta","-",MAX(0,MIN(10,5+IFERROR(VALUE(TRIM(MID(SUBSTITUTE(SUBSTITUTE(SUBSTITUTE(UPPER($T12)," ",""),"P",""),";",REPT(" ",30)),1,30))),0)+IFERROR(VALUE(TRIM(MID(SUBSTITUTE(SUBSTITUTE(SUBSTITUTE(UPPER($T12)," ",""),"P",""),";",REPT(" ",30)),31,30))),0)+IFERROR(VALUE(TRIM(MID(SUBSTITUTE(SUBSTITUTE(SUBSTITUTE(UPPER($T12)," ",""),"P",""),";",REPT(" ",30)),61,30))),0)+IFERROR(VALUE(TRIM(MID(SUBSTITUTE(SUBSTITUTE(SUBSTITUTE(UPPER($T12)," ",""),"P",""),";",REPT(" ",30)),91,30))),0)+IFERROR(VALUE(TRIM(MID(SUBSTITUTE(SUBSTITUTE(SUBSTITUTE(UPPER($T12)," ",""),"P",""),";",REPT(" ",30)),121,30))),0)+IFERROR(VALUE(TRIM(MID(SUBSTITUTE(SUBSTITUTE(SUBSTITUTE(UPPER($T12)," ",""),"P",""),";",REPT(" ",30)),151,30))),0)+IFERROR(VALUE(TRIM(MID(SUBSTITUTE(SUBSTITUTE(SUBSTITUTE(UPPER($T12)," ",""),"P",""),";",REPT(" ",30)),181,30))),0)+IFERROR(VALUE(TRIM(MID(SUBSTITUTE(SUBSTITUTE(SUBSTITUTE(UPPER($T12)," ",""),"P",""),";",REPT(" ",30)),211,30))),0)))))</f>
        <v/>
      </c>
      <c r="W12" s="26" t="n"/>
      <c r="X12" s="13" t="n"/>
    </row>
    <row r="13">
      <c r="A13" s="6">
        <f>IF($C13="","",2)</f>
        <v/>
      </c>
      <c r="B13" s="6">
        <f>IF($C13="","","5ª Sessão")</f>
        <v/>
      </c>
      <c r="C13" s="6">
        <f>IF(Preenchimento!$B$11="","",Preenchimento!$B$11)</f>
        <v/>
      </c>
      <c r="D13" s="6">
        <f>IF($C13="","",IF(Preenchimento!$C$11="","-",Preenchimento!$C$11))</f>
        <v/>
      </c>
      <c r="E13" s="6" t="n"/>
      <c r="F13" s="6" t="n"/>
      <c r="G13" s="26" t="n"/>
      <c r="H13" s="6" t="n"/>
      <c r="I13" s="13" t="n"/>
      <c r="J13" s="27">
        <f>IF($C13="","",IF($E13="Falta","-",MAX(0,MIN(10,8+IFERROR(VALUE(TRIM(MID(SUBSTITUTE(SUBSTITUTE(SUBSTITUTE(UPPER($H13)," ",""),"D",""),";",REPT(" ",30)),1,30))),0)+IFERROR(VALUE(TRIM(MID(SUBSTITUTE(SUBSTITUTE(SUBSTITUTE(UPPER($H13)," ",""),"D",""),";",REPT(" ",30)),31,30))),0)+IFERROR(VALUE(TRIM(MID(SUBSTITUTE(SUBSTITUTE(SUBSTITUTE(UPPER($H13)," ",""),"D",""),";",REPT(" ",30)),61,30))),0)+IFERROR(VALUE(TRIM(MID(SUBSTITUTE(SUBSTITUTE(SUBSTITUTE(UPPER($H13)," ",""),"D",""),";",REPT(" ",30)),91,30))),0)+IFERROR(VALUE(TRIM(MID(SUBSTITUTE(SUBSTITUTE(SUBSTITUTE(UPPER($H13)," ",""),"D",""),";",REPT(" ",30)),121,30))),0)+IFERROR(VALUE(TRIM(MID(SUBSTITUTE(SUBSTITUTE(SUBSTITUTE(UPPER($H13)," ",""),"D",""),";",REPT(" ",30)),151,30))),0)+IFERROR(VALUE(TRIM(MID(SUBSTITUTE(SUBSTITUTE(SUBSTITUTE(UPPER($H13)," ",""),"D",""),";",REPT(" ",30)),181,30))),0)+IFERROR(VALUE(TRIM(MID(SUBSTITUTE(SUBSTITUTE(SUBSTITUTE(UPPER($H13)," ",""),"D",""),";",REPT(" ",30)),211,30))),0)))))</f>
        <v/>
      </c>
      <c r="K13" s="26" t="n"/>
      <c r="L13" s="6" t="n"/>
      <c r="M13" s="13" t="n"/>
      <c r="N13" s="27">
        <f>IF($C13="","",IF($E13="Falta","-",MAX(0,MIN(10,8+IFERROR(VALUE(TRIM(MID(SUBSTITUTE(SUBSTITUTE(SUBSTITUTE(UPPER($L13)," ",""),"F",""),";",REPT(" ",30)),1,30))),0)+IFERROR(VALUE(TRIM(MID(SUBSTITUTE(SUBSTITUTE(SUBSTITUTE(UPPER($L13)," ",""),"F",""),";",REPT(" ",30)),31,30))),0)+IFERROR(VALUE(TRIM(MID(SUBSTITUTE(SUBSTITUTE(SUBSTITUTE(UPPER($L13)," ",""),"F",""),";",REPT(" ",30)),61,30))),0)+IFERROR(VALUE(TRIM(MID(SUBSTITUTE(SUBSTITUTE(SUBSTITUTE(UPPER($L13)," ",""),"F",""),";",REPT(" ",30)),91,30))),0)+IFERROR(VALUE(TRIM(MID(SUBSTITUTE(SUBSTITUTE(SUBSTITUTE(UPPER($L13)," ",""),"F",""),";",REPT(" ",30)),121,30))),0)+IFERROR(VALUE(TRIM(MID(SUBSTITUTE(SUBSTITUTE(SUBSTITUTE(UPPER($L13)," ",""),"F",""),";",REPT(" ",30)),151,30))),0)+IFERROR(VALUE(TRIM(MID(SUBSTITUTE(SUBSTITUTE(SUBSTITUTE(UPPER($L13)," ",""),"F",""),";",REPT(" ",30)),181,30))),0)+IFERROR(VALUE(TRIM(MID(SUBSTITUTE(SUBSTITUTE(SUBSTITUTE(UPPER($L13)," ",""),"F",""),";",REPT(" ",30)),211,30))),0)))))</f>
        <v/>
      </c>
      <c r="O13" s="26" t="n"/>
      <c r="P13" s="6" t="n"/>
      <c r="Q13" s="13" t="n"/>
      <c r="R13" s="27">
        <f>IF($C13="","",IF($E13="Falta","-",MAX(0,MIN(10,5+IFERROR(VALUE(TRIM(MID(SUBSTITUTE(SUBSTITUTE(SUBSTITUTE(UPPER($P13)," ",""),"C",""),";",REPT(" ",30)),1,30))),0)+IFERROR(VALUE(TRIM(MID(SUBSTITUTE(SUBSTITUTE(SUBSTITUTE(UPPER($P13)," ",""),"C",""),";",REPT(" ",30)),31,30))),0)+IFERROR(VALUE(TRIM(MID(SUBSTITUTE(SUBSTITUTE(SUBSTITUTE(UPPER($P13)," ",""),"C",""),";",REPT(" ",30)),61,30))),0)+IFERROR(VALUE(TRIM(MID(SUBSTITUTE(SUBSTITUTE(SUBSTITUTE(UPPER($P13)," ",""),"C",""),";",REPT(" ",30)),91,30))),0)+IFERROR(VALUE(TRIM(MID(SUBSTITUTE(SUBSTITUTE(SUBSTITUTE(UPPER($P13)," ",""),"C",""),";",REPT(" ",30)),121,30))),0)+IFERROR(VALUE(TRIM(MID(SUBSTITUTE(SUBSTITUTE(SUBSTITUTE(UPPER($P13)," ",""),"C",""),";",REPT(" ",30)),151,30))),0)+IFERROR(VALUE(TRIM(MID(SUBSTITUTE(SUBSTITUTE(SUBSTITUTE(UPPER($P13)," ",""),"C",""),";",REPT(" ",30)),181,30))),0)+IFERROR(VALUE(TRIM(MID(SUBSTITUTE(SUBSTITUTE(SUBSTITUTE(UPPER($P13)," ",""),"C",""),";",REPT(" ",30)),211,30))),0)))))</f>
        <v/>
      </c>
      <c r="S13" s="26" t="n"/>
      <c r="T13" s="6" t="n"/>
      <c r="U13" s="13" t="n"/>
      <c r="V13" s="27">
        <f>IF($C13="","",IF($E13="Falta","-",MAX(0,MIN(10,5+IFERROR(VALUE(TRIM(MID(SUBSTITUTE(SUBSTITUTE(SUBSTITUTE(UPPER($T13)," ",""),"P",""),";",REPT(" ",30)),1,30))),0)+IFERROR(VALUE(TRIM(MID(SUBSTITUTE(SUBSTITUTE(SUBSTITUTE(UPPER($T13)," ",""),"P",""),";",REPT(" ",30)),31,30))),0)+IFERROR(VALUE(TRIM(MID(SUBSTITUTE(SUBSTITUTE(SUBSTITUTE(UPPER($T13)," ",""),"P",""),";",REPT(" ",30)),61,30))),0)+IFERROR(VALUE(TRIM(MID(SUBSTITUTE(SUBSTITUTE(SUBSTITUTE(UPPER($T13)," ",""),"P",""),";",REPT(" ",30)),91,30))),0)+IFERROR(VALUE(TRIM(MID(SUBSTITUTE(SUBSTITUTE(SUBSTITUTE(UPPER($T13)," ",""),"P",""),";",REPT(" ",30)),121,30))),0)+IFERROR(VALUE(TRIM(MID(SUBSTITUTE(SUBSTITUTE(SUBSTITUTE(UPPER($T13)," ",""),"P",""),";",REPT(" ",30)),151,30))),0)+IFERROR(VALUE(TRIM(MID(SUBSTITUTE(SUBSTITUTE(SUBSTITUTE(UPPER($T13)," ",""),"P",""),";",REPT(" ",30)),181,30))),0)+IFERROR(VALUE(TRIM(MID(SUBSTITUTE(SUBSTITUTE(SUBSTITUTE(UPPER($T13)," ",""),"P",""),";",REPT(" ",30)),211,30))),0)))))</f>
        <v/>
      </c>
      <c r="W13" s="26" t="n"/>
      <c r="X13" s="13" t="n"/>
    </row>
    <row r="14">
      <c r="A14" s="8">
        <f>IF($C14="","",3)</f>
        <v/>
      </c>
      <c r="B14" s="8">
        <f>IF($C14="","","1ª Sessão")</f>
        <v/>
      </c>
      <c r="C14" s="8">
        <f>IF(Preenchimento!$B$12="","",Preenchimento!$B$12)</f>
        <v/>
      </c>
      <c r="D14" s="8">
        <f>IF($C14="","",IF(Preenchimento!$C$12="","-",Preenchimento!$C$12))</f>
        <v/>
      </c>
      <c r="E14" s="8" t="n"/>
      <c r="F14" s="8" t="n"/>
      <c r="G14" s="24" t="n"/>
      <c r="H14" s="8" t="n"/>
      <c r="I14" s="14" t="n"/>
      <c r="J14" s="25">
        <f>IF($C14="","",IF($E14="Falta","-",MAX(0,MIN(10,8+IFERROR(VALUE(TRIM(MID(SUBSTITUTE(SUBSTITUTE(SUBSTITUTE(UPPER($H14)," ",""),"D",""),";",REPT(" ",30)),1,30))),0)+IFERROR(VALUE(TRIM(MID(SUBSTITUTE(SUBSTITUTE(SUBSTITUTE(UPPER($H14)," ",""),"D",""),";",REPT(" ",30)),31,30))),0)+IFERROR(VALUE(TRIM(MID(SUBSTITUTE(SUBSTITUTE(SUBSTITUTE(UPPER($H14)," ",""),"D",""),";",REPT(" ",30)),61,30))),0)+IFERROR(VALUE(TRIM(MID(SUBSTITUTE(SUBSTITUTE(SUBSTITUTE(UPPER($H14)," ",""),"D",""),";",REPT(" ",30)),91,30))),0)+IFERROR(VALUE(TRIM(MID(SUBSTITUTE(SUBSTITUTE(SUBSTITUTE(UPPER($H14)," ",""),"D",""),";",REPT(" ",30)),121,30))),0)+IFERROR(VALUE(TRIM(MID(SUBSTITUTE(SUBSTITUTE(SUBSTITUTE(UPPER($H14)," ",""),"D",""),";",REPT(" ",30)),151,30))),0)+IFERROR(VALUE(TRIM(MID(SUBSTITUTE(SUBSTITUTE(SUBSTITUTE(UPPER($H14)," ",""),"D",""),";",REPT(" ",30)),181,30))),0)+IFERROR(VALUE(TRIM(MID(SUBSTITUTE(SUBSTITUTE(SUBSTITUTE(UPPER($H14)," ",""),"D",""),";",REPT(" ",30)),211,30))),0)))))</f>
        <v/>
      </c>
      <c r="K14" s="24" t="n"/>
      <c r="L14" s="8" t="n"/>
      <c r="M14" s="14" t="n"/>
      <c r="N14" s="25">
        <f>IF($C14="","",IF($E14="Falta","-",MAX(0,MIN(10,8+IFERROR(VALUE(TRIM(MID(SUBSTITUTE(SUBSTITUTE(SUBSTITUTE(UPPER($L14)," ",""),"F",""),";",REPT(" ",30)),1,30))),0)+IFERROR(VALUE(TRIM(MID(SUBSTITUTE(SUBSTITUTE(SUBSTITUTE(UPPER($L14)," ",""),"F",""),";",REPT(" ",30)),31,30))),0)+IFERROR(VALUE(TRIM(MID(SUBSTITUTE(SUBSTITUTE(SUBSTITUTE(UPPER($L14)," ",""),"F",""),";",REPT(" ",30)),61,30))),0)+IFERROR(VALUE(TRIM(MID(SUBSTITUTE(SUBSTITUTE(SUBSTITUTE(UPPER($L14)," ",""),"F",""),";",REPT(" ",30)),91,30))),0)+IFERROR(VALUE(TRIM(MID(SUBSTITUTE(SUBSTITUTE(SUBSTITUTE(UPPER($L14)," ",""),"F",""),";",REPT(" ",30)),121,30))),0)+IFERROR(VALUE(TRIM(MID(SUBSTITUTE(SUBSTITUTE(SUBSTITUTE(UPPER($L14)," ",""),"F",""),";",REPT(" ",30)),151,30))),0)+IFERROR(VALUE(TRIM(MID(SUBSTITUTE(SUBSTITUTE(SUBSTITUTE(UPPER($L14)," ",""),"F",""),";",REPT(" ",30)),181,30))),0)+IFERROR(VALUE(TRIM(MID(SUBSTITUTE(SUBSTITUTE(SUBSTITUTE(UPPER($L14)," ",""),"F",""),";",REPT(" ",30)),211,30))),0)))))</f>
        <v/>
      </c>
      <c r="O14" s="24" t="n"/>
      <c r="P14" s="8" t="n"/>
      <c r="Q14" s="14" t="n"/>
      <c r="R14" s="25">
        <f>IF($C14="","",IF($E14="Falta","-",MAX(0,MIN(10,5+IFERROR(VALUE(TRIM(MID(SUBSTITUTE(SUBSTITUTE(SUBSTITUTE(UPPER($P14)," ",""),"C",""),";",REPT(" ",30)),1,30))),0)+IFERROR(VALUE(TRIM(MID(SUBSTITUTE(SUBSTITUTE(SUBSTITUTE(UPPER($P14)," ",""),"C",""),";",REPT(" ",30)),31,30))),0)+IFERROR(VALUE(TRIM(MID(SUBSTITUTE(SUBSTITUTE(SUBSTITUTE(UPPER($P14)," ",""),"C",""),";",REPT(" ",30)),61,30))),0)+IFERROR(VALUE(TRIM(MID(SUBSTITUTE(SUBSTITUTE(SUBSTITUTE(UPPER($P14)," ",""),"C",""),";",REPT(" ",30)),91,30))),0)+IFERROR(VALUE(TRIM(MID(SUBSTITUTE(SUBSTITUTE(SUBSTITUTE(UPPER($P14)," ",""),"C",""),";",REPT(" ",30)),121,30))),0)+IFERROR(VALUE(TRIM(MID(SUBSTITUTE(SUBSTITUTE(SUBSTITUTE(UPPER($P14)," ",""),"C",""),";",REPT(" ",30)),151,30))),0)+IFERROR(VALUE(TRIM(MID(SUBSTITUTE(SUBSTITUTE(SUBSTITUTE(UPPER($P14)," ",""),"C",""),";",REPT(" ",30)),181,30))),0)+IFERROR(VALUE(TRIM(MID(SUBSTITUTE(SUBSTITUTE(SUBSTITUTE(UPPER($P14)," ",""),"C",""),";",REPT(" ",30)),211,30))),0)))))</f>
        <v/>
      </c>
      <c r="S14" s="24" t="n"/>
      <c r="T14" s="8" t="n"/>
      <c r="U14" s="14" t="n"/>
      <c r="V14" s="25">
        <f>IF($C14="","",IF($E14="Falta","-",MAX(0,MIN(10,5+IFERROR(VALUE(TRIM(MID(SUBSTITUTE(SUBSTITUTE(SUBSTITUTE(UPPER($T14)," ",""),"P",""),";",REPT(" ",30)),1,30))),0)+IFERROR(VALUE(TRIM(MID(SUBSTITUTE(SUBSTITUTE(SUBSTITUTE(UPPER($T14)," ",""),"P",""),";",REPT(" ",30)),31,30))),0)+IFERROR(VALUE(TRIM(MID(SUBSTITUTE(SUBSTITUTE(SUBSTITUTE(UPPER($T14)," ",""),"P",""),";",REPT(" ",30)),61,30))),0)+IFERROR(VALUE(TRIM(MID(SUBSTITUTE(SUBSTITUTE(SUBSTITUTE(UPPER($T14)," ",""),"P",""),";",REPT(" ",30)),91,30))),0)+IFERROR(VALUE(TRIM(MID(SUBSTITUTE(SUBSTITUTE(SUBSTITUTE(UPPER($T14)," ",""),"P",""),";",REPT(" ",30)),121,30))),0)+IFERROR(VALUE(TRIM(MID(SUBSTITUTE(SUBSTITUTE(SUBSTITUTE(UPPER($T14)," ",""),"P",""),";",REPT(" ",30)),151,30))),0)+IFERROR(VALUE(TRIM(MID(SUBSTITUTE(SUBSTITUTE(SUBSTITUTE(UPPER($T14)," ",""),"P",""),";",REPT(" ",30)),181,30))),0)+IFERROR(VALUE(TRIM(MID(SUBSTITUTE(SUBSTITUTE(SUBSTITUTE(UPPER($T14)," ",""),"P",""),";",REPT(" ",30)),211,30))),0)))))</f>
        <v/>
      </c>
      <c r="W14" s="24" t="n"/>
      <c r="X14" s="14" t="n"/>
    </row>
    <row r="15">
      <c r="A15" s="8">
        <f>IF($C15="","",3)</f>
        <v/>
      </c>
      <c r="B15" s="8">
        <f>IF($C15="","","2ª Sessão")</f>
        <v/>
      </c>
      <c r="C15" s="8">
        <f>IF(Preenchimento!$B$12="","",Preenchimento!$B$12)</f>
        <v/>
      </c>
      <c r="D15" s="8">
        <f>IF($C15="","",IF(Preenchimento!$C$12="","-",Preenchimento!$C$12))</f>
        <v/>
      </c>
      <c r="E15" s="8" t="n"/>
      <c r="F15" s="8" t="n"/>
      <c r="G15" s="24" t="n"/>
      <c r="H15" s="8" t="n"/>
      <c r="I15" s="14" t="n"/>
      <c r="J15" s="25">
        <f>IF($C15="","",IF($E15="Falta","-",MAX(0,MIN(10,8+IFERROR(VALUE(TRIM(MID(SUBSTITUTE(SUBSTITUTE(SUBSTITUTE(UPPER($H15)," ",""),"D",""),";",REPT(" ",30)),1,30))),0)+IFERROR(VALUE(TRIM(MID(SUBSTITUTE(SUBSTITUTE(SUBSTITUTE(UPPER($H15)," ",""),"D",""),";",REPT(" ",30)),31,30))),0)+IFERROR(VALUE(TRIM(MID(SUBSTITUTE(SUBSTITUTE(SUBSTITUTE(UPPER($H15)," ",""),"D",""),";",REPT(" ",30)),61,30))),0)+IFERROR(VALUE(TRIM(MID(SUBSTITUTE(SUBSTITUTE(SUBSTITUTE(UPPER($H15)," ",""),"D",""),";",REPT(" ",30)),91,30))),0)+IFERROR(VALUE(TRIM(MID(SUBSTITUTE(SUBSTITUTE(SUBSTITUTE(UPPER($H15)," ",""),"D",""),";",REPT(" ",30)),121,30))),0)+IFERROR(VALUE(TRIM(MID(SUBSTITUTE(SUBSTITUTE(SUBSTITUTE(UPPER($H15)," ",""),"D",""),";",REPT(" ",30)),151,30))),0)+IFERROR(VALUE(TRIM(MID(SUBSTITUTE(SUBSTITUTE(SUBSTITUTE(UPPER($H15)," ",""),"D",""),";",REPT(" ",30)),181,30))),0)+IFERROR(VALUE(TRIM(MID(SUBSTITUTE(SUBSTITUTE(SUBSTITUTE(UPPER($H15)," ",""),"D",""),";",REPT(" ",30)),211,30))),0)))))</f>
        <v/>
      </c>
      <c r="K15" s="24" t="n"/>
      <c r="L15" s="8" t="n"/>
      <c r="M15" s="14" t="n"/>
      <c r="N15" s="25">
        <f>IF($C15="","",IF($E15="Falta","-",MAX(0,MIN(10,8+IFERROR(VALUE(TRIM(MID(SUBSTITUTE(SUBSTITUTE(SUBSTITUTE(UPPER($L15)," ",""),"F",""),";",REPT(" ",30)),1,30))),0)+IFERROR(VALUE(TRIM(MID(SUBSTITUTE(SUBSTITUTE(SUBSTITUTE(UPPER($L15)," ",""),"F",""),";",REPT(" ",30)),31,30))),0)+IFERROR(VALUE(TRIM(MID(SUBSTITUTE(SUBSTITUTE(SUBSTITUTE(UPPER($L15)," ",""),"F",""),";",REPT(" ",30)),61,30))),0)+IFERROR(VALUE(TRIM(MID(SUBSTITUTE(SUBSTITUTE(SUBSTITUTE(UPPER($L15)," ",""),"F",""),";",REPT(" ",30)),91,30))),0)+IFERROR(VALUE(TRIM(MID(SUBSTITUTE(SUBSTITUTE(SUBSTITUTE(UPPER($L15)," ",""),"F",""),";",REPT(" ",30)),121,30))),0)+IFERROR(VALUE(TRIM(MID(SUBSTITUTE(SUBSTITUTE(SUBSTITUTE(UPPER($L15)," ",""),"F",""),";",REPT(" ",30)),151,30))),0)+IFERROR(VALUE(TRIM(MID(SUBSTITUTE(SUBSTITUTE(SUBSTITUTE(UPPER($L15)," ",""),"F",""),";",REPT(" ",30)),181,30))),0)+IFERROR(VALUE(TRIM(MID(SUBSTITUTE(SUBSTITUTE(SUBSTITUTE(UPPER($L15)," ",""),"F",""),";",REPT(" ",30)),211,30))),0)))))</f>
        <v/>
      </c>
      <c r="O15" s="24" t="n"/>
      <c r="P15" s="8" t="n"/>
      <c r="Q15" s="14" t="n"/>
      <c r="R15" s="25">
        <f>IF($C15="","",IF($E15="Falta","-",MAX(0,MIN(10,5+IFERROR(VALUE(TRIM(MID(SUBSTITUTE(SUBSTITUTE(SUBSTITUTE(UPPER($P15)," ",""),"C",""),";",REPT(" ",30)),1,30))),0)+IFERROR(VALUE(TRIM(MID(SUBSTITUTE(SUBSTITUTE(SUBSTITUTE(UPPER($P15)," ",""),"C",""),";",REPT(" ",30)),31,30))),0)+IFERROR(VALUE(TRIM(MID(SUBSTITUTE(SUBSTITUTE(SUBSTITUTE(UPPER($P15)," ",""),"C",""),";",REPT(" ",30)),61,30))),0)+IFERROR(VALUE(TRIM(MID(SUBSTITUTE(SUBSTITUTE(SUBSTITUTE(UPPER($P15)," ",""),"C",""),";",REPT(" ",30)),91,30))),0)+IFERROR(VALUE(TRIM(MID(SUBSTITUTE(SUBSTITUTE(SUBSTITUTE(UPPER($P15)," ",""),"C",""),";",REPT(" ",30)),121,30))),0)+IFERROR(VALUE(TRIM(MID(SUBSTITUTE(SUBSTITUTE(SUBSTITUTE(UPPER($P15)," ",""),"C",""),";",REPT(" ",30)),151,30))),0)+IFERROR(VALUE(TRIM(MID(SUBSTITUTE(SUBSTITUTE(SUBSTITUTE(UPPER($P15)," ",""),"C",""),";",REPT(" ",30)),181,30))),0)+IFERROR(VALUE(TRIM(MID(SUBSTITUTE(SUBSTITUTE(SUBSTITUTE(UPPER($P15)," ",""),"C",""),";",REPT(" ",30)),211,30))),0)))))</f>
        <v/>
      </c>
      <c r="S15" s="24" t="n"/>
      <c r="T15" s="8" t="n"/>
      <c r="U15" s="14" t="n"/>
      <c r="V15" s="25">
        <f>IF($C15="","",IF($E15="Falta","-",MAX(0,MIN(10,5+IFERROR(VALUE(TRIM(MID(SUBSTITUTE(SUBSTITUTE(SUBSTITUTE(UPPER($T15)," ",""),"P",""),";",REPT(" ",30)),1,30))),0)+IFERROR(VALUE(TRIM(MID(SUBSTITUTE(SUBSTITUTE(SUBSTITUTE(UPPER($T15)," ",""),"P",""),";",REPT(" ",30)),31,30))),0)+IFERROR(VALUE(TRIM(MID(SUBSTITUTE(SUBSTITUTE(SUBSTITUTE(UPPER($T15)," ",""),"P",""),";",REPT(" ",30)),61,30))),0)+IFERROR(VALUE(TRIM(MID(SUBSTITUTE(SUBSTITUTE(SUBSTITUTE(UPPER($T15)," ",""),"P",""),";",REPT(" ",30)),91,30))),0)+IFERROR(VALUE(TRIM(MID(SUBSTITUTE(SUBSTITUTE(SUBSTITUTE(UPPER($T15)," ",""),"P",""),";",REPT(" ",30)),121,30))),0)+IFERROR(VALUE(TRIM(MID(SUBSTITUTE(SUBSTITUTE(SUBSTITUTE(UPPER($T15)," ",""),"P",""),";",REPT(" ",30)),151,30))),0)+IFERROR(VALUE(TRIM(MID(SUBSTITUTE(SUBSTITUTE(SUBSTITUTE(UPPER($T15)," ",""),"P",""),";",REPT(" ",30)),181,30))),0)+IFERROR(VALUE(TRIM(MID(SUBSTITUTE(SUBSTITUTE(SUBSTITUTE(UPPER($T15)," ",""),"P",""),";",REPT(" ",30)),211,30))),0)))))</f>
        <v/>
      </c>
      <c r="W15" s="24" t="n"/>
      <c r="X15" s="14" t="n"/>
    </row>
    <row r="16">
      <c r="A16" s="8">
        <f>IF($C16="","",3)</f>
        <v/>
      </c>
      <c r="B16" s="8">
        <f>IF($C16="","","3ª Sessão")</f>
        <v/>
      </c>
      <c r="C16" s="8">
        <f>IF(Preenchimento!$B$12="","",Preenchimento!$B$12)</f>
        <v/>
      </c>
      <c r="D16" s="8">
        <f>IF($C16="","",IF(Preenchimento!$C$12="","-",Preenchimento!$C$12))</f>
        <v/>
      </c>
      <c r="E16" s="8" t="n"/>
      <c r="F16" s="8" t="n"/>
      <c r="G16" s="24" t="n"/>
      <c r="H16" s="8" t="n"/>
      <c r="I16" s="14" t="n"/>
      <c r="J16" s="25">
        <f>IF($C16="","",IF($E16="Falta","-",MAX(0,MIN(10,8+IFERROR(VALUE(TRIM(MID(SUBSTITUTE(SUBSTITUTE(SUBSTITUTE(UPPER($H16)," ",""),"D",""),";",REPT(" ",30)),1,30))),0)+IFERROR(VALUE(TRIM(MID(SUBSTITUTE(SUBSTITUTE(SUBSTITUTE(UPPER($H16)," ",""),"D",""),";",REPT(" ",30)),31,30))),0)+IFERROR(VALUE(TRIM(MID(SUBSTITUTE(SUBSTITUTE(SUBSTITUTE(UPPER($H16)," ",""),"D",""),";",REPT(" ",30)),61,30))),0)+IFERROR(VALUE(TRIM(MID(SUBSTITUTE(SUBSTITUTE(SUBSTITUTE(UPPER($H16)," ",""),"D",""),";",REPT(" ",30)),91,30))),0)+IFERROR(VALUE(TRIM(MID(SUBSTITUTE(SUBSTITUTE(SUBSTITUTE(UPPER($H16)," ",""),"D",""),";",REPT(" ",30)),121,30))),0)+IFERROR(VALUE(TRIM(MID(SUBSTITUTE(SUBSTITUTE(SUBSTITUTE(UPPER($H16)," ",""),"D",""),";",REPT(" ",30)),151,30))),0)+IFERROR(VALUE(TRIM(MID(SUBSTITUTE(SUBSTITUTE(SUBSTITUTE(UPPER($H16)," ",""),"D",""),";",REPT(" ",30)),181,30))),0)+IFERROR(VALUE(TRIM(MID(SUBSTITUTE(SUBSTITUTE(SUBSTITUTE(UPPER($H16)," ",""),"D",""),";",REPT(" ",30)),211,30))),0)))))</f>
        <v/>
      </c>
      <c r="K16" s="24" t="n"/>
      <c r="L16" s="8" t="n"/>
      <c r="M16" s="14" t="n"/>
      <c r="N16" s="25">
        <f>IF($C16="","",IF($E16="Falta","-",MAX(0,MIN(10,8+IFERROR(VALUE(TRIM(MID(SUBSTITUTE(SUBSTITUTE(SUBSTITUTE(UPPER($L16)," ",""),"F",""),";",REPT(" ",30)),1,30))),0)+IFERROR(VALUE(TRIM(MID(SUBSTITUTE(SUBSTITUTE(SUBSTITUTE(UPPER($L16)," ",""),"F",""),";",REPT(" ",30)),31,30))),0)+IFERROR(VALUE(TRIM(MID(SUBSTITUTE(SUBSTITUTE(SUBSTITUTE(UPPER($L16)," ",""),"F",""),";",REPT(" ",30)),61,30))),0)+IFERROR(VALUE(TRIM(MID(SUBSTITUTE(SUBSTITUTE(SUBSTITUTE(UPPER($L16)," ",""),"F",""),";",REPT(" ",30)),91,30))),0)+IFERROR(VALUE(TRIM(MID(SUBSTITUTE(SUBSTITUTE(SUBSTITUTE(UPPER($L16)," ",""),"F",""),";",REPT(" ",30)),121,30))),0)+IFERROR(VALUE(TRIM(MID(SUBSTITUTE(SUBSTITUTE(SUBSTITUTE(UPPER($L16)," ",""),"F",""),";",REPT(" ",30)),151,30))),0)+IFERROR(VALUE(TRIM(MID(SUBSTITUTE(SUBSTITUTE(SUBSTITUTE(UPPER($L16)," ",""),"F",""),";",REPT(" ",30)),181,30))),0)+IFERROR(VALUE(TRIM(MID(SUBSTITUTE(SUBSTITUTE(SUBSTITUTE(UPPER($L16)," ",""),"F",""),";",REPT(" ",30)),211,30))),0)))))</f>
        <v/>
      </c>
      <c r="O16" s="24" t="n"/>
      <c r="P16" s="8" t="n"/>
      <c r="Q16" s="14" t="n"/>
      <c r="R16" s="25">
        <f>IF($C16="","",IF($E16="Falta","-",MAX(0,MIN(10,5+IFERROR(VALUE(TRIM(MID(SUBSTITUTE(SUBSTITUTE(SUBSTITUTE(UPPER($P16)," ",""),"C",""),";",REPT(" ",30)),1,30))),0)+IFERROR(VALUE(TRIM(MID(SUBSTITUTE(SUBSTITUTE(SUBSTITUTE(UPPER($P16)," ",""),"C",""),";",REPT(" ",30)),31,30))),0)+IFERROR(VALUE(TRIM(MID(SUBSTITUTE(SUBSTITUTE(SUBSTITUTE(UPPER($P16)," ",""),"C",""),";",REPT(" ",30)),61,30))),0)+IFERROR(VALUE(TRIM(MID(SUBSTITUTE(SUBSTITUTE(SUBSTITUTE(UPPER($P16)," ",""),"C",""),";",REPT(" ",30)),91,30))),0)+IFERROR(VALUE(TRIM(MID(SUBSTITUTE(SUBSTITUTE(SUBSTITUTE(UPPER($P16)," ",""),"C",""),";",REPT(" ",30)),121,30))),0)+IFERROR(VALUE(TRIM(MID(SUBSTITUTE(SUBSTITUTE(SUBSTITUTE(UPPER($P16)," ",""),"C",""),";",REPT(" ",30)),151,30))),0)+IFERROR(VALUE(TRIM(MID(SUBSTITUTE(SUBSTITUTE(SUBSTITUTE(UPPER($P16)," ",""),"C",""),";",REPT(" ",30)),181,30))),0)+IFERROR(VALUE(TRIM(MID(SUBSTITUTE(SUBSTITUTE(SUBSTITUTE(UPPER($P16)," ",""),"C",""),";",REPT(" ",30)),211,30))),0)))))</f>
        <v/>
      </c>
      <c r="S16" s="24" t="n"/>
      <c r="T16" s="8" t="n"/>
      <c r="U16" s="14" t="n"/>
      <c r="V16" s="25">
        <f>IF($C16="","",IF($E16="Falta","-",MAX(0,MIN(10,5+IFERROR(VALUE(TRIM(MID(SUBSTITUTE(SUBSTITUTE(SUBSTITUTE(UPPER($T16)," ",""),"P",""),";",REPT(" ",30)),1,30))),0)+IFERROR(VALUE(TRIM(MID(SUBSTITUTE(SUBSTITUTE(SUBSTITUTE(UPPER($T16)," ",""),"P",""),";",REPT(" ",30)),31,30))),0)+IFERROR(VALUE(TRIM(MID(SUBSTITUTE(SUBSTITUTE(SUBSTITUTE(UPPER($T16)," ",""),"P",""),";",REPT(" ",30)),61,30))),0)+IFERROR(VALUE(TRIM(MID(SUBSTITUTE(SUBSTITUTE(SUBSTITUTE(UPPER($T16)," ",""),"P",""),";",REPT(" ",30)),91,30))),0)+IFERROR(VALUE(TRIM(MID(SUBSTITUTE(SUBSTITUTE(SUBSTITUTE(UPPER($T16)," ",""),"P",""),";",REPT(" ",30)),121,30))),0)+IFERROR(VALUE(TRIM(MID(SUBSTITUTE(SUBSTITUTE(SUBSTITUTE(UPPER($T16)," ",""),"P",""),";",REPT(" ",30)),151,30))),0)+IFERROR(VALUE(TRIM(MID(SUBSTITUTE(SUBSTITUTE(SUBSTITUTE(UPPER($T16)," ",""),"P",""),";",REPT(" ",30)),181,30))),0)+IFERROR(VALUE(TRIM(MID(SUBSTITUTE(SUBSTITUTE(SUBSTITUTE(UPPER($T16)," ",""),"P",""),";",REPT(" ",30)),211,30))),0)))))</f>
        <v/>
      </c>
      <c r="W16" s="24" t="n"/>
      <c r="X16" s="14" t="n"/>
    </row>
    <row r="17">
      <c r="A17" s="8">
        <f>IF($C17="","",3)</f>
        <v/>
      </c>
      <c r="B17" s="8">
        <f>IF($C17="","","4ª Sessão")</f>
        <v/>
      </c>
      <c r="C17" s="8">
        <f>IF(Preenchimento!$B$12="","",Preenchimento!$B$12)</f>
        <v/>
      </c>
      <c r="D17" s="8">
        <f>IF($C17="","",IF(Preenchimento!$C$12="","-",Preenchimento!$C$12))</f>
        <v/>
      </c>
      <c r="E17" s="8" t="n"/>
      <c r="F17" s="8" t="n"/>
      <c r="G17" s="24" t="n"/>
      <c r="H17" s="8" t="n"/>
      <c r="I17" s="14" t="n"/>
      <c r="J17" s="25">
        <f>IF($C17="","",IF($E17="Falta","-",MAX(0,MIN(10,8+IFERROR(VALUE(TRIM(MID(SUBSTITUTE(SUBSTITUTE(SUBSTITUTE(UPPER($H17)," ",""),"D",""),";",REPT(" ",30)),1,30))),0)+IFERROR(VALUE(TRIM(MID(SUBSTITUTE(SUBSTITUTE(SUBSTITUTE(UPPER($H17)," ",""),"D",""),";",REPT(" ",30)),31,30))),0)+IFERROR(VALUE(TRIM(MID(SUBSTITUTE(SUBSTITUTE(SUBSTITUTE(UPPER($H17)," ",""),"D",""),";",REPT(" ",30)),61,30))),0)+IFERROR(VALUE(TRIM(MID(SUBSTITUTE(SUBSTITUTE(SUBSTITUTE(UPPER($H17)," ",""),"D",""),";",REPT(" ",30)),91,30))),0)+IFERROR(VALUE(TRIM(MID(SUBSTITUTE(SUBSTITUTE(SUBSTITUTE(UPPER($H17)," ",""),"D",""),";",REPT(" ",30)),121,30))),0)+IFERROR(VALUE(TRIM(MID(SUBSTITUTE(SUBSTITUTE(SUBSTITUTE(UPPER($H17)," ",""),"D",""),";",REPT(" ",30)),151,30))),0)+IFERROR(VALUE(TRIM(MID(SUBSTITUTE(SUBSTITUTE(SUBSTITUTE(UPPER($H17)," ",""),"D",""),";",REPT(" ",30)),181,30))),0)+IFERROR(VALUE(TRIM(MID(SUBSTITUTE(SUBSTITUTE(SUBSTITUTE(UPPER($H17)," ",""),"D",""),";",REPT(" ",30)),211,30))),0)))))</f>
        <v/>
      </c>
      <c r="K17" s="24" t="n"/>
      <c r="L17" s="8" t="n"/>
      <c r="M17" s="14" t="n"/>
      <c r="N17" s="25">
        <f>IF($C17="","",IF($E17="Falta","-",MAX(0,MIN(10,8+IFERROR(VALUE(TRIM(MID(SUBSTITUTE(SUBSTITUTE(SUBSTITUTE(UPPER($L17)," ",""),"F",""),";",REPT(" ",30)),1,30))),0)+IFERROR(VALUE(TRIM(MID(SUBSTITUTE(SUBSTITUTE(SUBSTITUTE(UPPER($L17)," ",""),"F",""),";",REPT(" ",30)),31,30))),0)+IFERROR(VALUE(TRIM(MID(SUBSTITUTE(SUBSTITUTE(SUBSTITUTE(UPPER($L17)," ",""),"F",""),";",REPT(" ",30)),61,30))),0)+IFERROR(VALUE(TRIM(MID(SUBSTITUTE(SUBSTITUTE(SUBSTITUTE(UPPER($L17)," ",""),"F",""),";",REPT(" ",30)),91,30))),0)+IFERROR(VALUE(TRIM(MID(SUBSTITUTE(SUBSTITUTE(SUBSTITUTE(UPPER($L17)," ",""),"F",""),";",REPT(" ",30)),121,30))),0)+IFERROR(VALUE(TRIM(MID(SUBSTITUTE(SUBSTITUTE(SUBSTITUTE(UPPER($L17)," ",""),"F",""),";",REPT(" ",30)),151,30))),0)+IFERROR(VALUE(TRIM(MID(SUBSTITUTE(SUBSTITUTE(SUBSTITUTE(UPPER($L17)," ",""),"F",""),";",REPT(" ",30)),181,30))),0)+IFERROR(VALUE(TRIM(MID(SUBSTITUTE(SUBSTITUTE(SUBSTITUTE(UPPER($L17)," ",""),"F",""),";",REPT(" ",30)),211,30))),0)))))</f>
        <v/>
      </c>
      <c r="O17" s="24" t="n"/>
      <c r="P17" s="8" t="n"/>
      <c r="Q17" s="14" t="n"/>
      <c r="R17" s="25">
        <f>IF($C17="","",IF($E17="Falta","-",MAX(0,MIN(10,5+IFERROR(VALUE(TRIM(MID(SUBSTITUTE(SUBSTITUTE(SUBSTITUTE(UPPER($P17)," ",""),"C",""),";",REPT(" ",30)),1,30))),0)+IFERROR(VALUE(TRIM(MID(SUBSTITUTE(SUBSTITUTE(SUBSTITUTE(UPPER($P17)," ",""),"C",""),";",REPT(" ",30)),31,30))),0)+IFERROR(VALUE(TRIM(MID(SUBSTITUTE(SUBSTITUTE(SUBSTITUTE(UPPER($P17)," ",""),"C",""),";",REPT(" ",30)),61,30))),0)+IFERROR(VALUE(TRIM(MID(SUBSTITUTE(SUBSTITUTE(SUBSTITUTE(UPPER($P17)," ",""),"C",""),";",REPT(" ",30)),91,30))),0)+IFERROR(VALUE(TRIM(MID(SUBSTITUTE(SUBSTITUTE(SUBSTITUTE(UPPER($P17)," ",""),"C",""),";",REPT(" ",30)),121,30))),0)+IFERROR(VALUE(TRIM(MID(SUBSTITUTE(SUBSTITUTE(SUBSTITUTE(UPPER($P17)," ",""),"C",""),";",REPT(" ",30)),151,30))),0)+IFERROR(VALUE(TRIM(MID(SUBSTITUTE(SUBSTITUTE(SUBSTITUTE(UPPER($P17)," ",""),"C",""),";",REPT(" ",30)),181,30))),0)+IFERROR(VALUE(TRIM(MID(SUBSTITUTE(SUBSTITUTE(SUBSTITUTE(UPPER($P17)," ",""),"C",""),";",REPT(" ",30)),211,30))),0)))))</f>
        <v/>
      </c>
      <c r="S17" s="24" t="n"/>
      <c r="T17" s="8" t="n"/>
      <c r="U17" s="14" t="n"/>
      <c r="V17" s="25">
        <f>IF($C17="","",IF($E17="Falta","-",MAX(0,MIN(10,5+IFERROR(VALUE(TRIM(MID(SUBSTITUTE(SUBSTITUTE(SUBSTITUTE(UPPER($T17)," ",""),"P",""),";",REPT(" ",30)),1,30))),0)+IFERROR(VALUE(TRIM(MID(SUBSTITUTE(SUBSTITUTE(SUBSTITUTE(UPPER($T17)," ",""),"P",""),";",REPT(" ",30)),31,30))),0)+IFERROR(VALUE(TRIM(MID(SUBSTITUTE(SUBSTITUTE(SUBSTITUTE(UPPER($T17)," ",""),"P",""),";",REPT(" ",30)),61,30))),0)+IFERROR(VALUE(TRIM(MID(SUBSTITUTE(SUBSTITUTE(SUBSTITUTE(UPPER($T17)," ",""),"P",""),";",REPT(" ",30)),91,30))),0)+IFERROR(VALUE(TRIM(MID(SUBSTITUTE(SUBSTITUTE(SUBSTITUTE(UPPER($T17)," ",""),"P",""),";",REPT(" ",30)),121,30))),0)+IFERROR(VALUE(TRIM(MID(SUBSTITUTE(SUBSTITUTE(SUBSTITUTE(UPPER($T17)," ",""),"P",""),";",REPT(" ",30)),151,30))),0)+IFERROR(VALUE(TRIM(MID(SUBSTITUTE(SUBSTITUTE(SUBSTITUTE(UPPER($T17)," ",""),"P",""),";",REPT(" ",30)),181,30))),0)+IFERROR(VALUE(TRIM(MID(SUBSTITUTE(SUBSTITUTE(SUBSTITUTE(UPPER($T17)," ",""),"P",""),";",REPT(" ",30)),211,30))),0)))))</f>
        <v/>
      </c>
      <c r="W17" s="24" t="n"/>
      <c r="X17" s="14" t="n"/>
    </row>
    <row r="18">
      <c r="A18" s="8">
        <f>IF($C18="","",3)</f>
        <v/>
      </c>
      <c r="B18" s="8">
        <f>IF($C18="","","5ª Sessão")</f>
        <v/>
      </c>
      <c r="C18" s="8">
        <f>IF(Preenchimento!$B$12="","",Preenchimento!$B$12)</f>
        <v/>
      </c>
      <c r="D18" s="8">
        <f>IF($C18="","",IF(Preenchimento!$C$12="","-",Preenchimento!$C$12))</f>
        <v/>
      </c>
      <c r="E18" s="8" t="n"/>
      <c r="F18" s="8" t="n"/>
      <c r="G18" s="24" t="n"/>
      <c r="H18" s="8" t="n"/>
      <c r="I18" s="14" t="n"/>
      <c r="J18" s="25">
        <f>IF($C18="","",IF($E18="Falta","-",MAX(0,MIN(10,8+IFERROR(VALUE(TRIM(MID(SUBSTITUTE(SUBSTITUTE(SUBSTITUTE(UPPER($H18)," ",""),"D",""),";",REPT(" ",30)),1,30))),0)+IFERROR(VALUE(TRIM(MID(SUBSTITUTE(SUBSTITUTE(SUBSTITUTE(UPPER($H18)," ",""),"D",""),";",REPT(" ",30)),31,30))),0)+IFERROR(VALUE(TRIM(MID(SUBSTITUTE(SUBSTITUTE(SUBSTITUTE(UPPER($H18)," ",""),"D",""),";",REPT(" ",30)),61,30))),0)+IFERROR(VALUE(TRIM(MID(SUBSTITUTE(SUBSTITUTE(SUBSTITUTE(UPPER($H18)," ",""),"D",""),";",REPT(" ",30)),91,30))),0)+IFERROR(VALUE(TRIM(MID(SUBSTITUTE(SUBSTITUTE(SUBSTITUTE(UPPER($H18)," ",""),"D",""),";",REPT(" ",30)),121,30))),0)+IFERROR(VALUE(TRIM(MID(SUBSTITUTE(SUBSTITUTE(SUBSTITUTE(UPPER($H18)," ",""),"D",""),";",REPT(" ",30)),151,30))),0)+IFERROR(VALUE(TRIM(MID(SUBSTITUTE(SUBSTITUTE(SUBSTITUTE(UPPER($H18)," ",""),"D",""),";",REPT(" ",30)),181,30))),0)+IFERROR(VALUE(TRIM(MID(SUBSTITUTE(SUBSTITUTE(SUBSTITUTE(UPPER($H18)," ",""),"D",""),";",REPT(" ",30)),211,30))),0)))))</f>
        <v/>
      </c>
      <c r="K18" s="24" t="n"/>
      <c r="L18" s="8" t="n"/>
      <c r="M18" s="14" t="n"/>
      <c r="N18" s="25">
        <f>IF($C18="","",IF($E18="Falta","-",MAX(0,MIN(10,8+IFERROR(VALUE(TRIM(MID(SUBSTITUTE(SUBSTITUTE(SUBSTITUTE(UPPER($L18)," ",""),"F",""),";",REPT(" ",30)),1,30))),0)+IFERROR(VALUE(TRIM(MID(SUBSTITUTE(SUBSTITUTE(SUBSTITUTE(UPPER($L18)," ",""),"F",""),";",REPT(" ",30)),31,30))),0)+IFERROR(VALUE(TRIM(MID(SUBSTITUTE(SUBSTITUTE(SUBSTITUTE(UPPER($L18)," ",""),"F",""),";",REPT(" ",30)),61,30))),0)+IFERROR(VALUE(TRIM(MID(SUBSTITUTE(SUBSTITUTE(SUBSTITUTE(UPPER($L18)," ",""),"F",""),";",REPT(" ",30)),91,30))),0)+IFERROR(VALUE(TRIM(MID(SUBSTITUTE(SUBSTITUTE(SUBSTITUTE(UPPER($L18)," ",""),"F",""),";",REPT(" ",30)),121,30))),0)+IFERROR(VALUE(TRIM(MID(SUBSTITUTE(SUBSTITUTE(SUBSTITUTE(UPPER($L18)," ",""),"F",""),";",REPT(" ",30)),151,30))),0)+IFERROR(VALUE(TRIM(MID(SUBSTITUTE(SUBSTITUTE(SUBSTITUTE(UPPER($L18)," ",""),"F",""),";",REPT(" ",30)),181,30))),0)+IFERROR(VALUE(TRIM(MID(SUBSTITUTE(SUBSTITUTE(SUBSTITUTE(UPPER($L18)," ",""),"F",""),";",REPT(" ",30)),211,30))),0)))))</f>
        <v/>
      </c>
      <c r="O18" s="24" t="n"/>
      <c r="P18" s="8" t="n"/>
      <c r="Q18" s="14" t="n"/>
      <c r="R18" s="25">
        <f>IF($C18="","",IF($E18="Falta","-",MAX(0,MIN(10,5+IFERROR(VALUE(TRIM(MID(SUBSTITUTE(SUBSTITUTE(SUBSTITUTE(UPPER($P18)," ",""),"C",""),";",REPT(" ",30)),1,30))),0)+IFERROR(VALUE(TRIM(MID(SUBSTITUTE(SUBSTITUTE(SUBSTITUTE(UPPER($P18)," ",""),"C",""),";",REPT(" ",30)),31,30))),0)+IFERROR(VALUE(TRIM(MID(SUBSTITUTE(SUBSTITUTE(SUBSTITUTE(UPPER($P18)," ",""),"C",""),";",REPT(" ",30)),61,30))),0)+IFERROR(VALUE(TRIM(MID(SUBSTITUTE(SUBSTITUTE(SUBSTITUTE(UPPER($P18)," ",""),"C",""),";",REPT(" ",30)),91,30))),0)+IFERROR(VALUE(TRIM(MID(SUBSTITUTE(SUBSTITUTE(SUBSTITUTE(UPPER($P18)," ",""),"C",""),";",REPT(" ",30)),121,30))),0)+IFERROR(VALUE(TRIM(MID(SUBSTITUTE(SUBSTITUTE(SUBSTITUTE(UPPER($P18)," ",""),"C",""),";",REPT(" ",30)),151,30))),0)+IFERROR(VALUE(TRIM(MID(SUBSTITUTE(SUBSTITUTE(SUBSTITUTE(UPPER($P18)," ",""),"C",""),";",REPT(" ",30)),181,30))),0)+IFERROR(VALUE(TRIM(MID(SUBSTITUTE(SUBSTITUTE(SUBSTITUTE(UPPER($P18)," ",""),"C",""),";",REPT(" ",30)),211,30))),0)))))</f>
        <v/>
      </c>
      <c r="S18" s="24" t="n"/>
      <c r="T18" s="8" t="n"/>
      <c r="U18" s="14" t="n"/>
      <c r="V18" s="25">
        <f>IF($C18="","",IF($E18="Falta","-",MAX(0,MIN(10,5+IFERROR(VALUE(TRIM(MID(SUBSTITUTE(SUBSTITUTE(SUBSTITUTE(UPPER($T18)," ",""),"P",""),";",REPT(" ",30)),1,30))),0)+IFERROR(VALUE(TRIM(MID(SUBSTITUTE(SUBSTITUTE(SUBSTITUTE(UPPER($T18)," ",""),"P",""),";",REPT(" ",30)),31,30))),0)+IFERROR(VALUE(TRIM(MID(SUBSTITUTE(SUBSTITUTE(SUBSTITUTE(UPPER($T18)," ",""),"P",""),";",REPT(" ",30)),61,30))),0)+IFERROR(VALUE(TRIM(MID(SUBSTITUTE(SUBSTITUTE(SUBSTITUTE(UPPER($T18)," ",""),"P",""),";",REPT(" ",30)),91,30))),0)+IFERROR(VALUE(TRIM(MID(SUBSTITUTE(SUBSTITUTE(SUBSTITUTE(UPPER($T18)," ",""),"P",""),";",REPT(" ",30)),121,30))),0)+IFERROR(VALUE(TRIM(MID(SUBSTITUTE(SUBSTITUTE(SUBSTITUTE(UPPER($T18)," ",""),"P",""),";",REPT(" ",30)),151,30))),0)+IFERROR(VALUE(TRIM(MID(SUBSTITUTE(SUBSTITUTE(SUBSTITUTE(UPPER($T18)," ",""),"P",""),";",REPT(" ",30)),181,30))),0)+IFERROR(VALUE(TRIM(MID(SUBSTITUTE(SUBSTITUTE(SUBSTITUTE(UPPER($T18)," ",""),"P",""),";",REPT(" ",30)),211,30))),0)))))</f>
        <v/>
      </c>
      <c r="W18" s="24" t="n"/>
      <c r="X18" s="14" t="n"/>
    </row>
    <row r="19">
      <c r="A19" s="6">
        <f>IF($C19="","",4)</f>
        <v/>
      </c>
      <c r="B19" s="6">
        <f>IF($C19="","","1ª Sessão")</f>
        <v/>
      </c>
      <c r="C19" s="6">
        <f>IF(Preenchimento!$B$13="","",Preenchimento!$B$13)</f>
        <v/>
      </c>
      <c r="D19" s="6">
        <f>IF($C19="","",IF(Preenchimento!$C$13="","-",Preenchimento!$C$13))</f>
        <v/>
      </c>
      <c r="E19" s="6" t="n"/>
      <c r="F19" s="6" t="n"/>
      <c r="G19" s="26" t="n"/>
      <c r="H19" s="6" t="n"/>
      <c r="I19" s="13" t="n"/>
      <c r="J19" s="27">
        <f>IF($C19="","",IF($E19="Falta","-",MAX(0,MIN(10,8+IFERROR(VALUE(TRIM(MID(SUBSTITUTE(SUBSTITUTE(SUBSTITUTE(UPPER($H19)," ",""),"D",""),";",REPT(" ",30)),1,30))),0)+IFERROR(VALUE(TRIM(MID(SUBSTITUTE(SUBSTITUTE(SUBSTITUTE(UPPER($H19)," ",""),"D",""),";",REPT(" ",30)),31,30))),0)+IFERROR(VALUE(TRIM(MID(SUBSTITUTE(SUBSTITUTE(SUBSTITUTE(UPPER($H19)," ",""),"D",""),";",REPT(" ",30)),61,30))),0)+IFERROR(VALUE(TRIM(MID(SUBSTITUTE(SUBSTITUTE(SUBSTITUTE(UPPER($H19)," ",""),"D",""),";",REPT(" ",30)),91,30))),0)+IFERROR(VALUE(TRIM(MID(SUBSTITUTE(SUBSTITUTE(SUBSTITUTE(UPPER($H19)," ",""),"D",""),";",REPT(" ",30)),121,30))),0)+IFERROR(VALUE(TRIM(MID(SUBSTITUTE(SUBSTITUTE(SUBSTITUTE(UPPER($H19)," ",""),"D",""),";",REPT(" ",30)),151,30))),0)+IFERROR(VALUE(TRIM(MID(SUBSTITUTE(SUBSTITUTE(SUBSTITUTE(UPPER($H19)," ",""),"D",""),";",REPT(" ",30)),181,30))),0)+IFERROR(VALUE(TRIM(MID(SUBSTITUTE(SUBSTITUTE(SUBSTITUTE(UPPER($H19)," ",""),"D",""),";",REPT(" ",30)),211,30))),0)))))</f>
        <v/>
      </c>
      <c r="K19" s="26" t="n"/>
      <c r="L19" s="6" t="n"/>
      <c r="M19" s="13" t="n"/>
      <c r="N19" s="27">
        <f>IF($C19="","",IF($E19="Falta","-",MAX(0,MIN(10,8+IFERROR(VALUE(TRIM(MID(SUBSTITUTE(SUBSTITUTE(SUBSTITUTE(UPPER($L19)," ",""),"F",""),";",REPT(" ",30)),1,30))),0)+IFERROR(VALUE(TRIM(MID(SUBSTITUTE(SUBSTITUTE(SUBSTITUTE(UPPER($L19)," ",""),"F",""),";",REPT(" ",30)),31,30))),0)+IFERROR(VALUE(TRIM(MID(SUBSTITUTE(SUBSTITUTE(SUBSTITUTE(UPPER($L19)," ",""),"F",""),";",REPT(" ",30)),61,30))),0)+IFERROR(VALUE(TRIM(MID(SUBSTITUTE(SUBSTITUTE(SUBSTITUTE(UPPER($L19)," ",""),"F",""),";",REPT(" ",30)),91,30))),0)+IFERROR(VALUE(TRIM(MID(SUBSTITUTE(SUBSTITUTE(SUBSTITUTE(UPPER($L19)," ",""),"F",""),";",REPT(" ",30)),121,30))),0)+IFERROR(VALUE(TRIM(MID(SUBSTITUTE(SUBSTITUTE(SUBSTITUTE(UPPER($L19)," ",""),"F",""),";",REPT(" ",30)),151,30))),0)+IFERROR(VALUE(TRIM(MID(SUBSTITUTE(SUBSTITUTE(SUBSTITUTE(UPPER($L19)," ",""),"F",""),";",REPT(" ",30)),181,30))),0)+IFERROR(VALUE(TRIM(MID(SUBSTITUTE(SUBSTITUTE(SUBSTITUTE(UPPER($L19)," ",""),"F",""),";",REPT(" ",30)),211,30))),0)))))</f>
        <v/>
      </c>
      <c r="O19" s="26" t="n"/>
      <c r="P19" s="6" t="n"/>
      <c r="Q19" s="13" t="n"/>
      <c r="R19" s="27">
        <f>IF($C19="","",IF($E19="Falta","-",MAX(0,MIN(10,5+IFERROR(VALUE(TRIM(MID(SUBSTITUTE(SUBSTITUTE(SUBSTITUTE(UPPER($P19)," ",""),"C",""),";",REPT(" ",30)),1,30))),0)+IFERROR(VALUE(TRIM(MID(SUBSTITUTE(SUBSTITUTE(SUBSTITUTE(UPPER($P19)," ",""),"C",""),";",REPT(" ",30)),31,30))),0)+IFERROR(VALUE(TRIM(MID(SUBSTITUTE(SUBSTITUTE(SUBSTITUTE(UPPER($P19)," ",""),"C",""),";",REPT(" ",30)),61,30))),0)+IFERROR(VALUE(TRIM(MID(SUBSTITUTE(SUBSTITUTE(SUBSTITUTE(UPPER($P19)," ",""),"C",""),";",REPT(" ",30)),91,30))),0)+IFERROR(VALUE(TRIM(MID(SUBSTITUTE(SUBSTITUTE(SUBSTITUTE(UPPER($P19)," ",""),"C",""),";",REPT(" ",30)),121,30))),0)+IFERROR(VALUE(TRIM(MID(SUBSTITUTE(SUBSTITUTE(SUBSTITUTE(UPPER($P19)," ",""),"C",""),";",REPT(" ",30)),151,30))),0)+IFERROR(VALUE(TRIM(MID(SUBSTITUTE(SUBSTITUTE(SUBSTITUTE(UPPER($P19)," ",""),"C",""),";",REPT(" ",30)),181,30))),0)+IFERROR(VALUE(TRIM(MID(SUBSTITUTE(SUBSTITUTE(SUBSTITUTE(UPPER($P19)," ",""),"C",""),";",REPT(" ",30)),211,30))),0)))))</f>
        <v/>
      </c>
      <c r="S19" s="26" t="n"/>
      <c r="T19" s="6" t="n"/>
      <c r="U19" s="13" t="n"/>
      <c r="V19" s="27">
        <f>IF($C19="","",IF($E19="Falta","-",MAX(0,MIN(10,5+IFERROR(VALUE(TRIM(MID(SUBSTITUTE(SUBSTITUTE(SUBSTITUTE(UPPER($T19)," ",""),"P",""),";",REPT(" ",30)),1,30))),0)+IFERROR(VALUE(TRIM(MID(SUBSTITUTE(SUBSTITUTE(SUBSTITUTE(UPPER($T19)," ",""),"P",""),";",REPT(" ",30)),31,30))),0)+IFERROR(VALUE(TRIM(MID(SUBSTITUTE(SUBSTITUTE(SUBSTITUTE(UPPER($T19)," ",""),"P",""),";",REPT(" ",30)),61,30))),0)+IFERROR(VALUE(TRIM(MID(SUBSTITUTE(SUBSTITUTE(SUBSTITUTE(UPPER($T19)," ",""),"P",""),";",REPT(" ",30)),91,30))),0)+IFERROR(VALUE(TRIM(MID(SUBSTITUTE(SUBSTITUTE(SUBSTITUTE(UPPER($T19)," ",""),"P",""),";",REPT(" ",30)),121,30))),0)+IFERROR(VALUE(TRIM(MID(SUBSTITUTE(SUBSTITUTE(SUBSTITUTE(UPPER($T19)," ",""),"P",""),";",REPT(" ",30)),151,30))),0)+IFERROR(VALUE(TRIM(MID(SUBSTITUTE(SUBSTITUTE(SUBSTITUTE(UPPER($T19)," ",""),"P",""),";",REPT(" ",30)),181,30))),0)+IFERROR(VALUE(TRIM(MID(SUBSTITUTE(SUBSTITUTE(SUBSTITUTE(UPPER($T19)," ",""),"P",""),";",REPT(" ",30)),211,30))),0)))))</f>
        <v/>
      </c>
      <c r="W19" s="26" t="n"/>
      <c r="X19" s="13" t="n"/>
    </row>
    <row r="20">
      <c r="A20" s="6">
        <f>IF($C20="","",4)</f>
        <v/>
      </c>
      <c r="B20" s="6">
        <f>IF($C20="","","2ª Sessão")</f>
        <v/>
      </c>
      <c r="C20" s="6">
        <f>IF(Preenchimento!$B$13="","",Preenchimento!$B$13)</f>
        <v/>
      </c>
      <c r="D20" s="6">
        <f>IF($C20="","",IF(Preenchimento!$C$13="","-",Preenchimento!$C$13))</f>
        <v/>
      </c>
      <c r="E20" s="6" t="n"/>
      <c r="F20" s="6" t="n"/>
      <c r="G20" s="26" t="n"/>
      <c r="H20" s="6" t="n"/>
      <c r="I20" s="13" t="n"/>
      <c r="J20" s="27">
        <f>IF($C20="","",IF($E20="Falta","-",MAX(0,MIN(10,8+IFERROR(VALUE(TRIM(MID(SUBSTITUTE(SUBSTITUTE(SUBSTITUTE(UPPER($H20)," ",""),"D",""),";",REPT(" ",30)),1,30))),0)+IFERROR(VALUE(TRIM(MID(SUBSTITUTE(SUBSTITUTE(SUBSTITUTE(UPPER($H20)," ",""),"D",""),";",REPT(" ",30)),31,30))),0)+IFERROR(VALUE(TRIM(MID(SUBSTITUTE(SUBSTITUTE(SUBSTITUTE(UPPER($H20)," ",""),"D",""),";",REPT(" ",30)),61,30))),0)+IFERROR(VALUE(TRIM(MID(SUBSTITUTE(SUBSTITUTE(SUBSTITUTE(UPPER($H20)," ",""),"D",""),";",REPT(" ",30)),91,30))),0)+IFERROR(VALUE(TRIM(MID(SUBSTITUTE(SUBSTITUTE(SUBSTITUTE(UPPER($H20)," ",""),"D",""),";",REPT(" ",30)),121,30))),0)+IFERROR(VALUE(TRIM(MID(SUBSTITUTE(SUBSTITUTE(SUBSTITUTE(UPPER($H20)," ",""),"D",""),";",REPT(" ",30)),151,30))),0)+IFERROR(VALUE(TRIM(MID(SUBSTITUTE(SUBSTITUTE(SUBSTITUTE(UPPER($H20)," ",""),"D",""),";",REPT(" ",30)),181,30))),0)+IFERROR(VALUE(TRIM(MID(SUBSTITUTE(SUBSTITUTE(SUBSTITUTE(UPPER($H20)," ",""),"D",""),";",REPT(" ",30)),211,30))),0)))))</f>
        <v/>
      </c>
      <c r="K20" s="26" t="n"/>
      <c r="L20" s="6" t="n"/>
      <c r="M20" s="13" t="n"/>
      <c r="N20" s="27">
        <f>IF($C20="","",IF($E20="Falta","-",MAX(0,MIN(10,8+IFERROR(VALUE(TRIM(MID(SUBSTITUTE(SUBSTITUTE(SUBSTITUTE(UPPER($L20)," ",""),"F",""),";",REPT(" ",30)),1,30))),0)+IFERROR(VALUE(TRIM(MID(SUBSTITUTE(SUBSTITUTE(SUBSTITUTE(UPPER($L20)," ",""),"F",""),";",REPT(" ",30)),31,30))),0)+IFERROR(VALUE(TRIM(MID(SUBSTITUTE(SUBSTITUTE(SUBSTITUTE(UPPER($L20)," ",""),"F",""),";",REPT(" ",30)),61,30))),0)+IFERROR(VALUE(TRIM(MID(SUBSTITUTE(SUBSTITUTE(SUBSTITUTE(UPPER($L20)," ",""),"F",""),";",REPT(" ",30)),91,30))),0)+IFERROR(VALUE(TRIM(MID(SUBSTITUTE(SUBSTITUTE(SUBSTITUTE(UPPER($L20)," ",""),"F",""),";",REPT(" ",30)),121,30))),0)+IFERROR(VALUE(TRIM(MID(SUBSTITUTE(SUBSTITUTE(SUBSTITUTE(UPPER($L20)," ",""),"F",""),";",REPT(" ",30)),151,30))),0)+IFERROR(VALUE(TRIM(MID(SUBSTITUTE(SUBSTITUTE(SUBSTITUTE(UPPER($L20)," ",""),"F",""),";",REPT(" ",30)),181,30))),0)+IFERROR(VALUE(TRIM(MID(SUBSTITUTE(SUBSTITUTE(SUBSTITUTE(UPPER($L20)," ",""),"F",""),";",REPT(" ",30)),211,30))),0)))))</f>
        <v/>
      </c>
      <c r="O20" s="26" t="n"/>
      <c r="P20" s="6" t="n"/>
      <c r="Q20" s="13" t="n"/>
      <c r="R20" s="27">
        <f>IF($C20="","",IF($E20="Falta","-",MAX(0,MIN(10,5+IFERROR(VALUE(TRIM(MID(SUBSTITUTE(SUBSTITUTE(SUBSTITUTE(UPPER($P20)," ",""),"C",""),";",REPT(" ",30)),1,30))),0)+IFERROR(VALUE(TRIM(MID(SUBSTITUTE(SUBSTITUTE(SUBSTITUTE(UPPER($P20)," ",""),"C",""),";",REPT(" ",30)),31,30))),0)+IFERROR(VALUE(TRIM(MID(SUBSTITUTE(SUBSTITUTE(SUBSTITUTE(UPPER($P20)," ",""),"C",""),";",REPT(" ",30)),61,30))),0)+IFERROR(VALUE(TRIM(MID(SUBSTITUTE(SUBSTITUTE(SUBSTITUTE(UPPER($P20)," ",""),"C",""),";",REPT(" ",30)),91,30))),0)+IFERROR(VALUE(TRIM(MID(SUBSTITUTE(SUBSTITUTE(SUBSTITUTE(UPPER($P20)," ",""),"C",""),";",REPT(" ",30)),121,30))),0)+IFERROR(VALUE(TRIM(MID(SUBSTITUTE(SUBSTITUTE(SUBSTITUTE(UPPER($P20)," ",""),"C",""),";",REPT(" ",30)),151,30))),0)+IFERROR(VALUE(TRIM(MID(SUBSTITUTE(SUBSTITUTE(SUBSTITUTE(UPPER($P20)," ",""),"C",""),";",REPT(" ",30)),181,30))),0)+IFERROR(VALUE(TRIM(MID(SUBSTITUTE(SUBSTITUTE(SUBSTITUTE(UPPER($P20)," ",""),"C",""),";",REPT(" ",30)),211,30))),0)))))</f>
        <v/>
      </c>
      <c r="S20" s="26" t="n"/>
      <c r="T20" s="6" t="n"/>
      <c r="U20" s="13" t="n"/>
      <c r="V20" s="27">
        <f>IF($C20="","",IF($E20="Falta","-",MAX(0,MIN(10,5+IFERROR(VALUE(TRIM(MID(SUBSTITUTE(SUBSTITUTE(SUBSTITUTE(UPPER($T20)," ",""),"P",""),";",REPT(" ",30)),1,30))),0)+IFERROR(VALUE(TRIM(MID(SUBSTITUTE(SUBSTITUTE(SUBSTITUTE(UPPER($T20)," ",""),"P",""),";",REPT(" ",30)),31,30))),0)+IFERROR(VALUE(TRIM(MID(SUBSTITUTE(SUBSTITUTE(SUBSTITUTE(UPPER($T20)," ",""),"P",""),";",REPT(" ",30)),61,30))),0)+IFERROR(VALUE(TRIM(MID(SUBSTITUTE(SUBSTITUTE(SUBSTITUTE(UPPER($T20)," ",""),"P",""),";",REPT(" ",30)),91,30))),0)+IFERROR(VALUE(TRIM(MID(SUBSTITUTE(SUBSTITUTE(SUBSTITUTE(UPPER($T20)," ",""),"P",""),";",REPT(" ",30)),121,30))),0)+IFERROR(VALUE(TRIM(MID(SUBSTITUTE(SUBSTITUTE(SUBSTITUTE(UPPER($T20)," ",""),"P",""),";",REPT(" ",30)),151,30))),0)+IFERROR(VALUE(TRIM(MID(SUBSTITUTE(SUBSTITUTE(SUBSTITUTE(UPPER($T20)," ",""),"P",""),";",REPT(" ",30)),181,30))),0)+IFERROR(VALUE(TRIM(MID(SUBSTITUTE(SUBSTITUTE(SUBSTITUTE(UPPER($T20)," ",""),"P",""),";",REPT(" ",30)),211,30))),0)))))</f>
        <v/>
      </c>
      <c r="W20" s="26" t="n"/>
      <c r="X20" s="13" t="n"/>
    </row>
    <row r="21">
      <c r="A21" s="6">
        <f>IF($C21="","",4)</f>
        <v/>
      </c>
      <c r="B21" s="6">
        <f>IF($C21="","","3ª Sessão")</f>
        <v/>
      </c>
      <c r="C21" s="6">
        <f>IF(Preenchimento!$B$13="","",Preenchimento!$B$13)</f>
        <v/>
      </c>
      <c r="D21" s="6">
        <f>IF($C21="","",IF(Preenchimento!$C$13="","-",Preenchimento!$C$13))</f>
        <v/>
      </c>
      <c r="E21" s="6" t="n"/>
      <c r="F21" s="6" t="n"/>
      <c r="G21" s="26" t="n"/>
      <c r="H21" s="6" t="n"/>
      <c r="I21" s="13" t="n"/>
      <c r="J21" s="27">
        <f>IF($C21="","",IF($E21="Falta","-",MAX(0,MIN(10,8+IFERROR(VALUE(TRIM(MID(SUBSTITUTE(SUBSTITUTE(SUBSTITUTE(UPPER($H21)," ",""),"D",""),";",REPT(" ",30)),1,30))),0)+IFERROR(VALUE(TRIM(MID(SUBSTITUTE(SUBSTITUTE(SUBSTITUTE(UPPER($H21)," ",""),"D",""),";",REPT(" ",30)),31,30))),0)+IFERROR(VALUE(TRIM(MID(SUBSTITUTE(SUBSTITUTE(SUBSTITUTE(UPPER($H21)," ",""),"D",""),";",REPT(" ",30)),61,30))),0)+IFERROR(VALUE(TRIM(MID(SUBSTITUTE(SUBSTITUTE(SUBSTITUTE(UPPER($H21)," ",""),"D",""),";",REPT(" ",30)),91,30))),0)+IFERROR(VALUE(TRIM(MID(SUBSTITUTE(SUBSTITUTE(SUBSTITUTE(UPPER($H21)," ",""),"D",""),";",REPT(" ",30)),121,30))),0)+IFERROR(VALUE(TRIM(MID(SUBSTITUTE(SUBSTITUTE(SUBSTITUTE(UPPER($H21)," ",""),"D",""),";",REPT(" ",30)),151,30))),0)+IFERROR(VALUE(TRIM(MID(SUBSTITUTE(SUBSTITUTE(SUBSTITUTE(UPPER($H21)," ",""),"D",""),";",REPT(" ",30)),181,30))),0)+IFERROR(VALUE(TRIM(MID(SUBSTITUTE(SUBSTITUTE(SUBSTITUTE(UPPER($H21)," ",""),"D",""),";",REPT(" ",30)),211,30))),0)))))</f>
        <v/>
      </c>
      <c r="K21" s="26" t="n"/>
      <c r="L21" s="6" t="n"/>
      <c r="M21" s="13" t="n"/>
      <c r="N21" s="27">
        <f>IF($C21="","",IF($E21="Falta","-",MAX(0,MIN(10,8+IFERROR(VALUE(TRIM(MID(SUBSTITUTE(SUBSTITUTE(SUBSTITUTE(UPPER($L21)," ",""),"F",""),";",REPT(" ",30)),1,30))),0)+IFERROR(VALUE(TRIM(MID(SUBSTITUTE(SUBSTITUTE(SUBSTITUTE(UPPER($L21)," ",""),"F",""),";",REPT(" ",30)),31,30))),0)+IFERROR(VALUE(TRIM(MID(SUBSTITUTE(SUBSTITUTE(SUBSTITUTE(UPPER($L21)," ",""),"F",""),";",REPT(" ",30)),61,30))),0)+IFERROR(VALUE(TRIM(MID(SUBSTITUTE(SUBSTITUTE(SUBSTITUTE(UPPER($L21)," ",""),"F",""),";",REPT(" ",30)),91,30))),0)+IFERROR(VALUE(TRIM(MID(SUBSTITUTE(SUBSTITUTE(SUBSTITUTE(UPPER($L21)," ",""),"F",""),";",REPT(" ",30)),121,30))),0)+IFERROR(VALUE(TRIM(MID(SUBSTITUTE(SUBSTITUTE(SUBSTITUTE(UPPER($L21)," ",""),"F",""),";",REPT(" ",30)),151,30))),0)+IFERROR(VALUE(TRIM(MID(SUBSTITUTE(SUBSTITUTE(SUBSTITUTE(UPPER($L21)," ",""),"F",""),";",REPT(" ",30)),181,30))),0)+IFERROR(VALUE(TRIM(MID(SUBSTITUTE(SUBSTITUTE(SUBSTITUTE(UPPER($L21)," ",""),"F",""),";",REPT(" ",30)),211,30))),0)))))</f>
        <v/>
      </c>
      <c r="O21" s="26" t="n"/>
      <c r="P21" s="6" t="n"/>
      <c r="Q21" s="13" t="n"/>
      <c r="R21" s="27">
        <f>IF($C21="","",IF($E21="Falta","-",MAX(0,MIN(10,5+IFERROR(VALUE(TRIM(MID(SUBSTITUTE(SUBSTITUTE(SUBSTITUTE(UPPER($P21)," ",""),"C",""),";",REPT(" ",30)),1,30))),0)+IFERROR(VALUE(TRIM(MID(SUBSTITUTE(SUBSTITUTE(SUBSTITUTE(UPPER($P21)," ",""),"C",""),";",REPT(" ",30)),31,30))),0)+IFERROR(VALUE(TRIM(MID(SUBSTITUTE(SUBSTITUTE(SUBSTITUTE(UPPER($P21)," ",""),"C",""),";",REPT(" ",30)),61,30))),0)+IFERROR(VALUE(TRIM(MID(SUBSTITUTE(SUBSTITUTE(SUBSTITUTE(UPPER($P21)," ",""),"C",""),";",REPT(" ",30)),91,30))),0)+IFERROR(VALUE(TRIM(MID(SUBSTITUTE(SUBSTITUTE(SUBSTITUTE(UPPER($P21)," ",""),"C",""),";",REPT(" ",30)),121,30))),0)+IFERROR(VALUE(TRIM(MID(SUBSTITUTE(SUBSTITUTE(SUBSTITUTE(UPPER($P21)," ",""),"C",""),";",REPT(" ",30)),151,30))),0)+IFERROR(VALUE(TRIM(MID(SUBSTITUTE(SUBSTITUTE(SUBSTITUTE(UPPER($P21)," ",""),"C",""),";",REPT(" ",30)),181,30))),0)+IFERROR(VALUE(TRIM(MID(SUBSTITUTE(SUBSTITUTE(SUBSTITUTE(UPPER($P21)," ",""),"C",""),";",REPT(" ",30)),211,30))),0)))))</f>
        <v/>
      </c>
      <c r="S21" s="26" t="n"/>
      <c r="T21" s="6" t="n"/>
      <c r="U21" s="13" t="n"/>
      <c r="V21" s="27">
        <f>IF($C21="","",IF($E21="Falta","-",MAX(0,MIN(10,5+IFERROR(VALUE(TRIM(MID(SUBSTITUTE(SUBSTITUTE(SUBSTITUTE(UPPER($T21)," ",""),"P",""),";",REPT(" ",30)),1,30))),0)+IFERROR(VALUE(TRIM(MID(SUBSTITUTE(SUBSTITUTE(SUBSTITUTE(UPPER($T21)," ",""),"P",""),";",REPT(" ",30)),31,30))),0)+IFERROR(VALUE(TRIM(MID(SUBSTITUTE(SUBSTITUTE(SUBSTITUTE(UPPER($T21)," ",""),"P",""),";",REPT(" ",30)),61,30))),0)+IFERROR(VALUE(TRIM(MID(SUBSTITUTE(SUBSTITUTE(SUBSTITUTE(UPPER($T21)," ",""),"P",""),";",REPT(" ",30)),91,30))),0)+IFERROR(VALUE(TRIM(MID(SUBSTITUTE(SUBSTITUTE(SUBSTITUTE(UPPER($T21)," ",""),"P",""),";",REPT(" ",30)),121,30))),0)+IFERROR(VALUE(TRIM(MID(SUBSTITUTE(SUBSTITUTE(SUBSTITUTE(UPPER($T21)," ",""),"P",""),";",REPT(" ",30)),151,30))),0)+IFERROR(VALUE(TRIM(MID(SUBSTITUTE(SUBSTITUTE(SUBSTITUTE(UPPER($T21)," ",""),"P",""),";",REPT(" ",30)),181,30))),0)+IFERROR(VALUE(TRIM(MID(SUBSTITUTE(SUBSTITUTE(SUBSTITUTE(UPPER($T21)," ",""),"P",""),";",REPT(" ",30)),211,30))),0)))))</f>
        <v/>
      </c>
      <c r="W21" s="26" t="n"/>
      <c r="X21" s="13" t="n"/>
    </row>
    <row r="22">
      <c r="A22" s="6">
        <f>IF($C22="","",4)</f>
        <v/>
      </c>
      <c r="B22" s="6">
        <f>IF($C22="","","4ª Sessão")</f>
        <v/>
      </c>
      <c r="C22" s="6">
        <f>IF(Preenchimento!$B$13="","",Preenchimento!$B$13)</f>
        <v/>
      </c>
      <c r="D22" s="6">
        <f>IF($C22="","",IF(Preenchimento!$C$13="","-",Preenchimento!$C$13))</f>
        <v/>
      </c>
      <c r="E22" s="6" t="n"/>
      <c r="F22" s="6" t="n"/>
      <c r="G22" s="26" t="n"/>
      <c r="H22" s="6" t="n"/>
      <c r="I22" s="13" t="n"/>
      <c r="J22" s="27">
        <f>IF($C22="","",IF($E22="Falta","-",MAX(0,MIN(10,8+IFERROR(VALUE(TRIM(MID(SUBSTITUTE(SUBSTITUTE(SUBSTITUTE(UPPER($H22)," ",""),"D",""),";",REPT(" ",30)),1,30))),0)+IFERROR(VALUE(TRIM(MID(SUBSTITUTE(SUBSTITUTE(SUBSTITUTE(UPPER($H22)," ",""),"D",""),";",REPT(" ",30)),31,30))),0)+IFERROR(VALUE(TRIM(MID(SUBSTITUTE(SUBSTITUTE(SUBSTITUTE(UPPER($H22)," ",""),"D",""),";",REPT(" ",30)),61,30))),0)+IFERROR(VALUE(TRIM(MID(SUBSTITUTE(SUBSTITUTE(SUBSTITUTE(UPPER($H22)," ",""),"D",""),";",REPT(" ",30)),91,30))),0)+IFERROR(VALUE(TRIM(MID(SUBSTITUTE(SUBSTITUTE(SUBSTITUTE(UPPER($H22)," ",""),"D",""),";",REPT(" ",30)),121,30))),0)+IFERROR(VALUE(TRIM(MID(SUBSTITUTE(SUBSTITUTE(SUBSTITUTE(UPPER($H22)," ",""),"D",""),";",REPT(" ",30)),151,30))),0)+IFERROR(VALUE(TRIM(MID(SUBSTITUTE(SUBSTITUTE(SUBSTITUTE(UPPER($H22)," ",""),"D",""),";",REPT(" ",30)),181,30))),0)+IFERROR(VALUE(TRIM(MID(SUBSTITUTE(SUBSTITUTE(SUBSTITUTE(UPPER($H22)," ",""),"D",""),";",REPT(" ",30)),211,30))),0)))))</f>
        <v/>
      </c>
      <c r="K22" s="26" t="n"/>
      <c r="L22" s="6" t="n"/>
      <c r="M22" s="13" t="n"/>
      <c r="N22" s="27">
        <f>IF($C22="","",IF($E22="Falta","-",MAX(0,MIN(10,8+IFERROR(VALUE(TRIM(MID(SUBSTITUTE(SUBSTITUTE(SUBSTITUTE(UPPER($L22)," ",""),"F",""),";",REPT(" ",30)),1,30))),0)+IFERROR(VALUE(TRIM(MID(SUBSTITUTE(SUBSTITUTE(SUBSTITUTE(UPPER($L22)," ",""),"F",""),";",REPT(" ",30)),31,30))),0)+IFERROR(VALUE(TRIM(MID(SUBSTITUTE(SUBSTITUTE(SUBSTITUTE(UPPER($L22)," ",""),"F",""),";",REPT(" ",30)),61,30))),0)+IFERROR(VALUE(TRIM(MID(SUBSTITUTE(SUBSTITUTE(SUBSTITUTE(UPPER($L22)," ",""),"F",""),";",REPT(" ",30)),91,30))),0)+IFERROR(VALUE(TRIM(MID(SUBSTITUTE(SUBSTITUTE(SUBSTITUTE(UPPER($L22)," ",""),"F",""),";",REPT(" ",30)),121,30))),0)+IFERROR(VALUE(TRIM(MID(SUBSTITUTE(SUBSTITUTE(SUBSTITUTE(UPPER($L22)," ",""),"F",""),";",REPT(" ",30)),151,30))),0)+IFERROR(VALUE(TRIM(MID(SUBSTITUTE(SUBSTITUTE(SUBSTITUTE(UPPER($L22)," ",""),"F",""),";",REPT(" ",30)),181,30))),0)+IFERROR(VALUE(TRIM(MID(SUBSTITUTE(SUBSTITUTE(SUBSTITUTE(UPPER($L22)," ",""),"F",""),";",REPT(" ",30)),211,30))),0)))))</f>
        <v/>
      </c>
      <c r="O22" s="26" t="n"/>
      <c r="P22" s="6" t="n"/>
      <c r="Q22" s="13" t="n"/>
      <c r="R22" s="27">
        <f>IF($C22="","",IF($E22="Falta","-",MAX(0,MIN(10,5+IFERROR(VALUE(TRIM(MID(SUBSTITUTE(SUBSTITUTE(SUBSTITUTE(UPPER($P22)," ",""),"C",""),";",REPT(" ",30)),1,30))),0)+IFERROR(VALUE(TRIM(MID(SUBSTITUTE(SUBSTITUTE(SUBSTITUTE(UPPER($P22)," ",""),"C",""),";",REPT(" ",30)),31,30))),0)+IFERROR(VALUE(TRIM(MID(SUBSTITUTE(SUBSTITUTE(SUBSTITUTE(UPPER($P22)," ",""),"C",""),";",REPT(" ",30)),61,30))),0)+IFERROR(VALUE(TRIM(MID(SUBSTITUTE(SUBSTITUTE(SUBSTITUTE(UPPER($P22)," ",""),"C",""),";",REPT(" ",30)),91,30))),0)+IFERROR(VALUE(TRIM(MID(SUBSTITUTE(SUBSTITUTE(SUBSTITUTE(UPPER($P22)," ",""),"C",""),";",REPT(" ",30)),121,30))),0)+IFERROR(VALUE(TRIM(MID(SUBSTITUTE(SUBSTITUTE(SUBSTITUTE(UPPER($P22)," ",""),"C",""),";",REPT(" ",30)),151,30))),0)+IFERROR(VALUE(TRIM(MID(SUBSTITUTE(SUBSTITUTE(SUBSTITUTE(UPPER($P22)," ",""),"C",""),";",REPT(" ",30)),181,30))),0)+IFERROR(VALUE(TRIM(MID(SUBSTITUTE(SUBSTITUTE(SUBSTITUTE(UPPER($P22)," ",""),"C",""),";",REPT(" ",30)),211,30))),0)))))</f>
        <v/>
      </c>
      <c r="S22" s="26" t="n"/>
      <c r="T22" s="6" t="n"/>
      <c r="U22" s="13" t="n"/>
      <c r="V22" s="27">
        <f>IF($C22="","",IF($E22="Falta","-",MAX(0,MIN(10,5+IFERROR(VALUE(TRIM(MID(SUBSTITUTE(SUBSTITUTE(SUBSTITUTE(UPPER($T22)," ",""),"P",""),";",REPT(" ",30)),1,30))),0)+IFERROR(VALUE(TRIM(MID(SUBSTITUTE(SUBSTITUTE(SUBSTITUTE(UPPER($T22)," ",""),"P",""),";",REPT(" ",30)),31,30))),0)+IFERROR(VALUE(TRIM(MID(SUBSTITUTE(SUBSTITUTE(SUBSTITUTE(UPPER($T22)," ",""),"P",""),";",REPT(" ",30)),61,30))),0)+IFERROR(VALUE(TRIM(MID(SUBSTITUTE(SUBSTITUTE(SUBSTITUTE(UPPER($T22)," ",""),"P",""),";",REPT(" ",30)),91,30))),0)+IFERROR(VALUE(TRIM(MID(SUBSTITUTE(SUBSTITUTE(SUBSTITUTE(UPPER($T22)," ",""),"P",""),";",REPT(" ",30)),121,30))),0)+IFERROR(VALUE(TRIM(MID(SUBSTITUTE(SUBSTITUTE(SUBSTITUTE(UPPER($T22)," ",""),"P",""),";",REPT(" ",30)),151,30))),0)+IFERROR(VALUE(TRIM(MID(SUBSTITUTE(SUBSTITUTE(SUBSTITUTE(UPPER($T22)," ",""),"P",""),";",REPT(" ",30)),181,30))),0)+IFERROR(VALUE(TRIM(MID(SUBSTITUTE(SUBSTITUTE(SUBSTITUTE(UPPER($T22)," ",""),"P",""),";",REPT(" ",30)),211,30))),0)))))</f>
        <v/>
      </c>
      <c r="W22" s="26" t="n"/>
      <c r="X22" s="13" t="n"/>
    </row>
    <row r="23">
      <c r="A23" s="6">
        <f>IF($C23="","",4)</f>
        <v/>
      </c>
      <c r="B23" s="6">
        <f>IF($C23="","","5ª Sessão")</f>
        <v/>
      </c>
      <c r="C23" s="6">
        <f>IF(Preenchimento!$B$13="","",Preenchimento!$B$13)</f>
        <v/>
      </c>
      <c r="D23" s="6">
        <f>IF($C23="","",IF(Preenchimento!$C$13="","-",Preenchimento!$C$13))</f>
        <v/>
      </c>
      <c r="E23" s="6" t="n"/>
      <c r="F23" s="6" t="n"/>
      <c r="G23" s="26" t="n"/>
      <c r="H23" s="6" t="n"/>
      <c r="I23" s="13" t="n"/>
      <c r="J23" s="27">
        <f>IF($C23="","",IF($E23="Falta","-",MAX(0,MIN(10,8+IFERROR(VALUE(TRIM(MID(SUBSTITUTE(SUBSTITUTE(SUBSTITUTE(UPPER($H23)," ",""),"D",""),";",REPT(" ",30)),1,30))),0)+IFERROR(VALUE(TRIM(MID(SUBSTITUTE(SUBSTITUTE(SUBSTITUTE(UPPER($H23)," ",""),"D",""),";",REPT(" ",30)),31,30))),0)+IFERROR(VALUE(TRIM(MID(SUBSTITUTE(SUBSTITUTE(SUBSTITUTE(UPPER($H23)," ",""),"D",""),";",REPT(" ",30)),61,30))),0)+IFERROR(VALUE(TRIM(MID(SUBSTITUTE(SUBSTITUTE(SUBSTITUTE(UPPER($H23)," ",""),"D",""),";",REPT(" ",30)),91,30))),0)+IFERROR(VALUE(TRIM(MID(SUBSTITUTE(SUBSTITUTE(SUBSTITUTE(UPPER($H23)," ",""),"D",""),";",REPT(" ",30)),121,30))),0)+IFERROR(VALUE(TRIM(MID(SUBSTITUTE(SUBSTITUTE(SUBSTITUTE(UPPER($H23)," ",""),"D",""),";",REPT(" ",30)),151,30))),0)+IFERROR(VALUE(TRIM(MID(SUBSTITUTE(SUBSTITUTE(SUBSTITUTE(UPPER($H23)," ",""),"D",""),";",REPT(" ",30)),181,30))),0)+IFERROR(VALUE(TRIM(MID(SUBSTITUTE(SUBSTITUTE(SUBSTITUTE(UPPER($H23)," ",""),"D",""),";",REPT(" ",30)),211,30))),0)))))</f>
        <v/>
      </c>
      <c r="K23" s="26" t="n"/>
      <c r="L23" s="6" t="n"/>
      <c r="M23" s="13" t="n"/>
      <c r="N23" s="27">
        <f>IF($C23="","",IF($E23="Falta","-",MAX(0,MIN(10,8+IFERROR(VALUE(TRIM(MID(SUBSTITUTE(SUBSTITUTE(SUBSTITUTE(UPPER($L23)," ",""),"F",""),";",REPT(" ",30)),1,30))),0)+IFERROR(VALUE(TRIM(MID(SUBSTITUTE(SUBSTITUTE(SUBSTITUTE(UPPER($L23)," ",""),"F",""),";",REPT(" ",30)),31,30))),0)+IFERROR(VALUE(TRIM(MID(SUBSTITUTE(SUBSTITUTE(SUBSTITUTE(UPPER($L23)," ",""),"F",""),";",REPT(" ",30)),61,30))),0)+IFERROR(VALUE(TRIM(MID(SUBSTITUTE(SUBSTITUTE(SUBSTITUTE(UPPER($L23)," ",""),"F",""),";",REPT(" ",30)),91,30))),0)+IFERROR(VALUE(TRIM(MID(SUBSTITUTE(SUBSTITUTE(SUBSTITUTE(UPPER($L23)," ",""),"F",""),";",REPT(" ",30)),121,30))),0)+IFERROR(VALUE(TRIM(MID(SUBSTITUTE(SUBSTITUTE(SUBSTITUTE(UPPER($L23)," ",""),"F",""),";",REPT(" ",30)),151,30))),0)+IFERROR(VALUE(TRIM(MID(SUBSTITUTE(SUBSTITUTE(SUBSTITUTE(UPPER($L23)," ",""),"F",""),";",REPT(" ",30)),181,30))),0)+IFERROR(VALUE(TRIM(MID(SUBSTITUTE(SUBSTITUTE(SUBSTITUTE(UPPER($L23)," ",""),"F",""),";",REPT(" ",30)),211,30))),0)))))</f>
        <v/>
      </c>
      <c r="O23" s="26" t="n"/>
      <c r="P23" s="6" t="n"/>
      <c r="Q23" s="13" t="n"/>
      <c r="R23" s="27">
        <f>IF($C23="","",IF($E23="Falta","-",MAX(0,MIN(10,5+IFERROR(VALUE(TRIM(MID(SUBSTITUTE(SUBSTITUTE(SUBSTITUTE(UPPER($P23)," ",""),"C",""),";",REPT(" ",30)),1,30))),0)+IFERROR(VALUE(TRIM(MID(SUBSTITUTE(SUBSTITUTE(SUBSTITUTE(UPPER($P23)," ",""),"C",""),";",REPT(" ",30)),31,30))),0)+IFERROR(VALUE(TRIM(MID(SUBSTITUTE(SUBSTITUTE(SUBSTITUTE(UPPER($P23)," ",""),"C",""),";",REPT(" ",30)),61,30))),0)+IFERROR(VALUE(TRIM(MID(SUBSTITUTE(SUBSTITUTE(SUBSTITUTE(UPPER($P23)," ",""),"C",""),";",REPT(" ",30)),91,30))),0)+IFERROR(VALUE(TRIM(MID(SUBSTITUTE(SUBSTITUTE(SUBSTITUTE(UPPER($P23)," ",""),"C",""),";",REPT(" ",30)),121,30))),0)+IFERROR(VALUE(TRIM(MID(SUBSTITUTE(SUBSTITUTE(SUBSTITUTE(UPPER($P23)," ",""),"C",""),";",REPT(" ",30)),151,30))),0)+IFERROR(VALUE(TRIM(MID(SUBSTITUTE(SUBSTITUTE(SUBSTITUTE(UPPER($P23)," ",""),"C",""),";",REPT(" ",30)),181,30))),0)+IFERROR(VALUE(TRIM(MID(SUBSTITUTE(SUBSTITUTE(SUBSTITUTE(UPPER($P23)," ",""),"C",""),";",REPT(" ",30)),211,30))),0)))))</f>
        <v/>
      </c>
      <c r="S23" s="26" t="n"/>
      <c r="T23" s="6" t="n"/>
      <c r="U23" s="13" t="n"/>
      <c r="V23" s="27">
        <f>IF($C23="","",IF($E23="Falta","-",MAX(0,MIN(10,5+IFERROR(VALUE(TRIM(MID(SUBSTITUTE(SUBSTITUTE(SUBSTITUTE(UPPER($T23)," ",""),"P",""),";",REPT(" ",30)),1,30))),0)+IFERROR(VALUE(TRIM(MID(SUBSTITUTE(SUBSTITUTE(SUBSTITUTE(UPPER($T23)," ",""),"P",""),";",REPT(" ",30)),31,30))),0)+IFERROR(VALUE(TRIM(MID(SUBSTITUTE(SUBSTITUTE(SUBSTITUTE(UPPER($T23)," ",""),"P",""),";",REPT(" ",30)),61,30))),0)+IFERROR(VALUE(TRIM(MID(SUBSTITUTE(SUBSTITUTE(SUBSTITUTE(UPPER($T23)," ",""),"P",""),";",REPT(" ",30)),91,30))),0)+IFERROR(VALUE(TRIM(MID(SUBSTITUTE(SUBSTITUTE(SUBSTITUTE(UPPER($T23)," ",""),"P",""),";",REPT(" ",30)),121,30))),0)+IFERROR(VALUE(TRIM(MID(SUBSTITUTE(SUBSTITUTE(SUBSTITUTE(UPPER($T23)," ",""),"P",""),";",REPT(" ",30)),151,30))),0)+IFERROR(VALUE(TRIM(MID(SUBSTITUTE(SUBSTITUTE(SUBSTITUTE(UPPER($T23)," ",""),"P",""),";",REPT(" ",30)),181,30))),0)+IFERROR(VALUE(TRIM(MID(SUBSTITUTE(SUBSTITUTE(SUBSTITUTE(UPPER($T23)," ",""),"P",""),";",REPT(" ",30)),211,30))),0)))))</f>
        <v/>
      </c>
      <c r="W23" s="26" t="n"/>
      <c r="X23" s="13" t="n"/>
    </row>
    <row r="24">
      <c r="A24" s="8">
        <f>IF($C24="","",5)</f>
        <v/>
      </c>
      <c r="B24" s="8">
        <f>IF($C24="","","1ª Sessão")</f>
        <v/>
      </c>
      <c r="C24" s="8">
        <f>IF(Preenchimento!$B$14="","",Preenchimento!$B$14)</f>
        <v/>
      </c>
      <c r="D24" s="8">
        <f>IF($C24="","",IF(Preenchimento!$C$14="","-",Preenchimento!$C$14))</f>
        <v/>
      </c>
      <c r="E24" s="8" t="n"/>
      <c r="F24" s="8" t="n"/>
      <c r="G24" s="24" t="n"/>
      <c r="H24" s="8" t="n"/>
      <c r="I24" s="14" t="n"/>
      <c r="J24" s="25">
        <f>IF($C24="","",IF($E24="Falta","-",MAX(0,MIN(10,8+IFERROR(VALUE(TRIM(MID(SUBSTITUTE(SUBSTITUTE(SUBSTITUTE(UPPER($H24)," ",""),"D",""),";",REPT(" ",30)),1,30))),0)+IFERROR(VALUE(TRIM(MID(SUBSTITUTE(SUBSTITUTE(SUBSTITUTE(UPPER($H24)," ",""),"D",""),";",REPT(" ",30)),31,30))),0)+IFERROR(VALUE(TRIM(MID(SUBSTITUTE(SUBSTITUTE(SUBSTITUTE(UPPER($H24)," ",""),"D",""),";",REPT(" ",30)),61,30))),0)+IFERROR(VALUE(TRIM(MID(SUBSTITUTE(SUBSTITUTE(SUBSTITUTE(UPPER($H24)," ",""),"D",""),";",REPT(" ",30)),91,30))),0)+IFERROR(VALUE(TRIM(MID(SUBSTITUTE(SUBSTITUTE(SUBSTITUTE(UPPER($H24)," ",""),"D",""),";",REPT(" ",30)),121,30))),0)+IFERROR(VALUE(TRIM(MID(SUBSTITUTE(SUBSTITUTE(SUBSTITUTE(UPPER($H24)," ",""),"D",""),";",REPT(" ",30)),151,30))),0)+IFERROR(VALUE(TRIM(MID(SUBSTITUTE(SUBSTITUTE(SUBSTITUTE(UPPER($H24)," ",""),"D",""),";",REPT(" ",30)),181,30))),0)+IFERROR(VALUE(TRIM(MID(SUBSTITUTE(SUBSTITUTE(SUBSTITUTE(UPPER($H24)," ",""),"D",""),";",REPT(" ",30)),211,30))),0)))))</f>
        <v/>
      </c>
      <c r="K24" s="24" t="n"/>
      <c r="L24" s="8" t="n"/>
      <c r="M24" s="14" t="n"/>
      <c r="N24" s="25">
        <f>IF($C24="","",IF($E24="Falta","-",MAX(0,MIN(10,8+IFERROR(VALUE(TRIM(MID(SUBSTITUTE(SUBSTITUTE(SUBSTITUTE(UPPER($L24)," ",""),"F",""),";",REPT(" ",30)),1,30))),0)+IFERROR(VALUE(TRIM(MID(SUBSTITUTE(SUBSTITUTE(SUBSTITUTE(UPPER($L24)," ",""),"F",""),";",REPT(" ",30)),31,30))),0)+IFERROR(VALUE(TRIM(MID(SUBSTITUTE(SUBSTITUTE(SUBSTITUTE(UPPER($L24)," ",""),"F",""),";",REPT(" ",30)),61,30))),0)+IFERROR(VALUE(TRIM(MID(SUBSTITUTE(SUBSTITUTE(SUBSTITUTE(UPPER($L24)," ",""),"F",""),";",REPT(" ",30)),91,30))),0)+IFERROR(VALUE(TRIM(MID(SUBSTITUTE(SUBSTITUTE(SUBSTITUTE(UPPER($L24)," ",""),"F",""),";",REPT(" ",30)),121,30))),0)+IFERROR(VALUE(TRIM(MID(SUBSTITUTE(SUBSTITUTE(SUBSTITUTE(UPPER($L24)," ",""),"F",""),";",REPT(" ",30)),151,30))),0)+IFERROR(VALUE(TRIM(MID(SUBSTITUTE(SUBSTITUTE(SUBSTITUTE(UPPER($L24)," ",""),"F",""),";",REPT(" ",30)),181,30))),0)+IFERROR(VALUE(TRIM(MID(SUBSTITUTE(SUBSTITUTE(SUBSTITUTE(UPPER($L24)," ",""),"F",""),";",REPT(" ",30)),211,30))),0)))))</f>
        <v/>
      </c>
      <c r="O24" s="24" t="n"/>
      <c r="P24" s="8" t="n"/>
      <c r="Q24" s="14" t="n"/>
      <c r="R24" s="25">
        <f>IF($C24="","",IF($E24="Falta","-",MAX(0,MIN(10,5+IFERROR(VALUE(TRIM(MID(SUBSTITUTE(SUBSTITUTE(SUBSTITUTE(UPPER($P24)," ",""),"C",""),";",REPT(" ",30)),1,30))),0)+IFERROR(VALUE(TRIM(MID(SUBSTITUTE(SUBSTITUTE(SUBSTITUTE(UPPER($P24)," ",""),"C",""),";",REPT(" ",30)),31,30))),0)+IFERROR(VALUE(TRIM(MID(SUBSTITUTE(SUBSTITUTE(SUBSTITUTE(UPPER($P24)," ",""),"C",""),";",REPT(" ",30)),61,30))),0)+IFERROR(VALUE(TRIM(MID(SUBSTITUTE(SUBSTITUTE(SUBSTITUTE(UPPER($P24)," ",""),"C",""),";",REPT(" ",30)),91,30))),0)+IFERROR(VALUE(TRIM(MID(SUBSTITUTE(SUBSTITUTE(SUBSTITUTE(UPPER($P24)," ",""),"C",""),";",REPT(" ",30)),121,30))),0)+IFERROR(VALUE(TRIM(MID(SUBSTITUTE(SUBSTITUTE(SUBSTITUTE(UPPER($P24)," ",""),"C",""),";",REPT(" ",30)),151,30))),0)+IFERROR(VALUE(TRIM(MID(SUBSTITUTE(SUBSTITUTE(SUBSTITUTE(UPPER($P24)," ",""),"C",""),";",REPT(" ",30)),181,30))),0)+IFERROR(VALUE(TRIM(MID(SUBSTITUTE(SUBSTITUTE(SUBSTITUTE(UPPER($P24)," ",""),"C",""),";",REPT(" ",30)),211,30))),0)))))</f>
        <v/>
      </c>
      <c r="S24" s="24" t="n"/>
      <c r="T24" s="8" t="n"/>
      <c r="U24" s="14" t="n"/>
      <c r="V24" s="25">
        <f>IF($C24="","",IF($E24="Falta","-",MAX(0,MIN(10,5+IFERROR(VALUE(TRIM(MID(SUBSTITUTE(SUBSTITUTE(SUBSTITUTE(UPPER($T24)," ",""),"P",""),";",REPT(" ",30)),1,30))),0)+IFERROR(VALUE(TRIM(MID(SUBSTITUTE(SUBSTITUTE(SUBSTITUTE(UPPER($T24)," ",""),"P",""),";",REPT(" ",30)),31,30))),0)+IFERROR(VALUE(TRIM(MID(SUBSTITUTE(SUBSTITUTE(SUBSTITUTE(UPPER($T24)," ",""),"P",""),";",REPT(" ",30)),61,30))),0)+IFERROR(VALUE(TRIM(MID(SUBSTITUTE(SUBSTITUTE(SUBSTITUTE(UPPER($T24)," ",""),"P",""),";",REPT(" ",30)),91,30))),0)+IFERROR(VALUE(TRIM(MID(SUBSTITUTE(SUBSTITUTE(SUBSTITUTE(UPPER($T24)," ",""),"P",""),";",REPT(" ",30)),121,30))),0)+IFERROR(VALUE(TRIM(MID(SUBSTITUTE(SUBSTITUTE(SUBSTITUTE(UPPER($T24)," ",""),"P",""),";",REPT(" ",30)),151,30))),0)+IFERROR(VALUE(TRIM(MID(SUBSTITUTE(SUBSTITUTE(SUBSTITUTE(UPPER($T24)," ",""),"P",""),";",REPT(" ",30)),181,30))),0)+IFERROR(VALUE(TRIM(MID(SUBSTITUTE(SUBSTITUTE(SUBSTITUTE(UPPER($T24)," ",""),"P",""),";",REPT(" ",30)),211,30))),0)))))</f>
        <v/>
      </c>
      <c r="W24" s="24" t="n"/>
      <c r="X24" s="14" t="n"/>
    </row>
    <row r="25">
      <c r="A25" s="8">
        <f>IF($C25="","",5)</f>
        <v/>
      </c>
      <c r="B25" s="8">
        <f>IF($C25="","","2ª Sessão")</f>
        <v/>
      </c>
      <c r="C25" s="8">
        <f>IF(Preenchimento!$B$14="","",Preenchimento!$B$14)</f>
        <v/>
      </c>
      <c r="D25" s="8">
        <f>IF($C25="","",IF(Preenchimento!$C$14="","-",Preenchimento!$C$14))</f>
        <v/>
      </c>
      <c r="E25" s="8" t="n"/>
      <c r="F25" s="8" t="n"/>
      <c r="G25" s="24" t="n"/>
      <c r="H25" s="8" t="n"/>
      <c r="I25" s="14" t="n"/>
      <c r="J25" s="25">
        <f>IF($C25="","",IF($E25="Falta","-",MAX(0,MIN(10,8+IFERROR(VALUE(TRIM(MID(SUBSTITUTE(SUBSTITUTE(SUBSTITUTE(UPPER($H25)," ",""),"D",""),";",REPT(" ",30)),1,30))),0)+IFERROR(VALUE(TRIM(MID(SUBSTITUTE(SUBSTITUTE(SUBSTITUTE(UPPER($H25)," ",""),"D",""),";",REPT(" ",30)),31,30))),0)+IFERROR(VALUE(TRIM(MID(SUBSTITUTE(SUBSTITUTE(SUBSTITUTE(UPPER($H25)," ",""),"D",""),";",REPT(" ",30)),61,30))),0)+IFERROR(VALUE(TRIM(MID(SUBSTITUTE(SUBSTITUTE(SUBSTITUTE(UPPER($H25)," ",""),"D",""),";",REPT(" ",30)),91,30))),0)+IFERROR(VALUE(TRIM(MID(SUBSTITUTE(SUBSTITUTE(SUBSTITUTE(UPPER($H25)," ",""),"D",""),";",REPT(" ",30)),121,30))),0)+IFERROR(VALUE(TRIM(MID(SUBSTITUTE(SUBSTITUTE(SUBSTITUTE(UPPER($H25)," ",""),"D",""),";",REPT(" ",30)),151,30))),0)+IFERROR(VALUE(TRIM(MID(SUBSTITUTE(SUBSTITUTE(SUBSTITUTE(UPPER($H25)," ",""),"D",""),";",REPT(" ",30)),181,30))),0)+IFERROR(VALUE(TRIM(MID(SUBSTITUTE(SUBSTITUTE(SUBSTITUTE(UPPER($H25)," ",""),"D",""),";",REPT(" ",30)),211,30))),0)))))</f>
        <v/>
      </c>
      <c r="K25" s="24" t="n"/>
      <c r="L25" s="8" t="n"/>
      <c r="M25" s="14" t="n"/>
      <c r="N25" s="25">
        <f>IF($C25="","",IF($E25="Falta","-",MAX(0,MIN(10,8+IFERROR(VALUE(TRIM(MID(SUBSTITUTE(SUBSTITUTE(SUBSTITUTE(UPPER($L25)," ",""),"F",""),";",REPT(" ",30)),1,30))),0)+IFERROR(VALUE(TRIM(MID(SUBSTITUTE(SUBSTITUTE(SUBSTITUTE(UPPER($L25)," ",""),"F",""),";",REPT(" ",30)),31,30))),0)+IFERROR(VALUE(TRIM(MID(SUBSTITUTE(SUBSTITUTE(SUBSTITUTE(UPPER($L25)," ",""),"F",""),";",REPT(" ",30)),61,30))),0)+IFERROR(VALUE(TRIM(MID(SUBSTITUTE(SUBSTITUTE(SUBSTITUTE(UPPER($L25)," ",""),"F",""),";",REPT(" ",30)),91,30))),0)+IFERROR(VALUE(TRIM(MID(SUBSTITUTE(SUBSTITUTE(SUBSTITUTE(UPPER($L25)," ",""),"F",""),";",REPT(" ",30)),121,30))),0)+IFERROR(VALUE(TRIM(MID(SUBSTITUTE(SUBSTITUTE(SUBSTITUTE(UPPER($L25)," ",""),"F",""),";",REPT(" ",30)),151,30))),0)+IFERROR(VALUE(TRIM(MID(SUBSTITUTE(SUBSTITUTE(SUBSTITUTE(UPPER($L25)," ",""),"F",""),";",REPT(" ",30)),181,30))),0)+IFERROR(VALUE(TRIM(MID(SUBSTITUTE(SUBSTITUTE(SUBSTITUTE(UPPER($L25)," ",""),"F",""),";",REPT(" ",30)),211,30))),0)))))</f>
        <v/>
      </c>
      <c r="O25" s="24" t="n"/>
      <c r="P25" s="8" t="n"/>
      <c r="Q25" s="14" t="n"/>
      <c r="R25" s="25">
        <f>IF($C25="","",IF($E25="Falta","-",MAX(0,MIN(10,5+IFERROR(VALUE(TRIM(MID(SUBSTITUTE(SUBSTITUTE(SUBSTITUTE(UPPER($P25)," ",""),"C",""),";",REPT(" ",30)),1,30))),0)+IFERROR(VALUE(TRIM(MID(SUBSTITUTE(SUBSTITUTE(SUBSTITUTE(UPPER($P25)," ",""),"C",""),";",REPT(" ",30)),31,30))),0)+IFERROR(VALUE(TRIM(MID(SUBSTITUTE(SUBSTITUTE(SUBSTITUTE(UPPER($P25)," ",""),"C",""),";",REPT(" ",30)),61,30))),0)+IFERROR(VALUE(TRIM(MID(SUBSTITUTE(SUBSTITUTE(SUBSTITUTE(UPPER($P25)," ",""),"C",""),";",REPT(" ",30)),91,30))),0)+IFERROR(VALUE(TRIM(MID(SUBSTITUTE(SUBSTITUTE(SUBSTITUTE(UPPER($P25)," ",""),"C",""),";",REPT(" ",30)),121,30))),0)+IFERROR(VALUE(TRIM(MID(SUBSTITUTE(SUBSTITUTE(SUBSTITUTE(UPPER($P25)," ",""),"C",""),";",REPT(" ",30)),151,30))),0)+IFERROR(VALUE(TRIM(MID(SUBSTITUTE(SUBSTITUTE(SUBSTITUTE(UPPER($P25)," ",""),"C",""),";",REPT(" ",30)),181,30))),0)+IFERROR(VALUE(TRIM(MID(SUBSTITUTE(SUBSTITUTE(SUBSTITUTE(UPPER($P25)," ",""),"C",""),";",REPT(" ",30)),211,30))),0)))))</f>
        <v/>
      </c>
      <c r="S25" s="24" t="n"/>
      <c r="T25" s="8" t="n"/>
      <c r="U25" s="14" t="n"/>
      <c r="V25" s="25">
        <f>IF($C25="","",IF($E25="Falta","-",MAX(0,MIN(10,5+IFERROR(VALUE(TRIM(MID(SUBSTITUTE(SUBSTITUTE(SUBSTITUTE(UPPER($T25)," ",""),"P",""),";",REPT(" ",30)),1,30))),0)+IFERROR(VALUE(TRIM(MID(SUBSTITUTE(SUBSTITUTE(SUBSTITUTE(UPPER($T25)," ",""),"P",""),";",REPT(" ",30)),31,30))),0)+IFERROR(VALUE(TRIM(MID(SUBSTITUTE(SUBSTITUTE(SUBSTITUTE(UPPER($T25)," ",""),"P",""),";",REPT(" ",30)),61,30))),0)+IFERROR(VALUE(TRIM(MID(SUBSTITUTE(SUBSTITUTE(SUBSTITUTE(UPPER($T25)," ",""),"P",""),";",REPT(" ",30)),91,30))),0)+IFERROR(VALUE(TRIM(MID(SUBSTITUTE(SUBSTITUTE(SUBSTITUTE(UPPER($T25)," ",""),"P",""),";",REPT(" ",30)),121,30))),0)+IFERROR(VALUE(TRIM(MID(SUBSTITUTE(SUBSTITUTE(SUBSTITUTE(UPPER($T25)," ",""),"P",""),";",REPT(" ",30)),151,30))),0)+IFERROR(VALUE(TRIM(MID(SUBSTITUTE(SUBSTITUTE(SUBSTITUTE(UPPER($T25)," ",""),"P",""),";",REPT(" ",30)),181,30))),0)+IFERROR(VALUE(TRIM(MID(SUBSTITUTE(SUBSTITUTE(SUBSTITUTE(UPPER($T25)," ",""),"P",""),";",REPT(" ",30)),211,30))),0)))))</f>
        <v/>
      </c>
      <c r="W25" s="24" t="n"/>
      <c r="X25" s="14" t="n"/>
    </row>
    <row r="26">
      <c r="A26" s="8">
        <f>IF($C26="","",5)</f>
        <v/>
      </c>
      <c r="B26" s="8">
        <f>IF($C26="","","3ª Sessão")</f>
        <v/>
      </c>
      <c r="C26" s="8">
        <f>IF(Preenchimento!$B$14="","",Preenchimento!$B$14)</f>
        <v/>
      </c>
      <c r="D26" s="8">
        <f>IF($C26="","",IF(Preenchimento!$C$14="","-",Preenchimento!$C$14))</f>
        <v/>
      </c>
      <c r="E26" s="8" t="n"/>
      <c r="F26" s="8" t="n"/>
      <c r="G26" s="24" t="n"/>
      <c r="H26" s="8" t="n"/>
      <c r="I26" s="14" t="n"/>
      <c r="J26" s="25">
        <f>IF($C26="","",IF($E26="Falta","-",MAX(0,MIN(10,8+IFERROR(VALUE(TRIM(MID(SUBSTITUTE(SUBSTITUTE(SUBSTITUTE(UPPER($H26)," ",""),"D",""),";",REPT(" ",30)),1,30))),0)+IFERROR(VALUE(TRIM(MID(SUBSTITUTE(SUBSTITUTE(SUBSTITUTE(UPPER($H26)," ",""),"D",""),";",REPT(" ",30)),31,30))),0)+IFERROR(VALUE(TRIM(MID(SUBSTITUTE(SUBSTITUTE(SUBSTITUTE(UPPER($H26)," ",""),"D",""),";",REPT(" ",30)),61,30))),0)+IFERROR(VALUE(TRIM(MID(SUBSTITUTE(SUBSTITUTE(SUBSTITUTE(UPPER($H26)," ",""),"D",""),";",REPT(" ",30)),91,30))),0)+IFERROR(VALUE(TRIM(MID(SUBSTITUTE(SUBSTITUTE(SUBSTITUTE(UPPER($H26)," ",""),"D",""),";",REPT(" ",30)),121,30))),0)+IFERROR(VALUE(TRIM(MID(SUBSTITUTE(SUBSTITUTE(SUBSTITUTE(UPPER($H26)," ",""),"D",""),";",REPT(" ",30)),151,30))),0)+IFERROR(VALUE(TRIM(MID(SUBSTITUTE(SUBSTITUTE(SUBSTITUTE(UPPER($H26)," ",""),"D",""),";",REPT(" ",30)),181,30))),0)+IFERROR(VALUE(TRIM(MID(SUBSTITUTE(SUBSTITUTE(SUBSTITUTE(UPPER($H26)," ",""),"D",""),";",REPT(" ",30)),211,30))),0)))))</f>
        <v/>
      </c>
      <c r="K26" s="24" t="n"/>
      <c r="L26" s="8" t="n"/>
      <c r="M26" s="14" t="n"/>
      <c r="N26" s="25">
        <f>IF($C26="","",IF($E26="Falta","-",MAX(0,MIN(10,8+IFERROR(VALUE(TRIM(MID(SUBSTITUTE(SUBSTITUTE(SUBSTITUTE(UPPER($L26)," ",""),"F",""),";",REPT(" ",30)),1,30))),0)+IFERROR(VALUE(TRIM(MID(SUBSTITUTE(SUBSTITUTE(SUBSTITUTE(UPPER($L26)," ",""),"F",""),";",REPT(" ",30)),31,30))),0)+IFERROR(VALUE(TRIM(MID(SUBSTITUTE(SUBSTITUTE(SUBSTITUTE(UPPER($L26)," ",""),"F",""),";",REPT(" ",30)),61,30))),0)+IFERROR(VALUE(TRIM(MID(SUBSTITUTE(SUBSTITUTE(SUBSTITUTE(UPPER($L26)," ",""),"F",""),";",REPT(" ",30)),91,30))),0)+IFERROR(VALUE(TRIM(MID(SUBSTITUTE(SUBSTITUTE(SUBSTITUTE(UPPER($L26)," ",""),"F",""),";",REPT(" ",30)),121,30))),0)+IFERROR(VALUE(TRIM(MID(SUBSTITUTE(SUBSTITUTE(SUBSTITUTE(UPPER($L26)," ",""),"F",""),";",REPT(" ",30)),151,30))),0)+IFERROR(VALUE(TRIM(MID(SUBSTITUTE(SUBSTITUTE(SUBSTITUTE(UPPER($L26)," ",""),"F",""),";",REPT(" ",30)),181,30))),0)+IFERROR(VALUE(TRIM(MID(SUBSTITUTE(SUBSTITUTE(SUBSTITUTE(UPPER($L26)," ",""),"F",""),";",REPT(" ",30)),211,30))),0)))))</f>
        <v/>
      </c>
      <c r="O26" s="24" t="n"/>
      <c r="P26" s="8" t="n"/>
      <c r="Q26" s="14" t="n"/>
      <c r="R26" s="25">
        <f>IF($C26="","",IF($E26="Falta","-",MAX(0,MIN(10,5+IFERROR(VALUE(TRIM(MID(SUBSTITUTE(SUBSTITUTE(SUBSTITUTE(UPPER($P26)," ",""),"C",""),";",REPT(" ",30)),1,30))),0)+IFERROR(VALUE(TRIM(MID(SUBSTITUTE(SUBSTITUTE(SUBSTITUTE(UPPER($P26)," ",""),"C",""),";",REPT(" ",30)),31,30))),0)+IFERROR(VALUE(TRIM(MID(SUBSTITUTE(SUBSTITUTE(SUBSTITUTE(UPPER($P26)," ",""),"C",""),";",REPT(" ",30)),61,30))),0)+IFERROR(VALUE(TRIM(MID(SUBSTITUTE(SUBSTITUTE(SUBSTITUTE(UPPER($P26)," ",""),"C",""),";",REPT(" ",30)),91,30))),0)+IFERROR(VALUE(TRIM(MID(SUBSTITUTE(SUBSTITUTE(SUBSTITUTE(UPPER($P26)," ",""),"C",""),";",REPT(" ",30)),121,30))),0)+IFERROR(VALUE(TRIM(MID(SUBSTITUTE(SUBSTITUTE(SUBSTITUTE(UPPER($P26)," ",""),"C",""),";",REPT(" ",30)),151,30))),0)+IFERROR(VALUE(TRIM(MID(SUBSTITUTE(SUBSTITUTE(SUBSTITUTE(UPPER($P26)," ",""),"C",""),";",REPT(" ",30)),181,30))),0)+IFERROR(VALUE(TRIM(MID(SUBSTITUTE(SUBSTITUTE(SUBSTITUTE(UPPER($P26)," ",""),"C",""),";",REPT(" ",30)),211,30))),0)))))</f>
        <v/>
      </c>
      <c r="S26" s="24" t="n"/>
      <c r="T26" s="8" t="n"/>
      <c r="U26" s="14" t="n"/>
      <c r="V26" s="25">
        <f>IF($C26="","",IF($E26="Falta","-",MAX(0,MIN(10,5+IFERROR(VALUE(TRIM(MID(SUBSTITUTE(SUBSTITUTE(SUBSTITUTE(UPPER($T26)," ",""),"P",""),";",REPT(" ",30)),1,30))),0)+IFERROR(VALUE(TRIM(MID(SUBSTITUTE(SUBSTITUTE(SUBSTITUTE(UPPER($T26)," ",""),"P",""),";",REPT(" ",30)),31,30))),0)+IFERROR(VALUE(TRIM(MID(SUBSTITUTE(SUBSTITUTE(SUBSTITUTE(UPPER($T26)," ",""),"P",""),";",REPT(" ",30)),61,30))),0)+IFERROR(VALUE(TRIM(MID(SUBSTITUTE(SUBSTITUTE(SUBSTITUTE(UPPER($T26)," ",""),"P",""),";",REPT(" ",30)),91,30))),0)+IFERROR(VALUE(TRIM(MID(SUBSTITUTE(SUBSTITUTE(SUBSTITUTE(UPPER($T26)," ",""),"P",""),";",REPT(" ",30)),121,30))),0)+IFERROR(VALUE(TRIM(MID(SUBSTITUTE(SUBSTITUTE(SUBSTITUTE(UPPER($T26)," ",""),"P",""),";",REPT(" ",30)),151,30))),0)+IFERROR(VALUE(TRIM(MID(SUBSTITUTE(SUBSTITUTE(SUBSTITUTE(UPPER($T26)," ",""),"P",""),";",REPT(" ",30)),181,30))),0)+IFERROR(VALUE(TRIM(MID(SUBSTITUTE(SUBSTITUTE(SUBSTITUTE(UPPER($T26)," ",""),"P",""),";",REPT(" ",30)),211,30))),0)))))</f>
        <v/>
      </c>
      <c r="W26" s="24" t="n"/>
      <c r="X26" s="14" t="n"/>
    </row>
    <row r="27">
      <c r="A27" s="8">
        <f>IF($C27="","",5)</f>
        <v/>
      </c>
      <c r="B27" s="8">
        <f>IF($C27="","","4ª Sessão")</f>
        <v/>
      </c>
      <c r="C27" s="8">
        <f>IF(Preenchimento!$B$14="","",Preenchimento!$B$14)</f>
        <v/>
      </c>
      <c r="D27" s="8">
        <f>IF($C27="","",IF(Preenchimento!$C$14="","-",Preenchimento!$C$14))</f>
        <v/>
      </c>
      <c r="E27" s="8" t="n"/>
      <c r="F27" s="8" t="n"/>
      <c r="G27" s="24" t="n"/>
      <c r="H27" s="8" t="n"/>
      <c r="I27" s="14" t="n"/>
      <c r="J27" s="25">
        <f>IF($C27="","",IF($E27="Falta","-",MAX(0,MIN(10,8+IFERROR(VALUE(TRIM(MID(SUBSTITUTE(SUBSTITUTE(SUBSTITUTE(UPPER($H27)," ",""),"D",""),";",REPT(" ",30)),1,30))),0)+IFERROR(VALUE(TRIM(MID(SUBSTITUTE(SUBSTITUTE(SUBSTITUTE(UPPER($H27)," ",""),"D",""),";",REPT(" ",30)),31,30))),0)+IFERROR(VALUE(TRIM(MID(SUBSTITUTE(SUBSTITUTE(SUBSTITUTE(UPPER($H27)," ",""),"D",""),";",REPT(" ",30)),61,30))),0)+IFERROR(VALUE(TRIM(MID(SUBSTITUTE(SUBSTITUTE(SUBSTITUTE(UPPER($H27)," ",""),"D",""),";",REPT(" ",30)),91,30))),0)+IFERROR(VALUE(TRIM(MID(SUBSTITUTE(SUBSTITUTE(SUBSTITUTE(UPPER($H27)," ",""),"D",""),";",REPT(" ",30)),121,30))),0)+IFERROR(VALUE(TRIM(MID(SUBSTITUTE(SUBSTITUTE(SUBSTITUTE(UPPER($H27)," ",""),"D",""),";",REPT(" ",30)),151,30))),0)+IFERROR(VALUE(TRIM(MID(SUBSTITUTE(SUBSTITUTE(SUBSTITUTE(UPPER($H27)," ",""),"D",""),";",REPT(" ",30)),181,30))),0)+IFERROR(VALUE(TRIM(MID(SUBSTITUTE(SUBSTITUTE(SUBSTITUTE(UPPER($H27)," ",""),"D",""),";",REPT(" ",30)),211,30))),0)))))</f>
        <v/>
      </c>
      <c r="K27" s="24" t="n"/>
      <c r="L27" s="8" t="n"/>
      <c r="M27" s="14" t="n"/>
      <c r="N27" s="25">
        <f>IF($C27="","",IF($E27="Falta","-",MAX(0,MIN(10,8+IFERROR(VALUE(TRIM(MID(SUBSTITUTE(SUBSTITUTE(SUBSTITUTE(UPPER($L27)," ",""),"F",""),";",REPT(" ",30)),1,30))),0)+IFERROR(VALUE(TRIM(MID(SUBSTITUTE(SUBSTITUTE(SUBSTITUTE(UPPER($L27)," ",""),"F",""),";",REPT(" ",30)),31,30))),0)+IFERROR(VALUE(TRIM(MID(SUBSTITUTE(SUBSTITUTE(SUBSTITUTE(UPPER($L27)," ",""),"F",""),";",REPT(" ",30)),61,30))),0)+IFERROR(VALUE(TRIM(MID(SUBSTITUTE(SUBSTITUTE(SUBSTITUTE(UPPER($L27)," ",""),"F",""),";",REPT(" ",30)),91,30))),0)+IFERROR(VALUE(TRIM(MID(SUBSTITUTE(SUBSTITUTE(SUBSTITUTE(UPPER($L27)," ",""),"F",""),";",REPT(" ",30)),121,30))),0)+IFERROR(VALUE(TRIM(MID(SUBSTITUTE(SUBSTITUTE(SUBSTITUTE(UPPER($L27)," ",""),"F",""),";",REPT(" ",30)),151,30))),0)+IFERROR(VALUE(TRIM(MID(SUBSTITUTE(SUBSTITUTE(SUBSTITUTE(UPPER($L27)," ",""),"F",""),";",REPT(" ",30)),181,30))),0)+IFERROR(VALUE(TRIM(MID(SUBSTITUTE(SUBSTITUTE(SUBSTITUTE(UPPER($L27)," ",""),"F",""),";",REPT(" ",30)),211,30))),0)))))</f>
        <v/>
      </c>
      <c r="O27" s="24" t="n"/>
      <c r="P27" s="8" t="n"/>
      <c r="Q27" s="14" t="n"/>
      <c r="R27" s="25">
        <f>IF($C27="","",IF($E27="Falta","-",MAX(0,MIN(10,5+IFERROR(VALUE(TRIM(MID(SUBSTITUTE(SUBSTITUTE(SUBSTITUTE(UPPER($P27)," ",""),"C",""),";",REPT(" ",30)),1,30))),0)+IFERROR(VALUE(TRIM(MID(SUBSTITUTE(SUBSTITUTE(SUBSTITUTE(UPPER($P27)," ",""),"C",""),";",REPT(" ",30)),31,30))),0)+IFERROR(VALUE(TRIM(MID(SUBSTITUTE(SUBSTITUTE(SUBSTITUTE(UPPER($P27)," ",""),"C",""),";",REPT(" ",30)),61,30))),0)+IFERROR(VALUE(TRIM(MID(SUBSTITUTE(SUBSTITUTE(SUBSTITUTE(UPPER($P27)," ",""),"C",""),";",REPT(" ",30)),91,30))),0)+IFERROR(VALUE(TRIM(MID(SUBSTITUTE(SUBSTITUTE(SUBSTITUTE(UPPER($P27)," ",""),"C",""),";",REPT(" ",30)),121,30))),0)+IFERROR(VALUE(TRIM(MID(SUBSTITUTE(SUBSTITUTE(SUBSTITUTE(UPPER($P27)," ",""),"C",""),";",REPT(" ",30)),151,30))),0)+IFERROR(VALUE(TRIM(MID(SUBSTITUTE(SUBSTITUTE(SUBSTITUTE(UPPER($P27)," ",""),"C",""),";",REPT(" ",30)),181,30))),0)+IFERROR(VALUE(TRIM(MID(SUBSTITUTE(SUBSTITUTE(SUBSTITUTE(UPPER($P27)," ",""),"C",""),";",REPT(" ",30)),211,30))),0)))))</f>
        <v/>
      </c>
      <c r="S27" s="24" t="n"/>
      <c r="T27" s="8" t="n"/>
      <c r="U27" s="14" t="n"/>
      <c r="V27" s="25">
        <f>IF($C27="","",IF($E27="Falta","-",MAX(0,MIN(10,5+IFERROR(VALUE(TRIM(MID(SUBSTITUTE(SUBSTITUTE(SUBSTITUTE(UPPER($T27)," ",""),"P",""),";",REPT(" ",30)),1,30))),0)+IFERROR(VALUE(TRIM(MID(SUBSTITUTE(SUBSTITUTE(SUBSTITUTE(UPPER($T27)," ",""),"P",""),";",REPT(" ",30)),31,30))),0)+IFERROR(VALUE(TRIM(MID(SUBSTITUTE(SUBSTITUTE(SUBSTITUTE(UPPER($T27)," ",""),"P",""),";",REPT(" ",30)),61,30))),0)+IFERROR(VALUE(TRIM(MID(SUBSTITUTE(SUBSTITUTE(SUBSTITUTE(UPPER($T27)," ",""),"P",""),";",REPT(" ",30)),91,30))),0)+IFERROR(VALUE(TRIM(MID(SUBSTITUTE(SUBSTITUTE(SUBSTITUTE(UPPER($T27)," ",""),"P",""),";",REPT(" ",30)),121,30))),0)+IFERROR(VALUE(TRIM(MID(SUBSTITUTE(SUBSTITUTE(SUBSTITUTE(UPPER($T27)," ",""),"P",""),";",REPT(" ",30)),151,30))),0)+IFERROR(VALUE(TRIM(MID(SUBSTITUTE(SUBSTITUTE(SUBSTITUTE(UPPER($T27)," ",""),"P",""),";",REPT(" ",30)),181,30))),0)+IFERROR(VALUE(TRIM(MID(SUBSTITUTE(SUBSTITUTE(SUBSTITUTE(UPPER($T27)," ",""),"P",""),";",REPT(" ",30)),211,30))),0)))))</f>
        <v/>
      </c>
      <c r="W27" s="24" t="n"/>
      <c r="X27" s="14" t="n"/>
    </row>
    <row r="28">
      <c r="A28" s="8">
        <f>IF($C28="","",5)</f>
        <v/>
      </c>
      <c r="B28" s="8">
        <f>IF($C28="","","5ª Sessão")</f>
        <v/>
      </c>
      <c r="C28" s="8">
        <f>IF(Preenchimento!$B$14="","",Preenchimento!$B$14)</f>
        <v/>
      </c>
      <c r="D28" s="8">
        <f>IF($C28="","",IF(Preenchimento!$C$14="","-",Preenchimento!$C$14))</f>
        <v/>
      </c>
      <c r="E28" s="8" t="n"/>
      <c r="F28" s="8" t="n"/>
      <c r="G28" s="24" t="n"/>
      <c r="H28" s="8" t="n"/>
      <c r="I28" s="14" t="n"/>
      <c r="J28" s="25">
        <f>IF($C28="","",IF($E28="Falta","-",MAX(0,MIN(10,8+IFERROR(VALUE(TRIM(MID(SUBSTITUTE(SUBSTITUTE(SUBSTITUTE(UPPER($H28)," ",""),"D",""),";",REPT(" ",30)),1,30))),0)+IFERROR(VALUE(TRIM(MID(SUBSTITUTE(SUBSTITUTE(SUBSTITUTE(UPPER($H28)," ",""),"D",""),";",REPT(" ",30)),31,30))),0)+IFERROR(VALUE(TRIM(MID(SUBSTITUTE(SUBSTITUTE(SUBSTITUTE(UPPER($H28)," ",""),"D",""),";",REPT(" ",30)),61,30))),0)+IFERROR(VALUE(TRIM(MID(SUBSTITUTE(SUBSTITUTE(SUBSTITUTE(UPPER($H28)," ",""),"D",""),";",REPT(" ",30)),91,30))),0)+IFERROR(VALUE(TRIM(MID(SUBSTITUTE(SUBSTITUTE(SUBSTITUTE(UPPER($H28)," ",""),"D",""),";",REPT(" ",30)),121,30))),0)+IFERROR(VALUE(TRIM(MID(SUBSTITUTE(SUBSTITUTE(SUBSTITUTE(UPPER($H28)," ",""),"D",""),";",REPT(" ",30)),151,30))),0)+IFERROR(VALUE(TRIM(MID(SUBSTITUTE(SUBSTITUTE(SUBSTITUTE(UPPER($H28)," ",""),"D",""),";",REPT(" ",30)),181,30))),0)+IFERROR(VALUE(TRIM(MID(SUBSTITUTE(SUBSTITUTE(SUBSTITUTE(UPPER($H28)," ",""),"D",""),";",REPT(" ",30)),211,30))),0)))))</f>
        <v/>
      </c>
      <c r="K28" s="24" t="n"/>
      <c r="L28" s="8" t="n"/>
      <c r="M28" s="14" t="n"/>
      <c r="N28" s="25">
        <f>IF($C28="","",IF($E28="Falta","-",MAX(0,MIN(10,8+IFERROR(VALUE(TRIM(MID(SUBSTITUTE(SUBSTITUTE(SUBSTITUTE(UPPER($L28)," ",""),"F",""),";",REPT(" ",30)),1,30))),0)+IFERROR(VALUE(TRIM(MID(SUBSTITUTE(SUBSTITUTE(SUBSTITUTE(UPPER($L28)," ",""),"F",""),";",REPT(" ",30)),31,30))),0)+IFERROR(VALUE(TRIM(MID(SUBSTITUTE(SUBSTITUTE(SUBSTITUTE(UPPER($L28)," ",""),"F",""),";",REPT(" ",30)),61,30))),0)+IFERROR(VALUE(TRIM(MID(SUBSTITUTE(SUBSTITUTE(SUBSTITUTE(UPPER($L28)," ",""),"F",""),";",REPT(" ",30)),91,30))),0)+IFERROR(VALUE(TRIM(MID(SUBSTITUTE(SUBSTITUTE(SUBSTITUTE(UPPER($L28)," ",""),"F",""),";",REPT(" ",30)),121,30))),0)+IFERROR(VALUE(TRIM(MID(SUBSTITUTE(SUBSTITUTE(SUBSTITUTE(UPPER($L28)," ",""),"F",""),";",REPT(" ",30)),151,30))),0)+IFERROR(VALUE(TRIM(MID(SUBSTITUTE(SUBSTITUTE(SUBSTITUTE(UPPER($L28)," ",""),"F",""),";",REPT(" ",30)),181,30))),0)+IFERROR(VALUE(TRIM(MID(SUBSTITUTE(SUBSTITUTE(SUBSTITUTE(UPPER($L28)," ",""),"F",""),";",REPT(" ",30)),211,30))),0)))))</f>
        <v/>
      </c>
      <c r="O28" s="24" t="n"/>
      <c r="P28" s="8" t="n"/>
      <c r="Q28" s="14" t="n"/>
      <c r="R28" s="25">
        <f>IF($C28="","",IF($E28="Falta","-",MAX(0,MIN(10,5+IFERROR(VALUE(TRIM(MID(SUBSTITUTE(SUBSTITUTE(SUBSTITUTE(UPPER($P28)," ",""),"C",""),";",REPT(" ",30)),1,30))),0)+IFERROR(VALUE(TRIM(MID(SUBSTITUTE(SUBSTITUTE(SUBSTITUTE(UPPER($P28)," ",""),"C",""),";",REPT(" ",30)),31,30))),0)+IFERROR(VALUE(TRIM(MID(SUBSTITUTE(SUBSTITUTE(SUBSTITUTE(UPPER($P28)," ",""),"C",""),";",REPT(" ",30)),61,30))),0)+IFERROR(VALUE(TRIM(MID(SUBSTITUTE(SUBSTITUTE(SUBSTITUTE(UPPER($P28)," ",""),"C",""),";",REPT(" ",30)),91,30))),0)+IFERROR(VALUE(TRIM(MID(SUBSTITUTE(SUBSTITUTE(SUBSTITUTE(UPPER($P28)," ",""),"C",""),";",REPT(" ",30)),121,30))),0)+IFERROR(VALUE(TRIM(MID(SUBSTITUTE(SUBSTITUTE(SUBSTITUTE(UPPER($P28)," ",""),"C",""),";",REPT(" ",30)),151,30))),0)+IFERROR(VALUE(TRIM(MID(SUBSTITUTE(SUBSTITUTE(SUBSTITUTE(UPPER($P28)," ",""),"C",""),";",REPT(" ",30)),181,30))),0)+IFERROR(VALUE(TRIM(MID(SUBSTITUTE(SUBSTITUTE(SUBSTITUTE(UPPER($P28)," ",""),"C",""),";",REPT(" ",30)),211,30))),0)))))</f>
        <v/>
      </c>
      <c r="S28" s="24" t="n"/>
      <c r="T28" s="8" t="n"/>
      <c r="U28" s="14" t="n"/>
      <c r="V28" s="25">
        <f>IF($C28="","",IF($E28="Falta","-",MAX(0,MIN(10,5+IFERROR(VALUE(TRIM(MID(SUBSTITUTE(SUBSTITUTE(SUBSTITUTE(UPPER($T28)," ",""),"P",""),";",REPT(" ",30)),1,30))),0)+IFERROR(VALUE(TRIM(MID(SUBSTITUTE(SUBSTITUTE(SUBSTITUTE(UPPER($T28)," ",""),"P",""),";",REPT(" ",30)),31,30))),0)+IFERROR(VALUE(TRIM(MID(SUBSTITUTE(SUBSTITUTE(SUBSTITUTE(UPPER($T28)," ",""),"P",""),";",REPT(" ",30)),61,30))),0)+IFERROR(VALUE(TRIM(MID(SUBSTITUTE(SUBSTITUTE(SUBSTITUTE(UPPER($T28)," ",""),"P",""),";",REPT(" ",30)),91,30))),0)+IFERROR(VALUE(TRIM(MID(SUBSTITUTE(SUBSTITUTE(SUBSTITUTE(UPPER($T28)," ",""),"P",""),";",REPT(" ",30)),121,30))),0)+IFERROR(VALUE(TRIM(MID(SUBSTITUTE(SUBSTITUTE(SUBSTITUTE(UPPER($T28)," ",""),"P",""),";",REPT(" ",30)),151,30))),0)+IFERROR(VALUE(TRIM(MID(SUBSTITUTE(SUBSTITUTE(SUBSTITUTE(UPPER($T28)," ",""),"P",""),";",REPT(" ",30)),181,30))),0)+IFERROR(VALUE(TRIM(MID(SUBSTITUTE(SUBSTITUTE(SUBSTITUTE(UPPER($T28)," ",""),"P",""),";",REPT(" ",30)),211,30))),0)))))</f>
        <v/>
      </c>
      <c r="W28" s="24" t="n"/>
      <c r="X28" s="14" t="n"/>
    </row>
    <row r="29">
      <c r="A29" s="6">
        <f>IF($C29="","",6)</f>
        <v/>
      </c>
      <c r="B29" s="6">
        <f>IF($C29="","","1ª Sessão")</f>
        <v/>
      </c>
      <c r="C29" s="6">
        <f>IF(Preenchimento!$B$15="","",Preenchimento!$B$15)</f>
        <v/>
      </c>
      <c r="D29" s="6">
        <f>IF($C29="","",IF(Preenchimento!$C$15="","-",Preenchimento!$C$15))</f>
        <v/>
      </c>
      <c r="E29" s="6" t="n"/>
      <c r="F29" s="6" t="n"/>
      <c r="G29" s="26" t="n"/>
      <c r="H29" s="6" t="n"/>
      <c r="I29" s="13" t="n"/>
      <c r="J29" s="27">
        <f>IF($C29="","",IF($E29="Falta","-",MAX(0,MIN(10,8+IFERROR(VALUE(TRIM(MID(SUBSTITUTE(SUBSTITUTE(SUBSTITUTE(UPPER($H29)," ",""),"D",""),";",REPT(" ",30)),1,30))),0)+IFERROR(VALUE(TRIM(MID(SUBSTITUTE(SUBSTITUTE(SUBSTITUTE(UPPER($H29)," ",""),"D",""),";",REPT(" ",30)),31,30))),0)+IFERROR(VALUE(TRIM(MID(SUBSTITUTE(SUBSTITUTE(SUBSTITUTE(UPPER($H29)," ",""),"D",""),";",REPT(" ",30)),61,30))),0)+IFERROR(VALUE(TRIM(MID(SUBSTITUTE(SUBSTITUTE(SUBSTITUTE(UPPER($H29)," ",""),"D",""),";",REPT(" ",30)),91,30))),0)+IFERROR(VALUE(TRIM(MID(SUBSTITUTE(SUBSTITUTE(SUBSTITUTE(UPPER($H29)," ",""),"D",""),";",REPT(" ",30)),121,30))),0)+IFERROR(VALUE(TRIM(MID(SUBSTITUTE(SUBSTITUTE(SUBSTITUTE(UPPER($H29)," ",""),"D",""),";",REPT(" ",30)),151,30))),0)+IFERROR(VALUE(TRIM(MID(SUBSTITUTE(SUBSTITUTE(SUBSTITUTE(UPPER($H29)," ",""),"D",""),";",REPT(" ",30)),181,30))),0)+IFERROR(VALUE(TRIM(MID(SUBSTITUTE(SUBSTITUTE(SUBSTITUTE(UPPER($H29)," ",""),"D",""),";",REPT(" ",30)),211,30))),0)))))</f>
        <v/>
      </c>
      <c r="K29" s="26" t="n"/>
      <c r="L29" s="6" t="n"/>
      <c r="M29" s="13" t="n"/>
      <c r="N29" s="27">
        <f>IF($C29="","",IF($E29="Falta","-",MAX(0,MIN(10,8+IFERROR(VALUE(TRIM(MID(SUBSTITUTE(SUBSTITUTE(SUBSTITUTE(UPPER($L29)," ",""),"F",""),";",REPT(" ",30)),1,30))),0)+IFERROR(VALUE(TRIM(MID(SUBSTITUTE(SUBSTITUTE(SUBSTITUTE(UPPER($L29)," ",""),"F",""),";",REPT(" ",30)),31,30))),0)+IFERROR(VALUE(TRIM(MID(SUBSTITUTE(SUBSTITUTE(SUBSTITUTE(UPPER($L29)," ",""),"F",""),";",REPT(" ",30)),61,30))),0)+IFERROR(VALUE(TRIM(MID(SUBSTITUTE(SUBSTITUTE(SUBSTITUTE(UPPER($L29)," ",""),"F",""),";",REPT(" ",30)),91,30))),0)+IFERROR(VALUE(TRIM(MID(SUBSTITUTE(SUBSTITUTE(SUBSTITUTE(UPPER($L29)," ",""),"F",""),";",REPT(" ",30)),121,30))),0)+IFERROR(VALUE(TRIM(MID(SUBSTITUTE(SUBSTITUTE(SUBSTITUTE(UPPER($L29)," ",""),"F",""),";",REPT(" ",30)),151,30))),0)+IFERROR(VALUE(TRIM(MID(SUBSTITUTE(SUBSTITUTE(SUBSTITUTE(UPPER($L29)," ",""),"F",""),";",REPT(" ",30)),181,30))),0)+IFERROR(VALUE(TRIM(MID(SUBSTITUTE(SUBSTITUTE(SUBSTITUTE(UPPER($L29)," ",""),"F",""),";",REPT(" ",30)),211,30))),0)))))</f>
        <v/>
      </c>
      <c r="O29" s="26" t="n"/>
      <c r="P29" s="6" t="n"/>
      <c r="Q29" s="13" t="n"/>
      <c r="R29" s="27">
        <f>IF($C29="","",IF($E29="Falta","-",MAX(0,MIN(10,5+IFERROR(VALUE(TRIM(MID(SUBSTITUTE(SUBSTITUTE(SUBSTITUTE(UPPER($P29)," ",""),"C",""),";",REPT(" ",30)),1,30))),0)+IFERROR(VALUE(TRIM(MID(SUBSTITUTE(SUBSTITUTE(SUBSTITUTE(UPPER($P29)," ",""),"C",""),";",REPT(" ",30)),31,30))),0)+IFERROR(VALUE(TRIM(MID(SUBSTITUTE(SUBSTITUTE(SUBSTITUTE(UPPER($P29)," ",""),"C",""),";",REPT(" ",30)),61,30))),0)+IFERROR(VALUE(TRIM(MID(SUBSTITUTE(SUBSTITUTE(SUBSTITUTE(UPPER($P29)," ",""),"C",""),";",REPT(" ",30)),91,30))),0)+IFERROR(VALUE(TRIM(MID(SUBSTITUTE(SUBSTITUTE(SUBSTITUTE(UPPER($P29)," ",""),"C",""),";",REPT(" ",30)),121,30))),0)+IFERROR(VALUE(TRIM(MID(SUBSTITUTE(SUBSTITUTE(SUBSTITUTE(UPPER($P29)," ",""),"C",""),";",REPT(" ",30)),151,30))),0)+IFERROR(VALUE(TRIM(MID(SUBSTITUTE(SUBSTITUTE(SUBSTITUTE(UPPER($P29)," ",""),"C",""),";",REPT(" ",30)),181,30))),0)+IFERROR(VALUE(TRIM(MID(SUBSTITUTE(SUBSTITUTE(SUBSTITUTE(UPPER($P29)," ",""),"C",""),";",REPT(" ",30)),211,30))),0)))))</f>
        <v/>
      </c>
      <c r="S29" s="26" t="n"/>
      <c r="T29" s="6" t="n"/>
      <c r="U29" s="13" t="n"/>
      <c r="V29" s="27">
        <f>IF($C29="","",IF($E29="Falta","-",MAX(0,MIN(10,5+IFERROR(VALUE(TRIM(MID(SUBSTITUTE(SUBSTITUTE(SUBSTITUTE(UPPER($T29)," ",""),"P",""),";",REPT(" ",30)),1,30))),0)+IFERROR(VALUE(TRIM(MID(SUBSTITUTE(SUBSTITUTE(SUBSTITUTE(UPPER($T29)," ",""),"P",""),";",REPT(" ",30)),31,30))),0)+IFERROR(VALUE(TRIM(MID(SUBSTITUTE(SUBSTITUTE(SUBSTITUTE(UPPER($T29)," ",""),"P",""),";",REPT(" ",30)),61,30))),0)+IFERROR(VALUE(TRIM(MID(SUBSTITUTE(SUBSTITUTE(SUBSTITUTE(UPPER($T29)," ",""),"P",""),";",REPT(" ",30)),91,30))),0)+IFERROR(VALUE(TRIM(MID(SUBSTITUTE(SUBSTITUTE(SUBSTITUTE(UPPER($T29)," ",""),"P",""),";",REPT(" ",30)),121,30))),0)+IFERROR(VALUE(TRIM(MID(SUBSTITUTE(SUBSTITUTE(SUBSTITUTE(UPPER($T29)," ",""),"P",""),";",REPT(" ",30)),151,30))),0)+IFERROR(VALUE(TRIM(MID(SUBSTITUTE(SUBSTITUTE(SUBSTITUTE(UPPER($T29)," ",""),"P",""),";",REPT(" ",30)),181,30))),0)+IFERROR(VALUE(TRIM(MID(SUBSTITUTE(SUBSTITUTE(SUBSTITUTE(UPPER($T29)," ",""),"P",""),";",REPT(" ",30)),211,30))),0)))))</f>
        <v/>
      </c>
      <c r="W29" s="26" t="n"/>
      <c r="X29" s="13" t="n"/>
    </row>
    <row r="30">
      <c r="A30" s="6">
        <f>IF($C30="","",6)</f>
        <v/>
      </c>
      <c r="B30" s="6">
        <f>IF($C30="","","2ª Sessão")</f>
        <v/>
      </c>
      <c r="C30" s="6">
        <f>IF(Preenchimento!$B$15="","",Preenchimento!$B$15)</f>
        <v/>
      </c>
      <c r="D30" s="6">
        <f>IF($C30="","",IF(Preenchimento!$C$15="","-",Preenchimento!$C$15))</f>
        <v/>
      </c>
      <c r="E30" s="6" t="n"/>
      <c r="F30" s="6" t="n"/>
      <c r="G30" s="26" t="n"/>
      <c r="H30" s="6" t="n"/>
      <c r="I30" s="13" t="n"/>
      <c r="J30" s="27">
        <f>IF($C30="","",IF($E30="Falta","-",MAX(0,MIN(10,8+IFERROR(VALUE(TRIM(MID(SUBSTITUTE(SUBSTITUTE(SUBSTITUTE(UPPER($H30)," ",""),"D",""),";",REPT(" ",30)),1,30))),0)+IFERROR(VALUE(TRIM(MID(SUBSTITUTE(SUBSTITUTE(SUBSTITUTE(UPPER($H30)," ",""),"D",""),";",REPT(" ",30)),31,30))),0)+IFERROR(VALUE(TRIM(MID(SUBSTITUTE(SUBSTITUTE(SUBSTITUTE(UPPER($H30)," ",""),"D",""),";",REPT(" ",30)),61,30))),0)+IFERROR(VALUE(TRIM(MID(SUBSTITUTE(SUBSTITUTE(SUBSTITUTE(UPPER($H30)," ",""),"D",""),";",REPT(" ",30)),91,30))),0)+IFERROR(VALUE(TRIM(MID(SUBSTITUTE(SUBSTITUTE(SUBSTITUTE(UPPER($H30)," ",""),"D",""),";",REPT(" ",30)),121,30))),0)+IFERROR(VALUE(TRIM(MID(SUBSTITUTE(SUBSTITUTE(SUBSTITUTE(UPPER($H30)," ",""),"D",""),";",REPT(" ",30)),151,30))),0)+IFERROR(VALUE(TRIM(MID(SUBSTITUTE(SUBSTITUTE(SUBSTITUTE(UPPER($H30)," ",""),"D",""),";",REPT(" ",30)),181,30))),0)+IFERROR(VALUE(TRIM(MID(SUBSTITUTE(SUBSTITUTE(SUBSTITUTE(UPPER($H30)," ",""),"D",""),";",REPT(" ",30)),211,30))),0)))))</f>
        <v/>
      </c>
      <c r="K30" s="26" t="n"/>
      <c r="L30" s="6" t="n"/>
      <c r="M30" s="13" t="n"/>
      <c r="N30" s="27">
        <f>IF($C30="","",IF($E30="Falta","-",MAX(0,MIN(10,8+IFERROR(VALUE(TRIM(MID(SUBSTITUTE(SUBSTITUTE(SUBSTITUTE(UPPER($L30)," ",""),"F",""),";",REPT(" ",30)),1,30))),0)+IFERROR(VALUE(TRIM(MID(SUBSTITUTE(SUBSTITUTE(SUBSTITUTE(UPPER($L30)," ",""),"F",""),";",REPT(" ",30)),31,30))),0)+IFERROR(VALUE(TRIM(MID(SUBSTITUTE(SUBSTITUTE(SUBSTITUTE(UPPER($L30)," ",""),"F",""),";",REPT(" ",30)),61,30))),0)+IFERROR(VALUE(TRIM(MID(SUBSTITUTE(SUBSTITUTE(SUBSTITUTE(UPPER($L30)," ",""),"F",""),";",REPT(" ",30)),91,30))),0)+IFERROR(VALUE(TRIM(MID(SUBSTITUTE(SUBSTITUTE(SUBSTITUTE(UPPER($L30)," ",""),"F",""),";",REPT(" ",30)),121,30))),0)+IFERROR(VALUE(TRIM(MID(SUBSTITUTE(SUBSTITUTE(SUBSTITUTE(UPPER($L30)," ",""),"F",""),";",REPT(" ",30)),151,30))),0)+IFERROR(VALUE(TRIM(MID(SUBSTITUTE(SUBSTITUTE(SUBSTITUTE(UPPER($L30)," ",""),"F",""),";",REPT(" ",30)),181,30))),0)+IFERROR(VALUE(TRIM(MID(SUBSTITUTE(SUBSTITUTE(SUBSTITUTE(UPPER($L30)," ",""),"F",""),";",REPT(" ",30)),211,30))),0)))))</f>
        <v/>
      </c>
      <c r="O30" s="26" t="n"/>
      <c r="P30" s="6" t="n"/>
      <c r="Q30" s="13" t="n"/>
      <c r="R30" s="27">
        <f>IF($C30="","",IF($E30="Falta","-",MAX(0,MIN(10,5+IFERROR(VALUE(TRIM(MID(SUBSTITUTE(SUBSTITUTE(SUBSTITUTE(UPPER($P30)," ",""),"C",""),";",REPT(" ",30)),1,30))),0)+IFERROR(VALUE(TRIM(MID(SUBSTITUTE(SUBSTITUTE(SUBSTITUTE(UPPER($P30)," ",""),"C",""),";",REPT(" ",30)),31,30))),0)+IFERROR(VALUE(TRIM(MID(SUBSTITUTE(SUBSTITUTE(SUBSTITUTE(UPPER($P30)," ",""),"C",""),";",REPT(" ",30)),61,30))),0)+IFERROR(VALUE(TRIM(MID(SUBSTITUTE(SUBSTITUTE(SUBSTITUTE(UPPER($P30)," ",""),"C",""),";",REPT(" ",30)),91,30))),0)+IFERROR(VALUE(TRIM(MID(SUBSTITUTE(SUBSTITUTE(SUBSTITUTE(UPPER($P30)," ",""),"C",""),";",REPT(" ",30)),121,30))),0)+IFERROR(VALUE(TRIM(MID(SUBSTITUTE(SUBSTITUTE(SUBSTITUTE(UPPER($P30)," ",""),"C",""),";",REPT(" ",30)),151,30))),0)+IFERROR(VALUE(TRIM(MID(SUBSTITUTE(SUBSTITUTE(SUBSTITUTE(UPPER($P30)," ",""),"C",""),";",REPT(" ",30)),181,30))),0)+IFERROR(VALUE(TRIM(MID(SUBSTITUTE(SUBSTITUTE(SUBSTITUTE(UPPER($P30)," ",""),"C",""),";",REPT(" ",30)),211,30))),0)))))</f>
        <v/>
      </c>
      <c r="S30" s="26" t="n"/>
      <c r="T30" s="6" t="n"/>
      <c r="U30" s="13" t="n"/>
      <c r="V30" s="27">
        <f>IF($C30="","",IF($E30="Falta","-",MAX(0,MIN(10,5+IFERROR(VALUE(TRIM(MID(SUBSTITUTE(SUBSTITUTE(SUBSTITUTE(UPPER($T30)," ",""),"P",""),";",REPT(" ",30)),1,30))),0)+IFERROR(VALUE(TRIM(MID(SUBSTITUTE(SUBSTITUTE(SUBSTITUTE(UPPER($T30)," ",""),"P",""),";",REPT(" ",30)),31,30))),0)+IFERROR(VALUE(TRIM(MID(SUBSTITUTE(SUBSTITUTE(SUBSTITUTE(UPPER($T30)," ",""),"P",""),";",REPT(" ",30)),61,30))),0)+IFERROR(VALUE(TRIM(MID(SUBSTITUTE(SUBSTITUTE(SUBSTITUTE(UPPER($T30)," ",""),"P",""),";",REPT(" ",30)),91,30))),0)+IFERROR(VALUE(TRIM(MID(SUBSTITUTE(SUBSTITUTE(SUBSTITUTE(UPPER($T30)," ",""),"P",""),";",REPT(" ",30)),121,30))),0)+IFERROR(VALUE(TRIM(MID(SUBSTITUTE(SUBSTITUTE(SUBSTITUTE(UPPER($T30)," ",""),"P",""),";",REPT(" ",30)),151,30))),0)+IFERROR(VALUE(TRIM(MID(SUBSTITUTE(SUBSTITUTE(SUBSTITUTE(UPPER($T30)," ",""),"P",""),";",REPT(" ",30)),181,30))),0)+IFERROR(VALUE(TRIM(MID(SUBSTITUTE(SUBSTITUTE(SUBSTITUTE(UPPER($T30)," ",""),"P",""),";",REPT(" ",30)),211,30))),0)))))</f>
        <v/>
      </c>
      <c r="W30" s="26" t="n"/>
      <c r="X30" s="13" t="n"/>
    </row>
    <row r="31">
      <c r="A31" s="6">
        <f>IF($C31="","",6)</f>
        <v/>
      </c>
      <c r="B31" s="6">
        <f>IF($C31="","","3ª Sessão")</f>
        <v/>
      </c>
      <c r="C31" s="6">
        <f>IF(Preenchimento!$B$15="","",Preenchimento!$B$15)</f>
        <v/>
      </c>
      <c r="D31" s="6">
        <f>IF($C31="","",IF(Preenchimento!$C$15="","-",Preenchimento!$C$15))</f>
        <v/>
      </c>
      <c r="E31" s="6" t="n"/>
      <c r="F31" s="6" t="n"/>
      <c r="G31" s="26" t="n"/>
      <c r="H31" s="6" t="n"/>
      <c r="I31" s="13" t="n"/>
      <c r="J31" s="27">
        <f>IF($C31="","",IF($E31="Falta","-",MAX(0,MIN(10,8+IFERROR(VALUE(TRIM(MID(SUBSTITUTE(SUBSTITUTE(SUBSTITUTE(UPPER($H31)," ",""),"D",""),";",REPT(" ",30)),1,30))),0)+IFERROR(VALUE(TRIM(MID(SUBSTITUTE(SUBSTITUTE(SUBSTITUTE(UPPER($H31)," ",""),"D",""),";",REPT(" ",30)),31,30))),0)+IFERROR(VALUE(TRIM(MID(SUBSTITUTE(SUBSTITUTE(SUBSTITUTE(UPPER($H31)," ",""),"D",""),";",REPT(" ",30)),61,30))),0)+IFERROR(VALUE(TRIM(MID(SUBSTITUTE(SUBSTITUTE(SUBSTITUTE(UPPER($H31)," ",""),"D",""),";",REPT(" ",30)),91,30))),0)+IFERROR(VALUE(TRIM(MID(SUBSTITUTE(SUBSTITUTE(SUBSTITUTE(UPPER($H31)," ",""),"D",""),";",REPT(" ",30)),121,30))),0)+IFERROR(VALUE(TRIM(MID(SUBSTITUTE(SUBSTITUTE(SUBSTITUTE(UPPER($H31)," ",""),"D",""),";",REPT(" ",30)),151,30))),0)+IFERROR(VALUE(TRIM(MID(SUBSTITUTE(SUBSTITUTE(SUBSTITUTE(UPPER($H31)," ",""),"D",""),";",REPT(" ",30)),181,30))),0)+IFERROR(VALUE(TRIM(MID(SUBSTITUTE(SUBSTITUTE(SUBSTITUTE(UPPER($H31)," ",""),"D",""),";",REPT(" ",30)),211,30))),0)))))</f>
        <v/>
      </c>
      <c r="K31" s="26" t="n"/>
      <c r="L31" s="6" t="n"/>
      <c r="M31" s="13" t="n"/>
      <c r="N31" s="27">
        <f>IF($C31="","",IF($E31="Falta","-",MAX(0,MIN(10,8+IFERROR(VALUE(TRIM(MID(SUBSTITUTE(SUBSTITUTE(SUBSTITUTE(UPPER($L31)," ",""),"F",""),";",REPT(" ",30)),1,30))),0)+IFERROR(VALUE(TRIM(MID(SUBSTITUTE(SUBSTITUTE(SUBSTITUTE(UPPER($L31)," ",""),"F",""),";",REPT(" ",30)),31,30))),0)+IFERROR(VALUE(TRIM(MID(SUBSTITUTE(SUBSTITUTE(SUBSTITUTE(UPPER($L31)," ",""),"F",""),";",REPT(" ",30)),61,30))),0)+IFERROR(VALUE(TRIM(MID(SUBSTITUTE(SUBSTITUTE(SUBSTITUTE(UPPER($L31)," ",""),"F",""),";",REPT(" ",30)),91,30))),0)+IFERROR(VALUE(TRIM(MID(SUBSTITUTE(SUBSTITUTE(SUBSTITUTE(UPPER($L31)," ",""),"F",""),";",REPT(" ",30)),121,30))),0)+IFERROR(VALUE(TRIM(MID(SUBSTITUTE(SUBSTITUTE(SUBSTITUTE(UPPER($L31)," ",""),"F",""),";",REPT(" ",30)),151,30))),0)+IFERROR(VALUE(TRIM(MID(SUBSTITUTE(SUBSTITUTE(SUBSTITUTE(UPPER($L31)," ",""),"F",""),";",REPT(" ",30)),181,30))),0)+IFERROR(VALUE(TRIM(MID(SUBSTITUTE(SUBSTITUTE(SUBSTITUTE(UPPER($L31)," ",""),"F",""),";",REPT(" ",30)),211,30))),0)))))</f>
        <v/>
      </c>
      <c r="O31" s="26" t="n"/>
      <c r="P31" s="6" t="n"/>
      <c r="Q31" s="13" t="n"/>
      <c r="R31" s="27">
        <f>IF($C31="","",IF($E31="Falta","-",MAX(0,MIN(10,5+IFERROR(VALUE(TRIM(MID(SUBSTITUTE(SUBSTITUTE(SUBSTITUTE(UPPER($P31)," ",""),"C",""),";",REPT(" ",30)),1,30))),0)+IFERROR(VALUE(TRIM(MID(SUBSTITUTE(SUBSTITUTE(SUBSTITUTE(UPPER($P31)," ",""),"C",""),";",REPT(" ",30)),31,30))),0)+IFERROR(VALUE(TRIM(MID(SUBSTITUTE(SUBSTITUTE(SUBSTITUTE(UPPER($P31)," ",""),"C",""),";",REPT(" ",30)),61,30))),0)+IFERROR(VALUE(TRIM(MID(SUBSTITUTE(SUBSTITUTE(SUBSTITUTE(UPPER($P31)," ",""),"C",""),";",REPT(" ",30)),91,30))),0)+IFERROR(VALUE(TRIM(MID(SUBSTITUTE(SUBSTITUTE(SUBSTITUTE(UPPER($P31)," ",""),"C",""),";",REPT(" ",30)),121,30))),0)+IFERROR(VALUE(TRIM(MID(SUBSTITUTE(SUBSTITUTE(SUBSTITUTE(UPPER($P31)," ",""),"C",""),";",REPT(" ",30)),151,30))),0)+IFERROR(VALUE(TRIM(MID(SUBSTITUTE(SUBSTITUTE(SUBSTITUTE(UPPER($P31)," ",""),"C",""),";",REPT(" ",30)),181,30))),0)+IFERROR(VALUE(TRIM(MID(SUBSTITUTE(SUBSTITUTE(SUBSTITUTE(UPPER($P31)," ",""),"C",""),";",REPT(" ",30)),211,30))),0)))))</f>
        <v/>
      </c>
      <c r="S31" s="26" t="n"/>
      <c r="T31" s="6" t="n"/>
      <c r="U31" s="13" t="n"/>
      <c r="V31" s="27">
        <f>IF($C31="","",IF($E31="Falta","-",MAX(0,MIN(10,5+IFERROR(VALUE(TRIM(MID(SUBSTITUTE(SUBSTITUTE(SUBSTITUTE(UPPER($T31)," ",""),"P",""),";",REPT(" ",30)),1,30))),0)+IFERROR(VALUE(TRIM(MID(SUBSTITUTE(SUBSTITUTE(SUBSTITUTE(UPPER($T31)," ",""),"P",""),";",REPT(" ",30)),31,30))),0)+IFERROR(VALUE(TRIM(MID(SUBSTITUTE(SUBSTITUTE(SUBSTITUTE(UPPER($T31)," ",""),"P",""),";",REPT(" ",30)),61,30))),0)+IFERROR(VALUE(TRIM(MID(SUBSTITUTE(SUBSTITUTE(SUBSTITUTE(UPPER($T31)," ",""),"P",""),";",REPT(" ",30)),91,30))),0)+IFERROR(VALUE(TRIM(MID(SUBSTITUTE(SUBSTITUTE(SUBSTITUTE(UPPER($T31)," ",""),"P",""),";",REPT(" ",30)),121,30))),0)+IFERROR(VALUE(TRIM(MID(SUBSTITUTE(SUBSTITUTE(SUBSTITUTE(UPPER($T31)," ",""),"P",""),";",REPT(" ",30)),151,30))),0)+IFERROR(VALUE(TRIM(MID(SUBSTITUTE(SUBSTITUTE(SUBSTITUTE(UPPER($T31)," ",""),"P",""),";",REPT(" ",30)),181,30))),0)+IFERROR(VALUE(TRIM(MID(SUBSTITUTE(SUBSTITUTE(SUBSTITUTE(UPPER($T31)," ",""),"P",""),";",REPT(" ",30)),211,30))),0)))))</f>
        <v/>
      </c>
      <c r="W31" s="26" t="n"/>
      <c r="X31" s="13" t="n"/>
    </row>
    <row r="32">
      <c r="A32" s="6">
        <f>IF($C32="","",6)</f>
        <v/>
      </c>
      <c r="B32" s="6">
        <f>IF($C32="","","4ª Sessão")</f>
        <v/>
      </c>
      <c r="C32" s="6">
        <f>IF(Preenchimento!$B$15="","",Preenchimento!$B$15)</f>
        <v/>
      </c>
      <c r="D32" s="6">
        <f>IF($C32="","",IF(Preenchimento!$C$15="","-",Preenchimento!$C$15))</f>
        <v/>
      </c>
      <c r="E32" s="6" t="n"/>
      <c r="F32" s="6" t="n"/>
      <c r="G32" s="26" t="n"/>
      <c r="H32" s="6" t="n"/>
      <c r="I32" s="13" t="n"/>
      <c r="J32" s="27">
        <f>IF($C32="","",IF($E32="Falta","-",MAX(0,MIN(10,8+IFERROR(VALUE(TRIM(MID(SUBSTITUTE(SUBSTITUTE(SUBSTITUTE(UPPER($H32)," ",""),"D",""),";",REPT(" ",30)),1,30))),0)+IFERROR(VALUE(TRIM(MID(SUBSTITUTE(SUBSTITUTE(SUBSTITUTE(UPPER($H32)," ",""),"D",""),";",REPT(" ",30)),31,30))),0)+IFERROR(VALUE(TRIM(MID(SUBSTITUTE(SUBSTITUTE(SUBSTITUTE(UPPER($H32)," ",""),"D",""),";",REPT(" ",30)),61,30))),0)+IFERROR(VALUE(TRIM(MID(SUBSTITUTE(SUBSTITUTE(SUBSTITUTE(UPPER($H32)," ",""),"D",""),";",REPT(" ",30)),91,30))),0)+IFERROR(VALUE(TRIM(MID(SUBSTITUTE(SUBSTITUTE(SUBSTITUTE(UPPER($H32)," ",""),"D",""),";",REPT(" ",30)),121,30))),0)+IFERROR(VALUE(TRIM(MID(SUBSTITUTE(SUBSTITUTE(SUBSTITUTE(UPPER($H32)," ",""),"D",""),";",REPT(" ",30)),151,30))),0)+IFERROR(VALUE(TRIM(MID(SUBSTITUTE(SUBSTITUTE(SUBSTITUTE(UPPER($H32)," ",""),"D",""),";",REPT(" ",30)),181,30))),0)+IFERROR(VALUE(TRIM(MID(SUBSTITUTE(SUBSTITUTE(SUBSTITUTE(UPPER($H32)," ",""),"D",""),";",REPT(" ",30)),211,30))),0)))))</f>
        <v/>
      </c>
      <c r="K32" s="26" t="n"/>
      <c r="L32" s="6" t="n"/>
      <c r="M32" s="13" t="n"/>
      <c r="N32" s="27">
        <f>IF($C32="","",IF($E32="Falta","-",MAX(0,MIN(10,8+IFERROR(VALUE(TRIM(MID(SUBSTITUTE(SUBSTITUTE(SUBSTITUTE(UPPER($L32)," ",""),"F",""),";",REPT(" ",30)),1,30))),0)+IFERROR(VALUE(TRIM(MID(SUBSTITUTE(SUBSTITUTE(SUBSTITUTE(UPPER($L32)," ",""),"F",""),";",REPT(" ",30)),31,30))),0)+IFERROR(VALUE(TRIM(MID(SUBSTITUTE(SUBSTITUTE(SUBSTITUTE(UPPER($L32)," ",""),"F",""),";",REPT(" ",30)),61,30))),0)+IFERROR(VALUE(TRIM(MID(SUBSTITUTE(SUBSTITUTE(SUBSTITUTE(UPPER($L32)," ",""),"F",""),";",REPT(" ",30)),91,30))),0)+IFERROR(VALUE(TRIM(MID(SUBSTITUTE(SUBSTITUTE(SUBSTITUTE(UPPER($L32)," ",""),"F",""),";",REPT(" ",30)),121,30))),0)+IFERROR(VALUE(TRIM(MID(SUBSTITUTE(SUBSTITUTE(SUBSTITUTE(UPPER($L32)," ",""),"F",""),";",REPT(" ",30)),151,30))),0)+IFERROR(VALUE(TRIM(MID(SUBSTITUTE(SUBSTITUTE(SUBSTITUTE(UPPER($L32)," ",""),"F",""),";",REPT(" ",30)),181,30))),0)+IFERROR(VALUE(TRIM(MID(SUBSTITUTE(SUBSTITUTE(SUBSTITUTE(UPPER($L32)," ",""),"F",""),";",REPT(" ",30)),211,30))),0)))))</f>
        <v/>
      </c>
      <c r="O32" s="26" t="n"/>
      <c r="P32" s="6" t="n"/>
      <c r="Q32" s="13" t="n"/>
      <c r="R32" s="27">
        <f>IF($C32="","",IF($E32="Falta","-",MAX(0,MIN(10,5+IFERROR(VALUE(TRIM(MID(SUBSTITUTE(SUBSTITUTE(SUBSTITUTE(UPPER($P32)," ",""),"C",""),";",REPT(" ",30)),1,30))),0)+IFERROR(VALUE(TRIM(MID(SUBSTITUTE(SUBSTITUTE(SUBSTITUTE(UPPER($P32)," ",""),"C",""),";",REPT(" ",30)),31,30))),0)+IFERROR(VALUE(TRIM(MID(SUBSTITUTE(SUBSTITUTE(SUBSTITUTE(UPPER($P32)," ",""),"C",""),";",REPT(" ",30)),61,30))),0)+IFERROR(VALUE(TRIM(MID(SUBSTITUTE(SUBSTITUTE(SUBSTITUTE(UPPER($P32)," ",""),"C",""),";",REPT(" ",30)),91,30))),0)+IFERROR(VALUE(TRIM(MID(SUBSTITUTE(SUBSTITUTE(SUBSTITUTE(UPPER($P32)," ",""),"C",""),";",REPT(" ",30)),121,30))),0)+IFERROR(VALUE(TRIM(MID(SUBSTITUTE(SUBSTITUTE(SUBSTITUTE(UPPER($P32)," ",""),"C",""),";",REPT(" ",30)),151,30))),0)+IFERROR(VALUE(TRIM(MID(SUBSTITUTE(SUBSTITUTE(SUBSTITUTE(UPPER($P32)," ",""),"C",""),";",REPT(" ",30)),181,30))),0)+IFERROR(VALUE(TRIM(MID(SUBSTITUTE(SUBSTITUTE(SUBSTITUTE(UPPER($P32)," ",""),"C",""),";",REPT(" ",30)),211,30))),0)))))</f>
        <v/>
      </c>
      <c r="S32" s="26" t="n"/>
      <c r="T32" s="6" t="n"/>
      <c r="U32" s="13" t="n"/>
      <c r="V32" s="27">
        <f>IF($C32="","",IF($E32="Falta","-",MAX(0,MIN(10,5+IFERROR(VALUE(TRIM(MID(SUBSTITUTE(SUBSTITUTE(SUBSTITUTE(UPPER($T32)," ",""),"P",""),";",REPT(" ",30)),1,30))),0)+IFERROR(VALUE(TRIM(MID(SUBSTITUTE(SUBSTITUTE(SUBSTITUTE(UPPER($T32)," ",""),"P",""),";",REPT(" ",30)),31,30))),0)+IFERROR(VALUE(TRIM(MID(SUBSTITUTE(SUBSTITUTE(SUBSTITUTE(UPPER($T32)," ",""),"P",""),";",REPT(" ",30)),61,30))),0)+IFERROR(VALUE(TRIM(MID(SUBSTITUTE(SUBSTITUTE(SUBSTITUTE(UPPER($T32)," ",""),"P",""),";",REPT(" ",30)),91,30))),0)+IFERROR(VALUE(TRIM(MID(SUBSTITUTE(SUBSTITUTE(SUBSTITUTE(UPPER($T32)," ",""),"P",""),";",REPT(" ",30)),121,30))),0)+IFERROR(VALUE(TRIM(MID(SUBSTITUTE(SUBSTITUTE(SUBSTITUTE(UPPER($T32)," ",""),"P",""),";",REPT(" ",30)),151,30))),0)+IFERROR(VALUE(TRIM(MID(SUBSTITUTE(SUBSTITUTE(SUBSTITUTE(UPPER($T32)," ",""),"P",""),";",REPT(" ",30)),181,30))),0)+IFERROR(VALUE(TRIM(MID(SUBSTITUTE(SUBSTITUTE(SUBSTITUTE(UPPER($T32)," ",""),"P",""),";",REPT(" ",30)),211,30))),0)))))</f>
        <v/>
      </c>
      <c r="W32" s="26" t="n"/>
      <c r="X32" s="13" t="n"/>
    </row>
    <row r="33">
      <c r="A33" s="6">
        <f>IF($C33="","",6)</f>
        <v/>
      </c>
      <c r="B33" s="6">
        <f>IF($C33="","","5ª Sessão")</f>
        <v/>
      </c>
      <c r="C33" s="6">
        <f>IF(Preenchimento!$B$15="","",Preenchimento!$B$15)</f>
        <v/>
      </c>
      <c r="D33" s="6">
        <f>IF($C33="","",IF(Preenchimento!$C$15="","-",Preenchimento!$C$15))</f>
        <v/>
      </c>
      <c r="E33" s="6" t="n"/>
      <c r="F33" s="6" t="n"/>
      <c r="G33" s="26" t="n"/>
      <c r="H33" s="6" t="n"/>
      <c r="I33" s="13" t="n"/>
      <c r="J33" s="27">
        <f>IF($C33="","",IF($E33="Falta","-",MAX(0,MIN(10,8+IFERROR(VALUE(TRIM(MID(SUBSTITUTE(SUBSTITUTE(SUBSTITUTE(UPPER($H33)," ",""),"D",""),";",REPT(" ",30)),1,30))),0)+IFERROR(VALUE(TRIM(MID(SUBSTITUTE(SUBSTITUTE(SUBSTITUTE(UPPER($H33)," ",""),"D",""),";",REPT(" ",30)),31,30))),0)+IFERROR(VALUE(TRIM(MID(SUBSTITUTE(SUBSTITUTE(SUBSTITUTE(UPPER($H33)," ",""),"D",""),";",REPT(" ",30)),61,30))),0)+IFERROR(VALUE(TRIM(MID(SUBSTITUTE(SUBSTITUTE(SUBSTITUTE(UPPER($H33)," ",""),"D",""),";",REPT(" ",30)),91,30))),0)+IFERROR(VALUE(TRIM(MID(SUBSTITUTE(SUBSTITUTE(SUBSTITUTE(UPPER($H33)," ",""),"D",""),";",REPT(" ",30)),121,30))),0)+IFERROR(VALUE(TRIM(MID(SUBSTITUTE(SUBSTITUTE(SUBSTITUTE(UPPER($H33)," ",""),"D",""),";",REPT(" ",30)),151,30))),0)+IFERROR(VALUE(TRIM(MID(SUBSTITUTE(SUBSTITUTE(SUBSTITUTE(UPPER($H33)," ",""),"D",""),";",REPT(" ",30)),181,30))),0)+IFERROR(VALUE(TRIM(MID(SUBSTITUTE(SUBSTITUTE(SUBSTITUTE(UPPER($H33)," ",""),"D",""),";",REPT(" ",30)),211,30))),0)))))</f>
        <v/>
      </c>
      <c r="K33" s="26" t="n"/>
      <c r="L33" s="6" t="n"/>
      <c r="M33" s="13" t="n"/>
      <c r="N33" s="27">
        <f>IF($C33="","",IF($E33="Falta","-",MAX(0,MIN(10,8+IFERROR(VALUE(TRIM(MID(SUBSTITUTE(SUBSTITUTE(SUBSTITUTE(UPPER($L33)," ",""),"F",""),";",REPT(" ",30)),1,30))),0)+IFERROR(VALUE(TRIM(MID(SUBSTITUTE(SUBSTITUTE(SUBSTITUTE(UPPER($L33)," ",""),"F",""),";",REPT(" ",30)),31,30))),0)+IFERROR(VALUE(TRIM(MID(SUBSTITUTE(SUBSTITUTE(SUBSTITUTE(UPPER($L33)," ",""),"F",""),";",REPT(" ",30)),61,30))),0)+IFERROR(VALUE(TRIM(MID(SUBSTITUTE(SUBSTITUTE(SUBSTITUTE(UPPER($L33)," ",""),"F",""),";",REPT(" ",30)),91,30))),0)+IFERROR(VALUE(TRIM(MID(SUBSTITUTE(SUBSTITUTE(SUBSTITUTE(UPPER($L33)," ",""),"F",""),";",REPT(" ",30)),121,30))),0)+IFERROR(VALUE(TRIM(MID(SUBSTITUTE(SUBSTITUTE(SUBSTITUTE(UPPER($L33)," ",""),"F",""),";",REPT(" ",30)),151,30))),0)+IFERROR(VALUE(TRIM(MID(SUBSTITUTE(SUBSTITUTE(SUBSTITUTE(UPPER($L33)," ",""),"F",""),";",REPT(" ",30)),181,30))),0)+IFERROR(VALUE(TRIM(MID(SUBSTITUTE(SUBSTITUTE(SUBSTITUTE(UPPER($L33)," ",""),"F",""),";",REPT(" ",30)),211,30))),0)))))</f>
        <v/>
      </c>
      <c r="O33" s="26" t="n"/>
      <c r="P33" s="6" t="n"/>
      <c r="Q33" s="13" t="n"/>
      <c r="R33" s="27">
        <f>IF($C33="","",IF($E33="Falta","-",MAX(0,MIN(10,5+IFERROR(VALUE(TRIM(MID(SUBSTITUTE(SUBSTITUTE(SUBSTITUTE(UPPER($P33)," ",""),"C",""),";",REPT(" ",30)),1,30))),0)+IFERROR(VALUE(TRIM(MID(SUBSTITUTE(SUBSTITUTE(SUBSTITUTE(UPPER($P33)," ",""),"C",""),";",REPT(" ",30)),31,30))),0)+IFERROR(VALUE(TRIM(MID(SUBSTITUTE(SUBSTITUTE(SUBSTITUTE(UPPER($P33)," ",""),"C",""),";",REPT(" ",30)),61,30))),0)+IFERROR(VALUE(TRIM(MID(SUBSTITUTE(SUBSTITUTE(SUBSTITUTE(UPPER($P33)," ",""),"C",""),";",REPT(" ",30)),91,30))),0)+IFERROR(VALUE(TRIM(MID(SUBSTITUTE(SUBSTITUTE(SUBSTITUTE(UPPER($P33)," ",""),"C",""),";",REPT(" ",30)),121,30))),0)+IFERROR(VALUE(TRIM(MID(SUBSTITUTE(SUBSTITUTE(SUBSTITUTE(UPPER($P33)," ",""),"C",""),";",REPT(" ",30)),151,30))),0)+IFERROR(VALUE(TRIM(MID(SUBSTITUTE(SUBSTITUTE(SUBSTITUTE(UPPER($P33)," ",""),"C",""),";",REPT(" ",30)),181,30))),0)+IFERROR(VALUE(TRIM(MID(SUBSTITUTE(SUBSTITUTE(SUBSTITUTE(UPPER($P33)," ",""),"C",""),";",REPT(" ",30)),211,30))),0)))))</f>
        <v/>
      </c>
      <c r="S33" s="26" t="n"/>
      <c r="T33" s="6" t="n"/>
      <c r="U33" s="13" t="n"/>
      <c r="V33" s="27">
        <f>IF($C33="","",IF($E33="Falta","-",MAX(0,MIN(10,5+IFERROR(VALUE(TRIM(MID(SUBSTITUTE(SUBSTITUTE(SUBSTITUTE(UPPER($T33)," ",""),"P",""),";",REPT(" ",30)),1,30))),0)+IFERROR(VALUE(TRIM(MID(SUBSTITUTE(SUBSTITUTE(SUBSTITUTE(UPPER($T33)," ",""),"P",""),";",REPT(" ",30)),31,30))),0)+IFERROR(VALUE(TRIM(MID(SUBSTITUTE(SUBSTITUTE(SUBSTITUTE(UPPER($T33)," ",""),"P",""),";",REPT(" ",30)),61,30))),0)+IFERROR(VALUE(TRIM(MID(SUBSTITUTE(SUBSTITUTE(SUBSTITUTE(UPPER($T33)," ",""),"P",""),";",REPT(" ",30)),91,30))),0)+IFERROR(VALUE(TRIM(MID(SUBSTITUTE(SUBSTITUTE(SUBSTITUTE(UPPER($T33)," ",""),"P",""),";",REPT(" ",30)),121,30))),0)+IFERROR(VALUE(TRIM(MID(SUBSTITUTE(SUBSTITUTE(SUBSTITUTE(UPPER($T33)," ",""),"P",""),";",REPT(" ",30)),151,30))),0)+IFERROR(VALUE(TRIM(MID(SUBSTITUTE(SUBSTITUTE(SUBSTITUTE(UPPER($T33)," ",""),"P",""),";",REPT(" ",30)),181,30))),0)+IFERROR(VALUE(TRIM(MID(SUBSTITUTE(SUBSTITUTE(SUBSTITUTE(UPPER($T33)," ",""),"P",""),";",REPT(" ",30)),211,30))),0)))))</f>
        <v/>
      </c>
      <c r="W33" s="26" t="n"/>
      <c r="X33" s="13" t="n"/>
    </row>
    <row r="34">
      <c r="A34" s="8">
        <f>IF($C34="","",7)</f>
        <v/>
      </c>
      <c r="B34" s="8">
        <f>IF($C34="","","1ª Sessão")</f>
        <v/>
      </c>
      <c r="C34" s="8">
        <f>IF(Preenchimento!$B$16="","",Preenchimento!$B$16)</f>
        <v/>
      </c>
      <c r="D34" s="8">
        <f>IF($C34="","",IF(Preenchimento!$C$16="","-",Preenchimento!$C$16))</f>
        <v/>
      </c>
      <c r="E34" s="8" t="n"/>
      <c r="F34" s="8" t="n"/>
      <c r="G34" s="24" t="n"/>
      <c r="H34" s="8" t="n"/>
      <c r="I34" s="14" t="n"/>
      <c r="J34" s="25">
        <f>IF($C34="","",IF($E34="Falta","-",MAX(0,MIN(10,8+IFERROR(VALUE(TRIM(MID(SUBSTITUTE(SUBSTITUTE(SUBSTITUTE(UPPER($H34)," ",""),"D",""),";",REPT(" ",30)),1,30))),0)+IFERROR(VALUE(TRIM(MID(SUBSTITUTE(SUBSTITUTE(SUBSTITUTE(UPPER($H34)," ",""),"D",""),";",REPT(" ",30)),31,30))),0)+IFERROR(VALUE(TRIM(MID(SUBSTITUTE(SUBSTITUTE(SUBSTITUTE(UPPER($H34)," ",""),"D",""),";",REPT(" ",30)),61,30))),0)+IFERROR(VALUE(TRIM(MID(SUBSTITUTE(SUBSTITUTE(SUBSTITUTE(UPPER($H34)," ",""),"D",""),";",REPT(" ",30)),91,30))),0)+IFERROR(VALUE(TRIM(MID(SUBSTITUTE(SUBSTITUTE(SUBSTITUTE(UPPER($H34)," ",""),"D",""),";",REPT(" ",30)),121,30))),0)+IFERROR(VALUE(TRIM(MID(SUBSTITUTE(SUBSTITUTE(SUBSTITUTE(UPPER($H34)," ",""),"D",""),";",REPT(" ",30)),151,30))),0)+IFERROR(VALUE(TRIM(MID(SUBSTITUTE(SUBSTITUTE(SUBSTITUTE(UPPER($H34)," ",""),"D",""),";",REPT(" ",30)),181,30))),0)+IFERROR(VALUE(TRIM(MID(SUBSTITUTE(SUBSTITUTE(SUBSTITUTE(UPPER($H34)," ",""),"D",""),";",REPT(" ",30)),211,30))),0)))))</f>
        <v/>
      </c>
      <c r="K34" s="24" t="n"/>
      <c r="L34" s="8" t="n"/>
      <c r="M34" s="14" t="n"/>
      <c r="N34" s="25">
        <f>IF($C34="","",IF($E34="Falta","-",MAX(0,MIN(10,8+IFERROR(VALUE(TRIM(MID(SUBSTITUTE(SUBSTITUTE(SUBSTITUTE(UPPER($L34)," ",""),"F",""),";",REPT(" ",30)),1,30))),0)+IFERROR(VALUE(TRIM(MID(SUBSTITUTE(SUBSTITUTE(SUBSTITUTE(UPPER($L34)," ",""),"F",""),";",REPT(" ",30)),31,30))),0)+IFERROR(VALUE(TRIM(MID(SUBSTITUTE(SUBSTITUTE(SUBSTITUTE(UPPER($L34)," ",""),"F",""),";",REPT(" ",30)),61,30))),0)+IFERROR(VALUE(TRIM(MID(SUBSTITUTE(SUBSTITUTE(SUBSTITUTE(UPPER($L34)," ",""),"F",""),";",REPT(" ",30)),91,30))),0)+IFERROR(VALUE(TRIM(MID(SUBSTITUTE(SUBSTITUTE(SUBSTITUTE(UPPER($L34)," ",""),"F",""),";",REPT(" ",30)),121,30))),0)+IFERROR(VALUE(TRIM(MID(SUBSTITUTE(SUBSTITUTE(SUBSTITUTE(UPPER($L34)," ",""),"F",""),";",REPT(" ",30)),151,30))),0)+IFERROR(VALUE(TRIM(MID(SUBSTITUTE(SUBSTITUTE(SUBSTITUTE(UPPER($L34)," ",""),"F",""),";",REPT(" ",30)),181,30))),0)+IFERROR(VALUE(TRIM(MID(SUBSTITUTE(SUBSTITUTE(SUBSTITUTE(UPPER($L34)," ",""),"F",""),";",REPT(" ",30)),211,30))),0)))))</f>
        <v/>
      </c>
      <c r="O34" s="24" t="n"/>
      <c r="P34" s="8" t="n"/>
      <c r="Q34" s="14" t="n"/>
      <c r="R34" s="25">
        <f>IF($C34="","",IF($E34="Falta","-",MAX(0,MIN(10,5+IFERROR(VALUE(TRIM(MID(SUBSTITUTE(SUBSTITUTE(SUBSTITUTE(UPPER($P34)," ",""),"C",""),";",REPT(" ",30)),1,30))),0)+IFERROR(VALUE(TRIM(MID(SUBSTITUTE(SUBSTITUTE(SUBSTITUTE(UPPER($P34)," ",""),"C",""),";",REPT(" ",30)),31,30))),0)+IFERROR(VALUE(TRIM(MID(SUBSTITUTE(SUBSTITUTE(SUBSTITUTE(UPPER($P34)," ",""),"C",""),";",REPT(" ",30)),61,30))),0)+IFERROR(VALUE(TRIM(MID(SUBSTITUTE(SUBSTITUTE(SUBSTITUTE(UPPER($P34)," ",""),"C",""),";",REPT(" ",30)),91,30))),0)+IFERROR(VALUE(TRIM(MID(SUBSTITUTE(SUBSTITUTE(SUBSTITUTE(UPPER($P34)," ",""),"C",""),";",REPT(" ",30)),121,30))),0)+IFERROR(VALUE(TRIM(MID(SUBSTITUTE(SUBSTITUTE(SUBSTITUTE(UPPER($P34)," ",""),"C",""),";",REPT(" ",30)),151,30))),0)+IFERROR(VALUE(TRIM(MID(SUBSTITUTE(SUBSTITUTE(SUBSTITUTE(UPPER($P34)," ",""),"C",""),";",REPT(" ",30)),181,30))),0)+IFERROR(VALUE(TRIM(MID(SUBSTITUTE(SUBSTITUTE(SUBSTITUTE(UPPER($P34)," ",""),"C",""),";",REPT(" ",30)),211,30))),0)))))</f>
        <v/>
      </c>
      <c r="S34" s="24" t="n"/>
      <c r="T34" s="8" t="n"/>
      <c r="U34" s="14" t="n"/>
      <c r="V34" s="25">
        <f>IF($C34="","",IF($E34="Falta","-",MAX(0,MIN(10,5+IFERROR(VALUE(TRIM(MID(SUBSTITUTE(SUBSTITUTE(SUBSTITUTE(UPPER($T34)," ",""),"P",""),";",REPT(" ",30)),1,30))),0)+IFERROR(VALUE(TRIM(MID(SUBSTITUTE(SUBSTITUTE(SUBSTITUTE(UPPER($T34)," ",""),"P",""),";",REPT(" ",30)),31,30))),0)+IFERROR(VALUE(TRIM(MID(SUBSTITUTE(SUBSTITUTE(SUBSTITUTE(UPPER($T34)," ",""),"P",""),";",REPT(" ",30)),61,30))),0)+IFERROR(VALUE(TRIM(MID(SUBSTITUTE(SUBSTITUTE(SUBSTITUTE(UPPER($T34)," ",""),"P",""),";",REPT(" ",30)),91,30))),0)+IFERROR(VALUE(TRIM(MID(SUBSTITUTE(SUBSTITUTE(SUBSTITUTE(UPPER($T34)," ",""),"P",""),";",REPT(" ",30)),121,30))),0)+IFERROR(VALUE(TRIM(MID(SUBSTITUTE(SUBSTITUTE(SUBSTITUTE(UPPER($T34)," ",""),"P",""),";",REPT(" ",30)),151,30))),0)+IFERROR(VALUE(TRIM(MID(SUBSTITUTE(SUBSTITUTE(SUBSTITUTE(UPPER($T34)," ",""),"P",""),";",REPT(" ",30)),181,30))),0)+IFERROR(VALUE(TRIM(MID(SUBSTITUTE(SUBSTITUTE(SUBSTITUTE(UPPER($T34)," ",""),"P",""),";",REPT(" ",30)),211,30))),0)))))</f>
        <v/>
      </c>
      <c r="W34" s="24" t="n"/>
      <c r="X34" s="14" t="n"/>
    </row>
    <row r="35">
      <c r="A35" s="8">
        <f>IF($C35="","",7)</f>
        <v/>
      </c>
      <c r="B35" s="8">
        <f>IF($C35="","","2ª Sessão")</f>
        <v/>
      </c>
      <c r="C35" s="8">
        <f>IF(Preenchimento!$B$16="","",Preenchimento!$B$16)</f>
        <v/>
      </c>
      <c r="D35" s="8">
        <f>IF($C35="","",IF(Preenchimento!$C$16="","-",Preenchimento!$C$16))</f>
        <v/>
      </c>
      <c r="E35" s="8" t="n"/>
      <c r="F35" s="8" t="n"/>
      <c r="G35" s="24" t="n"/>
      <c r="H35" s="8" t="n"/>
      <c r="I35" s="14" t="n"/>
      <c r="J35" s="25">
        <f>IF($C35="","",IF($E35="Falta","-",MAX(0,MIN(10,8+IFERROR(VALUE(TRIM(MID(SUBSTITUTE(SUBSTITUTE(SUBSTITUTE(UPPER($H35)," ",""),"D",""),";",REPT(" ",30)),1,30))),0)+IFERROR(VALUE(TRIM(MID(SUBSTITUTE(SUBSTITUTE(SUBSTITUTE(UPPER($H35)," ",""),"D",""),";",REPT(" ",30)),31,30))),0)+IFERROR(VALUE(TRIM(MID(SUBSTITUTE(SUBSTITUTE(SUBSTITUTE(UPPER($H35)," ",""),"D",""),";",REPT(" ",30)),61,30))),0)+IFERROR(VALUE(TRIM(MID(SUBSTITUTE(SUBSTITUTE(SUBSTITUTE(UPPER($H35)," ",""),"D",""),";",REPT(" ",30)),91,30))),0)+IFERROR(VALUE(TRIM(MID(SUBSTITUTE(SUBSTITUTE(SUBSTITUTE(UPPER($H35)," ",""),"D",""),";",REPT(" ",30)),121,30))),0)+IFERROR(VALUE(TRIM(MID(SUBSTITUTE(SUBSTITUTE(SUBSTITUTE(UPPER($H35)," ",""),"D",""),";",REPT(" ",30)),151,30))),0)+IFERROR(VALUE(TRIM(MID(SUBSTITUTE(SUBSTITUTE(SUBSTITUTE(UPPER($H35)," ",""),"D",""),";",REPT(" ",30)),181,30))),0)+IFERROR(VALUE(TRIM(MID(SUBSTITUTE(SUBSTITUTE(SUBSTITUTE(UPPER($H35)," ",""),"D",""),";",REPT(" ",30)),211,30))),0)))))</f>
        <v/>
      </c>
      <c r="K35" s="24" t="n"/>
      <c r="L35" s="8" t="n"/>
      <c r="M35" s="14" t="n"/>
      <c r="N35" s="25">
        <f>IF($C35="","",IF($E35="Falta","-",MAX(0,MIN(10,8+IFERROR(VALUE(TRIM(MID(SUBSTITUTE(SUBSTITUTE(SUBSTITUTE(UPPER($L35)," ",""),"F",""),";",REPT(" ",30)),1,30))),0)+IFERROR(VALUE(TRIM(MID(SUBSTITUTE(SUBSTITUTE(SUBSTITUTE(UPPER($L35)," ",""),"F",""),";",REPT(" ",30)),31,30))),0)+IFERROR(VALUE(TRIM(MID(SUBSTITUTE(SUBSTITUTE(SUBSTITUTE(UPPER($L35)," ",""),"F",""),";",REPT(" ",30)),61,30))),0)+IFERROR(VALUE(TRIM(MID(SUBSTITUTE(SUBSTITUTE(SUBSTITUTE(UPPER($L35)," ",""),"F",""),";",REPT(" ",30)),91,30))),0)+IFERROR(VALUE(TRIM(MID(SUBSTITUTE(SUBSTITUTE(SUBSTITUTE(UPPER($L35)," ",""),"F",""),";",REPT(" ",30)),121,30))),0)+IFERROR(VALUE(TRIM(MID(SUBSTITUTE(SUBSTITUTE(SUBSTITUTE(UPPER($L35)," ",""),"F",""),";",REPT(" ",30)),151,30))),0)+IFERROR(VALUE(TRIM(MID(SUBSTITUTE(SUBSTITUTE(SUBSTITUTE(UPPER($L35)," ",""),"F",""),";",REPT(" ",30)),181,30))),0)+IFERROR(VALUE(TRIM(MID(SUBSTITUTE(SUBSTITUTE(SUBSTITUTE(UPPER($L35)," ",""),"F",""),";",REPT(" ",30)),211,30))),0)))))</f>
        <v/>
      </c>
      <c r="O35" s="24" t="n"/>
      <c r="P35" s="8" t="n"/>
      <c r="Q35" s="14" t="n"/>
      <c r="R35" s="25">
        <f>IF($C35="","",IF($E35="Falta","-",MAX(0,MIN(10,5+IFERROR(VALUE(TRIM(MID(SUBSTITUTE(SUBSTITUTE(SUBSTITUTE(UPPER($P35)," ",""),"C",""),";",REPT(" ",30)),1,30))),0)+IFERROR(VALUE(TRIM(MID(SUBSTITUTE(SUBSTITUTE(SUBSTITUTE(UPPER($P35)," ",""),"C",""),";",REPT(" ",30)),31,30))),0)+IFERROR(VALUE(TRIM(MID(SUBSTITUTE(SUBSTITUTE(SUBSTITUTE(UPPER($P35)," ",""),"C",""),";",REPT(" ",30)),61,30))),0)+IFERROR(VALUE(TRIM(MID(SUBSTITUTE(SUBSTITUTE(SUBSTITUTE(UPPER($P35)," ",""),"C",""),";",REPT(" ",30)),91,30))),0)+IFERROR(VALUE(TRIM(MID(SUBSTITUTE(SUBSTITUTE(SUBSTITUTE(UPPER($P35)," ",""),"C",""),";",REPT(" ",30)),121,30))),0)+IFERROR(VALUE(TRIM(MID(SUBSTITUTE(SUBSTITUTE(SUBSTITUTE(UPPER($P35)," ",""),"C",""),";",REPT(" ",30)),151,30))),0)+IFERROR(VALUE(TRIM(MID(SUBSTITUTE(SUBSTITUTE(SUBSTITUTE(UPPER($P35)," ",""),"C",""),";",REPT(" ",30)),181,30))),0)+IFERROR(VALUE(TRIM(MID(SUBSTITUTE(SUBSTITUTE(SUBSTITUTE(UPPER($P35)," ",""),"C",""),";",REPT(" ",30)),211,30))),0)))))</f>
        <v/>
      </c>
      <c r="S35" s="24" t="n"/>
      <c r="T35" s="8" t="n"/>
      <c r="U35" s="14" t="n"/>
      <c r="V35" s="25">
        <f>IF($C35="","",IF($E35="Falta","-",MAX(0,MIN(10,5+IFERROR(VALUE(TRIM(MID(SUBSTITUTE(SUBSTITUTE(SUBSTITUTE(UPPER($T35)," ",""),"P",""),";",REPT(" ",30)),1,30))),0)+IFERROR(VALUE(TRIM(MID(SUBSTITUTE(SUBSTITUTE(SUBSTITUTE(UPPER($T35)," ",""),"P",""),";",REPT(" ",30)),31,30))),0)+IFERROR(VALUE(TRIM(MID(SUBSTITUTE(SUBSTITUTE(SUBSTITUTE(UPPER($T35)," ",""),"P",""),";",REPT(" ",30)),61,30))),0)+IFERROR(VALUE(TRIM(MID(SUBSTITUTE(SUBSTITUTE(SUBSTITUTE(UPPER($T35)," ",""),"P",""),";",REPT(" ",30)),91,30))),0)+IFERROR(VALUE(TRIM(MID(SUBSTITUTE(SUBSTITUTE(SUBSTITUTE(UPPER($T35)," ",""),"P",""),";",REPT(" ",30)),121,30))),0)+IFERROR(VALUE(TRIM(MID(SUBSTITUTE(SUBSTITUTE(SUBSTITUTE(UPPER($T35)," ",""),"P",""),";",REPT(" ",30)),151,30))),0)+IFERROR(VALUE(TRIM(MID(SUBSTITUTE(SUBSTITUTE(SUBSTITUTE(UPPER($T35)," ",""),"P",""),";",REPT(" ",30)),181,30))),0)+IFERROR(VALUE(TRIM(MID(SUBSTITUTE(SUBSTITUTE(SUBSTITUTE(UPPER($T35)," ",""),"P",""),";",REPT(" ",30)),211,30))),0)))))</f>
        <v/>
      </c>
      <c r="W35" s="24" t="n"/>
      <c r="X35" s="14" t="n"/>
    </row>
    <row r="36">
      <c r="A36" s="8">
        <f>IF($C36="","",7)</f>
        <v/>
      </c>
      <c r="B36" s="8">
        <f>IF($C36="","","3ª Sessão")</f>
        <v/>
      </c>
      <c r="C36" s="8">
        <f>IF(Preenchimento!$B$16="","",Preenchimento!$B$16)</f>
        <v/>
      </c>
      <c r="D36" s="8">
        <f>IF($C36="","",IF(Preenchimento!$C$16="","-",Preenchimento!$C$16))</f>
        <v/>
      </c>
      <c r="E36" s="8" t="n"/>
      <c r="F36" s="8" t="n"/>
      <c r="G36" s="24" t="n"/>
      <c r="H36" s="8" t="n"/>
      <c r="I36" s="14" t="n"/>
      <c r="J36" s="25">
        <f>IF($C36="","",IF($E36="Falta","-",MAX(0,MIN(10,8+IFERROR(VALUE(TRIM(MID(SUBSTITUTE(SUBSTITUTE(SUBSTITUTE(UPPER($H36)," ",""),"D",""),";",REPT(" ",30)),1,30))),0)+IFERROR(VALUE(TRIM(MID(SUBSTITUTE(SUBSTITUTE(SUBSTITUTE(UPPER($H36)," ",""),"D",""),";",REPT(" ",30)),31,30))),0)+IFERROR(VALUE(TRIM(MID(SUBSTITUTE(SUBSTITUTE(SUBSTITUTE(UPPER($H36)," ",""),"D",""),";",REPT(" ",30)),61,30))),0)+IFERROR(VALUE(TRIM(MID(SUBSTITUTE(SUBSTITUTE(SUBSTITUTE(UPPER($H36)," ",""),"D",""),";",REPT(" ",30)),91,30))),0)+IFERROR(VALUE(TRIM(MID(SUBSTITUTE(SUBSTITUTE(SUBSTITUTE(UPPER($H36)," ",""),"D",""),";",REPT(" ",30)),121,30))),0)+IFERROR(VALUE(TRIM(MID(SUBSTITUTE(SUBSTITUTE(SUBSTITUTE(UPPER($H36)," ",""),"D",""),";",REPT(" ",30)),151,30))),0)+IFERROR(VALUE(TRIM(MID(SUBSTITUTE(SUBSTITUTE(SUBSTITUTE(UPPER($H36)," ",""),"D",""),";",REPT(" ",30)),181,30))),0)+IFERROR(VALUE(TRIM(MID(SUBSTITUTE(SUBSTITUTE(SUBSTITUTE(UPPER($H36)," ",""),"D",""),";",REPT(" ",30)),211,30))),0)))))</f>
        <v/>
      </c>
      <c r="K36" s="24" t="n"/>
      <c r="L36" s="8" t="n"/>
      <c r="M36" s="14" t="n"/>
      <c r="N36" s="25">
        <f>IF($C36="","",IF($E36="Falta","-",MAX(0,MIN(10,8+IFERROR(VALUE(TRIM(MID(SUBSTITUTE(SUBSTITUTE(SUBSTITUTE(UPPER($L36)," ",""),"F",""),";",REPT(" ",30)),1,30))),0)+IFERROR(VALUE(TRIM(MID(SUBSTITUTE(SUBSTITUTE(SUBSTITUTE(UPPER($L36)," ",""),"F",""),";",REPT(" ",30)),31,30))),0)+IFERROR(VALUE(TRIM(MID(SUBSTITUTE(SUBSTITUTE(SUBSTITUTE(UPPER($L36)," ",""),"F",""),";",REPT(" ",30)),61,30))),0)+IFERROR(VALUE(TRIM(MID(SUBSTITUTE(SUBSTITUTE(SUBSTITUTE(UPPER($L36)," ",""),"F",""),";",REPT(" ",30)),91,30))),0)+IFERROR(VALUE(TRIM(MID(SUBSTITUTE(SUBSTITUTE(SUBSTITUTE(UPPER($L36)," ",""),"F",""),";",REPT(" ",30)),121,30))),0)+IFERROR(VALUE(TRIM(MID(SUBSTITUTE(SUBSTITUTE(SUBSTITUTE(UPPER($L36)," ",""),"F",""),";",REPT(" ",30)),151,30))),0)+IFERROR(VALUE(TRIM(MID(SUBSTITUTE(SUBSTITUTE(SUBSTITUTE(UPPER($L36)," ",""),"F",""),";",REPT(" ",30)),181,30))),0)+IFERROR(VALUE(TRIM(MID(SUBSTITUTE(SUBSTITUTE(SUBSTITUTE(UPPER($L36)," ",""),"F",""),";",REPT(" ",30)),211,30))),0)))))</f>
        <v/>
      </c>
      <c r="O36" s="24" t="n"/>
      <c r="P36" s="8" t="n"/>
      <c r="Q36" s="14" t="n"/>
      <c r="R36" s="25">
        <f>IF($C36="","",IF($E36="Falta","-",MAX(0,MIN(10,5+IFERROR(VALUE(TRIM(MID(SUBSTITUTE(SUBSTITUTE(SUBSTITUTE(UPPER($P36)," ",""),"C",""),";",REPT(" ",30)),1,30))),0)+IFERROR(VALUE(TRIM(MID(SUBSTITUTE(SUBSTITUTE(SUBSTITUTE(UPPER($P36)," ",""),"C",""),";",REPT(" ",30)),31,30))),0)+IFERROR(VALUE(TRIM(MID(SUBSTITUTE(SUBSTITUTE(SUBSTITUTE(UPPER($P36)," ",""),"C",""),";",REPT(" ",30)),61,30))),0)+IFERROR(VALUE(TRIM(MID(SUBSTITUTE(SUBSTITUTE(SUBSTITUTE(UPPER($P36)," ",""),"C",""),";",REPT(" ",30)),91,30))),0)+IFERROR(VALUE(TRIM(MID(SUBSTITUTE(SUBSTITUTE(SUBSTITUTE(UPPER($P36)," ",""),"C",""),";",REPT(" ",30)),121,30))),0)+IFERROR(VALUE(TRIM(MID(SUBSTITUTE(SUBSTITUTE(SUBSTITUTE(UPPER($P36)," ",""),"C",""),";",REPT(" ",30)),151,30))),0)+IFERROR(VALUE(TRIM(MID(SUBSTITUTE(SUBSTITUTE(SUBSTITUTE(UPPER($P36)," ",""),"C",""),";",REPT(" ",30)),181,30))),0)+IFERROR(VALUE(TRIM(MID(SUBSTITUTE(SUBSTITUTE(SUBSTITUTE(UPPER($P36)," ",""),"C",""),";",REPT(" ",30)),211,30))),0)))))</f>
        <v/>
      </c>
      <c r="S36" s="24" t="n"/>
      <c r="T36" s="8" t="n"/>
      <c r="U36" s="14" t="n"/>
      <c r="V36" s="25">
        <f>IF($C36="","",IF($E36="Falta","-",MAX(0,MIN(10,5+IFERROR(VALUE(TRIM(MID(SUBSTITUTE(SUBSTITUTE(SUBSTITUTE(UPPER($T36)," ",""),"P",""),";",REPT(" ",30)),1,30))),0)+IFERROR(VALUE(TRIM(MID(SUBSTITUTE(SUBSTITUTE(SUBSTITUTE(UPPER($T36)," ",""),"P",""),";",REPT(" ",30)),31,30))),0)+IFERROR(VALUE(TRIM(MID(SUBSTITUTE(SUBSTITUTE(SUBSTITUTE(UPPER($T36)," ",""),"P",""),";",REPT(" ",30)),61,30))),0)+IFERROR(VALUE(TRIM(MID(SUBSTITUTE(SUBSTITUTE(SUBSTITUTE(UPPER($T36)," ",""),"P",""),";",REPT(" ",30)),91,30))),0)+IFERROR(VALUE(TRIM(MID(SUBSTITUTE(SUBSTITUTE(SUBSTITUTE(UPPER($T36)," ",""),"P",""),";",REPT(" ",30)),121,30))),0)+IFERROR(VALUE(TRIM(MID(SUBSTITUTE(SUBSTITUTE(SUBSTITUTE(UPPER($T36)," ",""),"P",""),";",REPT(" ",30)),151,30))),0)+IFERROR(VALUE(TRIM(MID(SUBSTITUTE(SUBSTITUTE(SUBSTITUTE(UPPER($T36)," ",""),"P",""),";",REPT(" ",30)),181,30))),0)+IFERROR(VALUE(TRIM(MID(SUBSTITUTE(SUBSTITUTE(SUBSTITUTE(UPPER($T36)," ",""),"P",""),";",REPT(" ",30)),211,30))),0)))))</f>
        <v/>
      </c>
      <c r="W36" s="24" t="n"/>
      <c r="X36" s="14" t="n"/>
    </row>
    <row r="37">
      <c r="A37" s="8">
        <f>IF($C37="","",7)</f>
        <v/>
      </c>
      <c r="B37" s="8">
        <f>IF($C37="","","4ª Sessão")</f>
        <v/>
      </c>
      <c r="C37" s="8">
        <f>IF(Preenchimento!$B$16="","",Preenchimento!$B$16)</f>
        <v/>
      </c>
      <c r="D37" s="8">
        <f>IF($C37="","",IF(Preenchimento!$C$16="","-",Preenchimento!$C$16))</f>
        <v/>
      </c>
      <c r="E37" s="8" t="n"/>
      <c r="F37" s="8" t="n"/>
      <c r="G37" s="24" t="n"/>
      <c r="H37" s="8" t="n"/>
      <c r="I37" s="14" t="n"/>
      <c r="J37" s="25">
        <f>IF($C37="","",IF($E37="Falta","-",MAX(0,MIN(10,8+IFERROR(VALUE(TRIM(MID(SUBSTITUTE(SUBSTITUTE(SUBSTITUTE(UPPER($H37)," ",""),"D",""),";",REPT(" ",30)),1,30))),0)+IFERROR(VALUE(TRIM(MID(SUBSTITUTE(SUBSTITUTE(SUBSTITUTE(UPPER($H37)," ",""),"D",""),";",REPT(" ",30)),31,30))),0)+IFERROR(VALUE(TRIM(MID(SUBSTITUTE(SUBSTITUTE(SUBSTITUTE(UPPER($H37)," ",""),"D",""),";",REPT(" ",30)),61,30))),0)+IFERROR(VALUE(TRIM(MID(SUBSTITUTE(SUBSTITUTE(SUBSTITUTE(UPPER($H37)," ",""),"D",""),";",REPT(" ",30)),91,30))),0)+IFERROR(VALUE(TRIM(MID(SUBSTITUTE(SUBSTITUTE(SUBSTITUTE(UPPER($H37)," ",""),"D",""),";",REPT(" ",30)),121,30))),0)+IFERROR(VALUE(TRIM(MID(SUBSTITUTE(SUBSTITUTE(SUBSTITUTE(UPPER($H37)," ",""),"D",""),";",REPT(" ",30)),151,30))),0)+IFERROR(VALUE(TRIM(MID(SUBSTITUTE(SUBSTITUTE(SUBSTITUTE(UPPER($H37)," ",""),"D",""),";",REPT(" ",30)),181,30))),0)+IFERROR(VALUE(TRIM(MID(SUBSTITUTE(SUBSTITUTE(SUBSTITUTE(UPPER($H37)," ",""),"D",""),";",REPT(" ",30)),211,30))),0)))))</f>
        <v/>
      </c>
      <c r="K37" s="24" t="n"/>
      <c r="L37" s="8" t="n"/>
      <c r="M37" s="14" t="n"/>
      <c r="N37" s="25">
        <f>IF($C37="","",IF($E37="Falta","-",MAX(0,MIN(10,8+IFERROR(VALUE(TRIM(MID(SUBSTITUTE(SUBSTITUTE(SUBSTITUTE(UPPER($L37)," ",""),"F",""),";",REPT(" ",30)),1,30))),0)+IFERROR(VALUE(TRIM(MID(SUBSTITUTE(SUBSTITUTE(SUBSTITUTE(UPPER($L37)," ",""),"F",""),";",REPT(" ",30)),31,30))),0)+IFERROR(VALUE(TRIM(MID(SUBSTITUTE(SUBSTITUTE(SUBSTITUTE(UPPER($L37)," ",""),"F",""),";",REPT(" ",30)),61,30))),0)+IFERROR(VALUE(TRIM(MID(SUBSTITUTE(SUBSTITUTE(SUBSTITUTE(UPPER($L37)," ",""),"F",""),";",REPT(" ",30)),91,30))),0)+IFERROR(VALUE(TRIM(MID(SUBSTITUTE(SUBSTITUTE(SUBSTITUTE(UPPER($L37)," ",""),"F",""),";",REPT(" ",30)),121,30))),0)+IFERROR(VALUE(TRIM(MID(SUBSTITUTE(SUBSTITUTE(SUBSTITUTE(UPPER($L37)," ",""),"F",""),";",REPT(" ",30)),151,30))),0)+IFERROR(VALUE(TRIM(MID(SUBSTITUTE(SUBSTITUTE(SUBSTITUTE(UPPER($L37)," ",""),"F",""),";",REPT(" ",30)),181,30))),0)+IFERROR(VALUE(TRIM(MID(SUBSTITUTE(SUBSTITUTE(SUBSTITUTE(UPPER($L37)," ",""),"F",""),";",REPT(" ",30)),211,30))),0)))))</f>
        <v/>
      </c>
      <c r="O37" s="24" t="n"/>
      <c r="P37" s="8" t="n"/>
      <c r="Q37" s="14" t="n"/>
      <c r="R37" s="25">
        <f>IF($C37="","",IF($E37="Falta","-",MAX(0,MIN(10,5+IFERROR(VALUE(TRIM(MID(SUBSTITUTE(SUBSTITUTE(SUBSTITUTE(UPPER($P37)," ",""),"C",""),";",REPT(" ",30)),1,30))),0)+IFERROR(VALUE(TRIM(MID(SUBSTITUTE(SUBSTITUTE(SUBSTITUTE(UPPER($P37)," ",""),"C",""),";",REPT(" ",30)),31,30))),0)+IFERROR(VALUE(TRIM(MID(SUBSTITUTE(SUBSTITUTE(SUBSTITUTE(UPPER($P37)," ",""),"C",""),";",REPT(" ",30)),61,30))),0)+IFERROR(VALUE(TRIM(MID(SUBSTITUTE(SUBSTITUTE(SUBSTITUTE(UPPER($P37)," ",""),"C",""),";",REPT(" ",30)),91,30))),0)+IFERROR(VALUE(TRIM(MID(SUBSTITUTE(SUBSTITUTE(SUBSTITUTE(UPPER($P37)," ",""),"C",""),";",REPT(" ",30)),121,30))),0)+IFERROR(VALUE(TRIM(MID(SUBSTITUTE(SUBSTITUTE(SUBSTITUTE(UPPER($P37)," ",""),"C",""),";",REPT(" ",30)),151,30))),0)+IFERROR(VALUE(TRIM(MID(SUBSTITUTE(SUBSTITUTE(SUBSTITUTE(UPPER($P37)," ",""),"C",""),";",REPT(" ",30)),181,30))),0)+IFERROR(VALUE(TRIM(MID(SUBSTITUTE(SUBSTITUTE(SUBSTITUTE(UPPER($P37)," ",""),"C",""),";",REPT(" ",30)),211,30))),0)))))</f>
        <v/>
      </c>
      <c r="S37" s="24" t="n"/>
      <c r="T37" s="8" t="n"/>
      <c r="U37" s="14" t="n"/>
      <c r="V37" s="25">
        <f>IF($C37="","",IF($E37="Falta","-",MAX(0,MIN(10,5+IFERROR(VALUE(TRIM(MID(SUBSTITUTE(SUBSTITUTE(SUBSTITUTE(UPPER($T37)," ",""),"P",""),";",REPT(" ",30)),1,30))),0)+IFERROR(VALUE(TRIM(MID(SUBSTITUTE(SUBSTITUTE(SUBSTITUTE(UPPER($T37)," ",""),"P",""),";",REPT(" ",30)),31,30))),0)+IFERROR(VALUE(TRIM(MID(SUBSTITUTE(SUBSTITUTE(SUBSTITUTE(UPPER($T37)," ",""),"P",""),";",REPT(" ",30)),61,30))),0)+IFERROR(VALUE(TRIM(MID(SUBSTITUTE(SUBSTITUTE(SUBSTITUTE(UPPER($T37)," ",""),"P",""),";",REPT(" ",30)),91,30))),0)+IFERROR(VALUE(TRIM(MID(SUBSTITUTE(SUBSTITUTE(SUBSTITUTE(UPPER($T37)," ",""),"P",""),";",REPT(" ",30)),121,30))),0)+IFERROR(VALUE(TRIM(MID(SUBSTITUTE(SUBSTITUTE(SUBSTITUTE(UPPER($T37)," ",""),"P",""),";",REPT(" ",30)),151,30))),0)+IFERROR(VALUE(TRIM(MID(SUBSTITUTE(SUBSTITUTE(SUBSTITUTE(UPPER($T37)," ",""),"P",""),";",REPT(" ",30)),181,30))),0)+IFERROR(VALUE(TRIM(MID(SUBSTITUTE(SUBSTITUTE(SUBSTITUTE(UPPER($T37)," ",""),"P",""),";",REPT(" ",30)),211,30))),0)))))</f>
        <v/>
      </c>
      <c r="W37" s="24" t="n"/>
      <c r="X37" s="14" t="n"/>
    </row>
    <row r="38">
      <c r="A38" s="8">
        <f>IF($C38="","",7)</f>
        <v/>
      </c>
      <c r="B38" s="8">
        <f>IF($C38="","","5ª Sessão")</f>
        <v/>
      </c>
      <c r="C38" s="8">
        <f>IF(Preenchimento!$B$16="","",Preenchimento!$B$16)</f>
        <v/>
      </c>
      <c r="D38" s="8">
        <f>IF($C38="","",IF(Preenchimento!$C$16="","-",Preenchimento!$C$16))</f>
        <v/>
      </c>
      <c r="E38" s="8" t="n"/>
      <c r="F38" s="8" t="n"/>
      <c r="G38" s="24" t="n"/>
      <c r="H38" s="8" t="n"/>
      <c r="I38" s="14" t="n"/>
      <c r="J38" s="25">
        <f>IF($C38="","",IF($E38="Falta","-",MAX(0,MIN(10,8+IFERROR(VALUE(TRIM(MID(SUBSTITUTE(SUBSTITUTE(SUBSTITUTE(UPPER($H38)," ",""),"D",""),";",REPT(" ",30)),1,30))),0)+IFERROR(VALUE(TRIM(MID(SUBSTITUTE(SUBSTITUTE(SUBSTITUTE(UPPER($H38)," ",""),"D",""),";",REPT(" ",30)),31,30))),0)+IFERROR(VALUE(TRIM(MID(SUBSTITUTE(SUBSTITUTE(SUBSTITUTE(UPPER($H38)," ",""),"D",""),";",REPT(" ",30)),61,30))),0)+IFERROR(VALUE(TRIM(MID(SUBSTITUTE(SUBSTITUTE(SUBSTITUTE(UPPER($H38)," ",""),"D",""),";",REPT(" ",30)),91,30))),0)+IFERROR(VALUE(TRIM(MID(SUBSTITUTE(SUBSTITUTE(SUBSTITUTE(UPPER($H38)," ",""),"D",""),";",REPT(" ",30)),121,30))),0)+IFERROR(VALUE(TRIM(MID(SUBSTITUTE(SUBSTITUTE(SUBSTITUTE(UPPER($H38)," ",""),"D",""),";",REPT(" ",30)),151,30))),0)+IFERROR(VALUE(TRIM(MID(SUBSTITUTE(SUBSTITUTE(SUBSTITUTE(UPPER($H38)," ",""),"D",""),";",REPT(" ",30)),181,30))),0)+IFERROR(VALUE(TRIM(MID(SUBSTITUTE(SUBSTITUTE(SUBSTITUTE(UPPER($H38)," ",""),"D",""),";",REPT(" ",30)),211,30))),0)))))</f>
        <v/>
      </c>
      <c r="K38" s="24" t="n"/>
      <c r="L38" s="8" t="n"/>
      <c r="M38" s="14" t="n"/>
      <c r="N38" s="25">
        <f>IF($C38="","",IF($E38="Falta","-",MAX(0,MIN(10,8+IFERROR(VALUE(TRIM(MID(SUBSTITUTE(SUBSTITUTE(SUBSTITUTE(UPPER($L38)," ",""),"F",""),";",REPT(" ",30)),1,30))),0)+IFERROR(VALUE(TRIM(MID(SUBSTITUTE(SUBSTITUTE(SUBSTITUTE(UPPER($L38)," ",""),"F",""),";",REPT(" ",30)),31,30))),0)+IFERROR(VALUE(TRIM(MID(SUBSTITUTE(SUBSTITUTE(SUBSTITUTE(UPPER($L38)," ",""),"F",""),";",REPT(" ",30)),61,30))),0)+IFERROR(VALUE(TRIM(MID(SUBSTITUTE(SUBSTITUTE(SUBSTITUTE(UPPER($L38)," ",""),"F",""),";",REPT(" ",30)),91,30))),0)+IFERROR(VALUE(TRIM(MID(SUBSTITUTE(SUBSTITUTE(SUBSTITUTE(UPPER($L38)," ",""),"F",""),";",REPT(" ",30)),121,30))),0)+IFERROR(VALUE(TRIM(MID(SUBSTITUTE(SUBSTITUTE(SUBSTITUTE(UPPER($L38)," ",""),"F",""),";",REPT(" ",30)),151,30))),0)+IFERROR(VALUE(TRIM(MID(SUBSTITUTE(SUBSTITUTE(SUBSTITUTE(UPPER($L38)," ",""),"F",""),";",REPT(" ",30)),181,30))),0)+IFERROR(VALUE(TRIM(MID(SUBSTITUTE(SUBSTITUTE(SUBSTITUTE(UPPER($L38)," ",""),"F",""),";",REPT(" ",30)),211,30))),0)))))</f>
        <v/>
      </c>
      <c r="O38" s="24" t="n"/>
      <c r="P38" s="8" t="n"/>
      <c r="Q38" s="14" t="n"/>
      <c r="R38" s="25">
        <f>IF($C38="","",IF($E38="Falta","-",MAX(0,MIN(10,5+IFERROR(VALUE(TRIM(MID(SUBSTITUTE(SUBSTITUTE(SUBSTITUTE(UPPER($P38)," ",""),"C",""),";",REPT(" ",30)),1,30))),0)+IFERROR(VALUE(TRIM(MID(SUBSTITUTE(SUBSTITUTE(SUBSTITUTE(UPPER($P38)," ",""),"C",""),";",REPT(" ",30)),31,30))),0)+IFERROR(VALUE(TRIM(MID(SUBSTITUTE(SUBSTITUTE(SUBSTITUTE(UPPER($P38)," ",""),"C",""),";",REPT(" ",30)),61,30))),0)+IFERROR(VALUE(TRIM(MID(SUBSTITUTE(SUBSTITUTE(SUBSTITUTE(UPPER($P38)," ",""),"C",""),";",REPT(" ",30)),91,30))),0)+IFERROR(VALUE(TRIM(MID(SUBSTITUTE(SUBSTITUTE(SUBSTITUTE(UPPER($P38)," ",""),"C",""),";",REPT(" ",30)),121,30))),0)+IFERROR(VALUE(TRIM(MID(SUBSTITUTE(SUBSTITUTE(SUBSTITUTE(UPPER($P38)," ",""),"C",""),";",REPT(" ",30)),151,30))),0)+IFERROR(VALUE(TRIM(MID(SUBSTITUTE(SUBSTITUTE(SUBSTITUTE(UPPER($P38)," ",""),"C",""),";",REPT(" ",30)),181,30))),0)+IFERROR(VALUE(TRIM(MID(SUBSTITUTE(SUBSTITUTE(SUBSTITUTE(UPPER($P38)," ",""),"C",""),";",REPT(" ",30)),211,30))),0)))))</f>
        <v/>
      </c>
      <c r="S38" s="24" t="n"/>
      <c r="T38" s="8" t="n"/>
      <c r="U38" s="14" t="n"/>
      <c r="V38" s="25">
        <f>IF($C38="","",IF($E38="Falta","-",MAX(0,MIN(10,5+IFERROR(VALUE(TRIM(MID(SUBSTITUTE(SUBSTITUTE(SUBSTITUTE(UPPER($T38)," ",""),"P",""),";",REPT(" ",30)),1,30))),0)+IFERROR(VALUE(TRIM(MID(SUBSTITUTE(SUBSTITUTE(SUBSTITUTE(UPPER($T38)," ",""),"P",""),";",REPT(" ",30)),31,30))),0)+IFERROR(VALUE(TRIM(MID(SUBSTITUTE(SUBSTITUTE(SUBSTITUTE(UPPER($T38)," ",""),"P",""),";",REPT(" ",30)),61,30))),0)+IFERROR(VALUE(TRIM(MID(SUBSTITUTE(SUBSTITUTE(SUBSTITUTE(UPPER($T38)," ",""),"P",""),";",REPT(" ",30)),91,30))),0)+IFERROR(VALUE(TRIM(MID(SUBSTITUTE(SUBSTITUTE(SUBSTITUTE(UPPER($T38)," ",""),"P",""),";",REPT(" ",30)),121,30))),0)+IFERROR(VALUE(TRIM(MID(SUBSTITUTE(SUBSTITUTE(SUBSTITUTE(UPPER($T38)," ",""),"P",""),";",REPT(" ",30)),151,30))),0)+IFERROR(VALUE(TRIM(MID(SUBSTITUTE(SUBSTITUTE(SUBSTITUTE(UPPER($T38)," ",""),"P",""),";",REPT(" ",30)),181,30))),0)+IFERROR(VALUE(TRIM(MID(SUBSTITUTE(SUBSTITUTE(SUBSTITUTE(UPPER($T38)," ",""),"P",""),";",REPT(" ",30)),211,30))),0)))))</f>
        <v/>
      </c>
      <c r="W38" s="24" t="n"/>
      <c r="X38" s="14" t="n"/>
    </row>
    <row r="39">
      <c r="A39" s="6">
        <f>IF($C39="","",8)</f>
        <v/>
      </c>
      <c r="B39" s="6">
        <f>IF($C39="","","1ª Sessão")</f>
        <v/>
      </c>
      <c r="C39" s="6">
        <f>IF(Preenchimento!$B$17="","",Preenchimento!$B$17)</f>
        <v/>
      </c>
      <c r="D39" s="6">
        <f>IF($C39="","",IF(Preenchimento!$C$17="","-",Preenchimento!$C$17))</f>
        <v/>
      </c>
      <c r="E39" s="6" t="n"/>
      <c r="F39" s="6" t="n"/>
      <c r="G39" s="26" t="n"/>
      <c r="H39" s="6" t="n"/>
      <c r="I39" s="13" t="n"/>
      <c r="J39" s="27">
        <f>IF($C39="","",IF($E39="Falta","-",MAX(0,MIN(10,8+IFERROR(VALUE(TRIM(MID(SUBSTITUTE(SUBSTITUTE(SUBSTITUTE(UPPER($H39)," ",""),"D",""),";",REPT(" ",30)),1,30))),0)+IFERROR(VALUE(TRIM(MID(SUBSTITUTE(SUBSTITUTE(SUBSTITUTE(UPPER($H39)," ",""),"D",""),";",REPT(" ",30)),31,30))),0)+IFERROR(VALUE(TRIM(MID(SUBSTITUTE(SUBSTITUTE(SUBSTITUTE(UPPER($H39)," ",""),"D",""),";",REPT(" ",30)),61,30))),0)+IFERROR(VALUE(TRIM(MID(SUBSTITUTE(SUBSTITUTE(SUBSTITUTE(UPPER($H39)," ",""),"D",""),";",REPT(" ",30)),91,30))),0)+IFERROR(VALUE(TRIM(MID(SUBSTITUTE(SUBSTITUTE(SUBSTITUTE(UPPER($H39)," ",""),"D",""),";",REPT(" ",30)),121,30))),0)+IFERROR(VALUE(TRIM(MID(SUBSTITUTE(SUBSTITUTE(SUBSTITUTE(UPPER($H39)," ",""),"D",""),";",REPT(" ",30)),151,30))),0)+IFERROR(VALUE(TRIM(MID(SUBSTITUTE(SUBSTITUTE(SUBSTITUTE(UPPER($H39)," ",""),"D",""),";",REPT(" ",30)),181,30))),0)+IFERROR(VALUE(TRIM(MID(SUBSTITUTE(SUBSTITUTE(SUBSTITUTE(UPPER($H39)," ",""),"D",""),";",REPT(" ",30)),211,30))),0)))))</f>
        <v/>
      </c>
      <c r="K39" s="26" t="n"/>
      <c r="L39" s="6" t="n"/>
      <c r="M39" s="13" t="n"/>
      <c r="N39" s="27">
        <f>IF($C39="","",IF($E39="Falta","-",MAX(0,MIN(10,8+IFERROR(VALUE(TRIM(MID(SUBSTITUTE(SUBSTITUTE(SUBSTITUTE(UPPER($L39)," ",""),"F",""),";",REPT(" ",30)),1,30))),0)+IFERROR(VALUE(TRIM(MID(SUBSTITUTE(SUBSTITUTE(SUBSTITUTE(UPPER($L39)," ",""),"F",""),";",REPT(" ",30)),31,30))),0)+IFERROR(VALUE(TRIM(MID(SUBSTITUTE(SUBSTITUTE(SUBSTITUTE(UPPER($L39)," ",""),"F",""),";",REPT(" ",30)),61,30))),0)+IFERROR(VALUE(TRIM(MID(SUBSTITUTE(SUBSTITUTE(SUBSTITUTE(UPPER($L39)," ",""),"F",""),";",REPT(" ",30)),91,30))),0)+IFERROR(VALUE(TRIM(MID(SUBSTITUTE(SUBSTITUTE(SUBSTITUTE(UPPER($L39)," ",""),"F",""),";",REPT(" ",30)),121,30))),0)+IFERROR(VALUE(TRIM(MID(SUBSTITUTE(SUBSTITUTE(SUBSTITUTE(UPPER($L39)," ",""),"F",""),";",REPT(" ",30)),151,30))),0)+IFERROR(VALUE(TRIM(MID(SUBSTITUTE(SUBSTITUTE(SUBSTITUTE(UPPER($L39)," ",""),"F",""),";",REPT(" ",30)),181,30))),0)+IFERROR(VALUE(TRIM(MID(SUBSTITUTE(SUBSTITUTE(SUBSTITUTE(UPPER($L39)," ",""),"F",""),";",REPT(" ",30)),211,30))),0)))))</f>
        <v/>
      </c>
      <c r="O39" s="26" t="n"/>
      <c r="P39" s="6" t="n"/>
      <c r="Q39" s="13" t="n"/>
      <c r="R39" s="27">
        <f>IF($C39="","",IF($E39="Falta","-",MAX(0,MIN(10,5+IFERROR(VALUE(TRIM(MID(SUBSTITUTE(SUBSTITUTE(SUBSTITUTE(UPPER($P39)," ",""),"C",""),";",REPT(" ",30)),1,30))),0)+IFERROR(VALUE(TRIM(MID(SUBSTITUTE(SUBSTITUTE(SUBSTITUTE(UPPER($P39)," ",""),"C",""),";",REPT(" ",30)),31,30))),0)+IFERROR(VALUE(TRIM(MID(SUBSTITUTE(SUBSTITUTE(SUBSTITUTE(UPPER($P39)," ",""),"C",""),";",REPT(" ",30)),61,30))),0)+IFERROR(VALUE(TRIM(MID(SUBSTITUTE(SUBSTITUTE(SUBSTITUTE(UPPER($P39)," ",""),"C",""),";",REPT(" ",30)),91,30))),0)+IFERROR(VALUE(TRIM(MID(SUBSTITUTE(SUBSTITUTE(SUBSTITUTE(UPPER($P39)," ",""),"C",""),";",REPT(" ",30)),121,30))),0)+IFERROR(VALUE(TRIM(MID(SUBSTITUTE(SUBSTITUTE(SUBSTITUTE(UPPER($P39)," ",""),"C",""),";",REPT(" ",30)),151,30))),0)+IFERROR(VALUE(TRIM(MID(SUBSTITUTE(SUBSTITUTE(SUBSTITUTE(UPPER($P39)," ",""),"C",""),";",REPT(" ",30)),181,30))),0)+IFERROR(VALUE(TRIM(MID(SUBSTITUTE(SUBSTITUTE(SUBSTITUTE(UPPER($P39)," ",""),"C",""),";",REPT(" ",30)),211,30))),0)))))</f>
        <v/>
      </c>
      <c r="S39" s="26" t="n"/>
      <c r="T39" s="6" t="n"/>
      <c r="U39" s="13" t="n"/>
      <c r="V39" s="27">
        <f>IF($C39="","",IF($E39="Falta","-",MAX(0,MIN(10,5+IFERROR(VALUE(TRIM(MID(SUBSTITUTE(SUBSTITUTE(SUBSTITUTE(UPPER($T39)," ",""),"P",""),";",REPT(" ",30)),1,30))),0)+IFERROR(VALUE(TRIM(MID(SUBSTITUTE(SUBSTITUTE(SUBSTITUTE(UPPER($T39)," ",""),"P",""),";",REPT(" ",30)),31,30))),0)+IFERROR(VALUE(TRIM(MID(SUBSTITUTE(SUBSTITUTE(SUBSTITUTE(UPPER($T39)," ",""),"P",""),";",REPT(" ",30)),61,30))),0)+IFERROR(VALUE(TRIM(MID(SUBSTITUTE(SUBSTITUTE(SUBSTITUTE(UPPER($T39)," ",""),"P",""),";",REPT(" ",30)),91,30))),0)+IFERROR(VALUE(TRIM(MID(SUBSTITUTE(SUBSTITUTE(SUBSTITUTE(UPPER($T39)," ",""),"P",""),";",REPT(" ",30)),121,30))),0)+IFERROR(VALUE(TRIM(MID(SUBSTITUTE(SUBSTITUTE(SUBSTITUTE(UPPER($T39)," ",""),"P",""),";",REPT(" ",30)),151,30))),0)+IFERROR(VALUE(TRIM(MID(SUBSTITUTE(SUBSTITUTE(SUBSTITUTE(UPPER($T39)," ",""),"P",""),";",REPT(" ",30)),181,30))),0)+IFERROR(VALUE(TRIM(MID(SUBSTITUTE(SUBSTITUTE(SUBSTITUTE(UPPER($T39)," ",""),"P",""),";",REPT(" ",30)),211,30))),0)))))</f>
        <v/>
      </c>
      <c r="W39" s="26" t="n"/>
      <c r="X39" s="13" t="n"/>
    </row>
    <row r="40">
      <c r="A40" s="6">
        <f>IF($C40="","",8)</f>
        <v/>
      </c>
      <c r="B40" s="6">
        <f>IF($C40="","","2ª Sessão")</f>
        <v/>
      </c>
      <c r="C40" s="6">
        <f>IF(Preenchimento!$B$17="","",Preenchimento!$B$17)</f>
        <v/>
      </c>
      <c r="D40" s="6">
        <f>IF($C40="","",IF(Preenchimento!$C$17="","-",Preenchimento!$C$17))</f>
        <v/>
      </c>
      <c r="E40" s="6" t="n"/>
      <c r="F40" s="6" t="n"/>
      <c r="G40" s="26" t="n"/>
      <c r="H40" s="6" t="n"/>
      <c r="I40" s="13" t="n"/>
      <c r="J40" s="27">
        <f>IF($C40="","",IF($E40="Falta","-",MAX(0,MIN(10,8+IFERROR(VALUE(TRIM(MID(SUBSTITUTE(SUBSTITUTE(SUBSTITUTE(UPPER($H40)," ",""),"D",""),";",REPT(" ",30)),1,30))),0)+IFERROR(VALUE(TRIM(MID(SUBSTITUTE(SUBSTITUTE(SUBSTITUTE(UPPER($H40)," ",""),"D",""),";",REPT(" ",30)),31,30))),0)+IFERROR(VALUE(TRIM(MID(SUBSTITUTE(SUBSTITUTE(SUBSTITUTE(UPPER($H40)," ",""),"D",""),";",REPT(" ",30)),61,30))),0)+IFERROR(VALUE(TRIM(MID(SUBSTITUTE(SUBSTITUTE(SUBSTITUTE(UPPER($H40)," ",""),"D",""),";",REPT(" ",30)),91,30))),0)+IFERROR(VALUE(TRIM(MID(SUBSTITUTE(SUBSTITUTE(SUBSTITUTE(UPPER($H40)," ",""),"D",""),";",REPT(" ",30)),121,30))),0)+IFERROR(VALUE(TRIM(MID(SUBSTITUTE(SUBSTITUTE(SUBSTITUTE(UPPER($H40)," ",""),"D",""),";",REPT(" ",30)),151,30))),0)+IFERROR(VALUE(TRIM(MID(SUBSTITUTE(SUBSTITUTE(SUBSTITUTE(UPPER($H40)," ",""),"D",""),";",REPT(" ",30)),181,30))),0)+IFERROR(VALUE(TRIM(MID(SUBSTITUTE(SUBSTITUTE(SUBSTITUTE(UPPER($H40)," ",""),"D",""),";",REPT(" ",30)),211,30))),0)))))</f>
        <v/>
      </c>
      <c r="K40" s="26" t="n"/>
      <c r="L40" s="6" t="n"/>
      <c r="M40" s="13" t="n"/>
      <c r="N40" s="27">
        <f>IF($C40="","",IF($E40="Falta","-",MAX(0,MIN(10,8+IFERROR(VALUE(TRIM(MID(SUBSTITUTE(SUBSTITUTE(SUBSTITUTE(UPPER($L40)," ",""),"F",""),";",REPT(" ",30)),1,30))),0)+IFERROR(VALUE(TRIM(MID(SUBSTITUTE(SUBSTITUTE(SUBSTITUTE(UPPER($L40)," ",""),"F",""),";",REPT(" ",30)),31,30))),0)+IFERROR(VALUE(TRIM(MID(SUBSTITUTE(SUBSTITUTE(SUBSTITUTE(UPPER($L40)," ",""),"F",""),";",REPT(" ",30)),61,30))),0)+IFERROR(VALUE(TRIM(MID(SUBSTITUTE(SUBSTITUTE(SUBSTITUTE(UPPER($L40)," ",""),"F",""),";",REPT(" ",30)),91,30))),0)+IFERROR(VALUE(TRIM(MID(SUBSTITUTE(SUBSTITUTE(SUBSTITUTE(UPPER($L40)," ",""),"F",""),";",REPT(" ",30)),121,30))),0)+IFERROR(VALUE(TRIM(MID(SUBSTITUTE(SUBSTITUTE(SUBSTITUTE(UPPER($L40)," ",""),"F",""),";",REPT(" ",30)),151,30))),0)+IFERROR(VALUE(TRIM(MID(SUBSTITUTE(SUBSTITUTE(SUBSTITUTE(UPPER($L40)," ",""),"F",""),";",REPT(" ",30)),181,30))),0)+IFERROR(VALUE(TRIM(MID(SUBSTITUTE(SUBSTITUTE(SUBSTITUTE(UPPER($L40)," ",""),"F",""),";",REPT(" ",30)),211,30))),0)))))</f>
        <v/>
      </c>
      <c r="O40" s="26" t="n"/>
      <c r="P40" s="6" t="n"/>
      <c r="Q40" s="13" t="n"/>
      <c r="R40" s="27">
        <f>IF($C40="","",IF($E40="Falta","-",MAX(0,MIN(10,5+IFERROR(VALUE(TRIM(MID(SUBSTITUTE(SUBSTITUTE(SUBSTITUTE(UPPER($P40)," ",""),"C",""),";",REPT(" ",30)),1,30))),0)+IFERROR(VALUE(TRIM(MID(SUBSTITUTE(SUBSTITUTE(SUBSTITUTE(UPPER($P40)," ",""),"C",""),";",REPT(" ",30)),31,30))),0)+IFERROR(VALUE(TRIM(MID(SUBSTITUTE(SUBSTITUTE(SUBSTITUTE(UPPER($P40)," ",""),"C",""),";",REPT(" ",30)),61,30))),0)+IFERROR(VALUE(TRIM(MID(SUBSTITUTE(SUBSTITUTE(SUBSTITUTE(UPPER($P40)," ",""),"C",""),";",REPT(" ",30)),91,30))),0)+IFERROR(VALUE(TRIM(MID(SUBSTITUTE(SUBSTITUTE(SUBSTITUTE(UPPER($P40)," ",""),"C",""),";",REPT(" ",30)),121,30))),0)+IFERROR(VALUE(TRIM(MID(SUBSTITUTE(SUBSTITUTE(SUBSTITUTE(UPPER($P40)," ",""),"C",""),";",REPT(" ",30)),151,30))),0)+IFERROR(VALUE(TRIM(MID(SUBSTITUTE(SUBSTITUTE(SUBSTITUTE(UPPER($P40)," ",""),"C",""),";",REPT(" ",30)),181,30))),0)+IFERROR(VALUE(TRIM(MID(SUBSTITUTE(SUBSTITUTE(SUBSTITUTE(UPPER($P40)," ",""),"C",""),";",REPT(" ",30)),211,30))),0)))))</f>
        <v/>
      </c>
      <c r="S40" s="26" t="n"/>
      <c r="T40" s="6" t="n"/>
      <c r="U40" s="13" t="n"/>
      <c r="V40" s="27">
        <f>IF($C40="","",IF($E40="Falta","-",MAX(0,MIN(10,5+IFERROR(VALUE(TRIM(MID(SUBSTITUTE(SUBSTITUTE(SUBSTITUTE(UPPER($T40)," ",""),"P",""),";",REPT(" ",30)),1,30))),0)+IFERROR(VALUE(TRIM(MID(SUBSTITUTE(SUBSTITUTE(SUBSTITUTE(UPPER($T40)," ",""),"P",""),";",REPT(" ",30)),31,30))),0)+IFERROR(VALUE(TRIM(MID(SUBSTITUTE(SUBSTITUTE(SUBSTITUTE(UPPER($T40)," ",""),"P",""),";",REPT(" ",30)),61,30))),0)+IFERROR(VALUE(TRIM(MID(SUBSTITUTE(SUBSTITUTE(SUBSTITUTE(UPPER($T40)," ",""),"P",""),";",REPT(" ",30)),91,30))),0)+IFERROR(VALUE(TRIM(MID(SUBSTITUTE(SUBSTITUTE(SUBSTITUTE(UPPER($T40)," ",""),"P",""),";",REPT(" ",30)),121,30))),0)+IFERROR(VALUE(TRIM(MID(SUBSTITUTE(SUBSTITUTE(SUBSTITUTE(UPPER($T40)," ",""),"P",""),";",REPT(" ",30)),151,30))),0)+IFERROR(VALUE(TRIM(MID(SUBSTITUTE(SUBSTITUTE(SUBSTITUTE(UPPER($T40)," ",""),"P",""),";",REPT(" ",30)),181,30))),0)+IFERROR(VALUE(TRIM(MID(SUBSTITUTE(SUBSTITUTE(SUBSTITUTE(UPPER($T40)," ",""),"P",""),";",REPT(" ",30)),211,30))),0)))))</f>
        <v/>
      </c>
      <c r="W40" s="26" t="n"/>
      <c r="X40" s="13" t="n"/>
    </row>
    <row r="41">
      <c r="A41" s="6">
        <f>IF($C41="","",8)</f>
        <v/>
      </c>
      <c r="B41" s="6">
        <f>IF($C41="","","3ª Sessão")</f>
        <v/>
      </c>
      <c r="C41" s="6">
        <f>IF(Preenchimento!$B$17="","",Preenchimento!$B$17)</f>
        <v/>
      </c>
      <c r="D41" s="6">
        <f>IF($C41="","",IF(Preenchimento!$C$17="","-",Preenchimento!$C$17))</f>
        <v/>
      </c>
      <c r="E41" s="6" t="n"/>
      <c r="F41" s="6" t="n"/>
      <c r="G41" s="26" t="n"/>
      <c r="H41" s="6" t="n"/>
      <c r="I41" s="13" t="n"/>
      <c r="J41" s="27">
        <f>IF($C41="","",IF($E41="Falta","-",MAX(0,MIN(10,8+IFERROR(VALUE(TRIM(MID(SUBSTITUTE(SUBSTITUTE(SUBSTITUTE(UPPER($H41)," ",""),"D",""),";",REPT(" ",30)),1,30))),0)+IFERROR(VALUE(TRIM(MID(SUBSTITUTE(SUBSTITUTE(SUBSTITUTE(UPPER($H41)," ",""),"D",""),";",REPT(" ",30)),31,30))),0)+IFERROR(VALUE(TRIM(MID(SUBSTITUTE(SUBSTITUTE(SUBSTITUTE(UPPER($H41)," ",""),"D",""),";",REPT(" ",30)),61,30))),0)+IFERROR(VALUE(TRIM(MID(SUBSTITUTE(SUBSTITUTE(SUBSTITUTE(UPPER($H41)," ",""),"D",""),";",REPT(" ",30)),91,30))),0)+IFERROR(VALUE(TRIM(MID(SUBSTITUTE(SUBSTITUTE(SUBSTITUTE(UPPER($H41)," ",""),"D",""),";",REPT(" ",30)),121,30))),0)+IFERROR(VALUE(TRIM(MID(SUBSTITUTE(SUBSTITUTE(SUBSTITUTE(UPPER($H41)," ",""),"D",""),";",REPT(" ",30)),151,30))),0)+IFERROR(VALUE(TRIM(MID(SUBSTITUTE(SUBSTITUTE(SUBSTITUTE(UPPER($H41)," ",""),"D",""),";",REPT(" ",30)),181,30))),0)+IFERROR(VALUE(TRIM(MID(SUBSTITUTE(SUBSTITUTE(SUBSTITUTE(UPPER($H41)," ",""),"D",""),";",REPT(" ",30)),211,30))),0)))))</f>
        <v/>
      </c>
      <c r="K41" s="26" t="n"/>
      <c r="L41" s="6" t="n"/>
      <c r="M41" s="13" t="n"/>
      <c r="N41" s="27">
        <f>IF($C41="","",IF($E41="Falta","-",MAX(0,MIN(10,8+IFERROR(VALUE(TRIM(MID(SUBSTITUTE(SUBSTITUTE(SUBSTITUTE(UPPER($L41)," ",""),"F",""),";",REPT(" ",30)),1,30))),0)+IFERROR(VALUE(TRIM(MID(SUBSTITUTE(SUBSTITUTE(SUBSTITUTE(UPPER($L41)," ",""),"F",""),";",REPT(" ",30)),31,30))),0)+IFERROR(VALUE(TRIM(MID(SUBSTITUTE(SUBSTITUTE(SUBSTITUTE(UPPER($L41)," ",""),"F",""),";",REPT(" ",30)),61,30))),0)+IFERROR(VALUE(TRIM(MID(SUBSTITUTE(SUBSTITUTE(SUBSTITUTE(UPPER($L41)," ",""),"F",""),";",REPT(" ",30)),91,30))),0)+IFERROR(VALUE(TRIM(MID(SUBSTITUTE(SUBSTITUTE(SUBSTITUTE(UPPER($L41)," ",""),"F",""),";",REPT(" ",30)),121,30))),0)+IFERROR(VALUE(TRIM(MID(SUBSTITUTE(SUBSTITUTE(SUBSTITUTE(UPPER($L41)," ",""),"F",""),";",REPT(" ",30)),151,30))),0)+IFERROR(VALUE(TRIM(MID(SUBSTITUTE(SUBSTITUTE(SUBSTITUTE(UPPER($L41)," ",""),"F",""),";",REPT(" ",30)),181,30))),0)+IFERROR(VALUE(TRIM(MID(SUBSTITUTE(SUBSTITUTE(SUBSTITUTE(UPPER($L41)," ",""),"F",""),";",REPT(" ",30)),211,30))),0)))))</f>
        <v/>
      </c>
      <c r="O41" s="26" t="n"/>
      <c r="P41" s="6" t="n"/>
      <c r="Q41" s="13" t="n"/>
      <c r="R41" s="27">
        <f>IF($C41="","",IF($E41="Falta","-",MAX(0,MIN(10,5+IFERROR(VALUE(TRIM(MID(SUBSTITUTE(SUBSTITUTE(SUBSTITUTE(UPPER($P41)," ",""),"C",""),";",REPT(" ",30)),1,30))),0)+IFERROR(VALUE(TRIM(MID(SUBSTITUTE(SUBSTITUTE(SUBSTITUTE(UPPER($P41)," ",""),"C",""),";",REPT(" ",30)),31,30))),0)+IFERROR(VALUE(TRIM(MID(SUBSTITUTE(SUBSTITUTE(SUBSTITUTE(UPPER($P41)," ",""),"C",""),";",REPT(" ",30)),61,30))),0)+IFERROR(VALUE(TRIM(MID(SUBSTITUTE(SUBSTITUTE(SUBSTITUTE(UPPER($P41)," ",""),"C",""),";",REPT(" ",30)),91,30))),0)+IFERROR(VALUE(TRIM(MID(SUBSTITUTE(SUBSTITUTE(SUBSTITUTE(UPPER($P41)," ",""),"C",""),";",REPT(" ",30)),121,30))),0)+IFERROR(VALUE(TRIM(MID(SUBSTITUTE(SUBSTITUTE(SUBSTITUTE(UPPER($P41)," ",""),"C",""),";",REPT(" ",30)),151,30))),0)+IFERROR(VALUE(TRIM(MID(SUBSTITUTE(SUBSTITUTE(SUBSTITUTE(UPPER($P41)," ",""),"C",""),";",REPT(" ",30)),181,30))),0)+IFERROR(VALUE(TRIM(MID(SUBSTITUTE(SUBSTITUTE(SUBSTITUTE(UPPER($P41)," ",""),"C",""),";",REPT(" ",30)),211,30))),0)))))</f>
        <v/>
      </c>
      <c r="S41" s="26" t="n"/>
      <c r="T41" s="6" t="n"/>
      <c r="U41" s="13" t="n"/>
      <c r="V41" s="27">
        <f>IF($C41="","",IF($E41="Falta","-",MAX(0,MIN(10,5+IFERROR(VALUE(TRIM(MID(SUBSTITUTE(SUBSTITUTE(SUBSTITUTE(UPPER($T41)," ",""),"P",""),";",REPT(" ",30)),1,30))),0)+IFERROR(VALUE(TRIM(MID(SUBSTITUTE(SUBSTITUTE(SUBSTITUTE(UPPER($T41)," ",""),"P",""),";",REPT(" ",30)),31,30))),0)+IFERROR(VALUE(TRIM(MID(SUBSTITUTE(SUBSTITUTE(SUBSTITUTE(UPPER($T41)," ",""),"P",""),";",REPT(" ",30)),61,30))),0)+IFERROR(VALUE(TRIM(MID(SUBSTITUTE(SUBSTITUTE(SUBSTITUTE(UPPER($T41)," ",""),"P",""),";",REPT(" ",30)),91,30))),0)+IFERROR(VALUE(TRIM(MID(SUBSTITUTE(SUBSTITUTE(SUBSTITUTE(UPPER($T41)," ",""),"P",""),";",REPT(" ",30)),121,30))),0)+IFERROR(VALUE(TRIM(MID(SUBSTITUTE(SUBSTITUTE(SUBSTITUTE(UPPER($T41)," ",""),"P",""),";",REPT(" ",30)),151,30))),0)+IFERROR(VALUE(TRIM(MID(SUBSTITUTE(SUBSTITUTE(SUBSTITUTE(UPPER($T41)," ",""),"P",""),";",REPT(" ",30)),181,30))),0)+IFERROR(VALUE(TRIM(MID(SUBSTITUTE(SUBSTITUTE(SUBSTITUTE(UPPER($T41)," ",""),"P",""),";",REPT(" ",30)),211,30))),0)))))</f>
        <v/>
      </c>
      <c r="W41" s="26" t="n"/>
      <c r="X41" s="13" t="n"/>
    </row>
    <row r="42">
      <c r="A42" s="6">
        <f>IF($C42="","",8)</f>
        <v/>
      </c>
      <c r="B42" s="6">
        <f>IF($C42="","","4ª Sessão")</f>
        <v/>
      </c>
      <c r="C42" s="6">
        <f>IF(Preenchimento!$B$17="","",Preenchimento!$B$17)</f>
        <v/>
      </c>
      <c r="D42" s="6">
        <f>IF($C42="","",IF(Preenchimento!$C$17="","-",Preenchimento!$C$17))</f>
        <v/>
      </c>
      <c r="E42" s="6" t="n"/>
      <c r="F42" s="6" t="n"/>
      <c r="G42" s="26" t="n"/>
      <c r="H42" s="6" t="n"/>
      <c r="I42" s="13" t="n"/>
      <c r="J42" s="27">
        <f>IF($C42="","",IF($E42="Falta","-",MAX(0,MIN(10,8+IFERROR(VALUE(TRIM(MID(SUBSTITUTE(SUBSTITUTE(SUBSTITUTE(UPPER($H42)," ",""),"D",""),";",REPT(" ",30)),1,30))),0)+IFERROR(VALUE(TRIM(MID(SUBSTITUTE(SUBSTITUTE(SUBSTITUTE(UPPER($H42)," ",""),"D",""),";",REPT(" ",30)),31,30))),0)+IFERROR(VALUE(TRIM(MID(SUBSTITUTE(SUBSTITUTE(SUBSTITUTE(UPPER($H42)," ",""),"D",""),";",REPT(" ",30)),61,30))),0)+IFERROR(VALUE(TRIM(MID(SUBSTITUTE(SUBSTITUTE(SUBSTITUTE(UPPER($H42)," ",""),"D",""),";",REPT(" ",30)),91,30))),0)+IFERROR(VALUE(TRIM(MID(SUBSTITUTE(SUBSTITUTE(SUBSTITUTE(UPPER($H42)," ",""),"D",""),";",REPT(" ",30)),121,30))),0)+IFERROR(VALUE(TRIM(MID(SUBSTITUTE(SUBSTITUTE(SUBSTITUTE(UPPER($H42)," ",""),"D",""),";",REPT(" ",30)),151,30))),0)+IFERROR(VALUE(TRIM(MID(SUBSTITUTE(SUBSTITUTE(SUBSTITUTE(UPPER($H42)," ",""),"D",""),";",REPT(" ",30)),181,30))),0)+IFERROR(VALUE(TRIM(MID(SUBSTITUTE(SUBSTITUTE(SUBSTITUTE(UPPER($H42)," ",""),"D",""),";",REPT(" ",30)),211,30))),0)))))</f>
        <v/>
      </c>
      <c r="K42" s="26" t="n"/>
      <c r="L42" s="6" t="n"/>
      <c r="M42" s="13" t="n"/>
      <c r="N42" s="27">
        <f>IF($C42="","",IF($E42="Falta","-",MAX(0,MIN(10,8+IFERROR(VALUE(TRIM(MID(SUBSTITUTE(SUBSTITUTE(SUBSTITUTE(UPPER($L42)," ",""),"F",""),";",REPT(" ",30)),1,30))),0)+IFERROR(VALUE(TRIM(MID(SUBSTITUTE(SUBSTITUTE(SUBSTITUTE(UPPER($L42)," ",""),"F",""),";",REPT(" ",30)),31,30))),0)+IFERROR(VALUE(TRIM(MID(SUBSTITUTE(SUBSTITUTE(SUBSTITUTE(UPPER($L42)," ",""),"F",""),";",REPT(" ",30)),61,30))),0)+IFERROR(VALUE(TRIM(MID(SUBSTITUTE(SUBSTITUTE(SUBSTITUTE(UPPER($L42)," ",""),"F",""),";",REPT(" ",30)),91,30))),0)+IFERROR(VALUE(TRIM(MID(SUBSTITUTE(SUBSTITUTE(SUBSTITUTE(UPPER($L42)," ",""),"F",""),";",REPT(" ",30)),121,30))),0)+IFERROR(VALUE(TRIM(MID(SUBSTITUTE(SUBSTITUTE(SUBSTITUTE(UPPER($L42)," ",""),"F",""),";",REPT(" ",30)),151,30))),0)+IFERROR(VALUE(TRIM(MID(SUBSTITUTE(SUBSTITUTE(SUBSTITUTE(UPPER($L42)," ",""),"F",""),";",REPT(" ",30)),181,30))),0)+IFERROR(VALUE(TRIM(MID(SUBSTITUTE(SUBSTITUTE(SUBSTITUTE(UPPER($L42)," ",""),"F",""),";",REPT(" ",30)),211,30))),0)))))</f>
        <v/>
      </c>
      <c r="O42" s="26" t="n"/>
      <c r="P42" s="6" t="n"/>
      <c r="Q42" s="13" t="n"/>
      <c r="R42" s="27">
        <f>IF($C42="","",IF($E42="Falta","-",MAX(0,MIN(10,5+IFERROR(VALUE(TRIM(MID(SUBSTITUTE(SUBSTITUTE(SUBSTITUTE(UPPER($P42)," ",""),"C",""),";",REPT(" ",30)),1,30))),0)+IFERROR(VALUE(TRIM(MID(SUBSTITUTE(SUBSTITUTE(SUBSTITUTE(UPPER($P42)," ",""),"C",""),";",REPT(" ",30)),31,30))),0)+IFERROR(VALUE(TRIM(MID(SUBSTITUTE(SUBSTITUTE(SUBSTITUTE(UPPER($P42)," ",""),"C",""),";",REPT(" ",30)),61,30))),0)+IFERROR(VALUE(TRIM(MID(SUBSTITUTE(SUBSTITUTE(SUBSTITUTE(UPPER($P42)," ",""),"C",""),";",REPT(" ",30)),91,30))),0)+IFERROR(VALUE(TRIM(MID(SUBSTITUTE(SUBSTITUTE(SUBSTITUTE(UPPER($P42)," ",""),"C",""),";",REPT(" ",30)),121,30))),0)+IFERROR(VALUE(TRIM(MID(SUBSTITUTE(SUBSTITUTE(SUBSTITUTE(UPPER($P42)," ",""),"C",""),";",REPT(" ",30)),151,30))),0)+IFERROR(VALUE(TRIM(MID(SUBSTITUTE(SUBSTITUTE(SUBSTITUTE(UPPER($P42)," ",""),"C",""),";",REPT(" ",30)),181,30))),0)+IFERROR(VALUE(TRIM(MID(SUBSTITUTE(SUBSTITUTE(SUBSTITUTE(UPPER($P42)," ",""),"C",""),";",REPT(" ",30)),211,30))),0)))))</f>
        <v/>
      </c>
      <c r="S42" s="26" t="n"/>
      <c r="T42" s="6" t="n"/>
      <c r="U42" s="13" t="n"/>
      <c r="V42" s="27">
        <f>IF($C42="","",IF($E42="Falta","-",MAX(0,MIN(10,5+IFERROR(VALUE(TRIM(MID(SUBSTITUTE(SUBSTITUTE(SUBSTITUTE(UPPER($T42)," ",""),"P",""),";",REPT(" ",30)),1,30))),0)+IFERROR(VALUE(TRIM(MID(SUBSTITUTE(SUBSTITUTE(SUBSTITUTE(UPPER($T42)," ",""),"P",""),";",REPT(" ",30)),31,30))),0)+IFERROR(VALUE(TRIM(MID(SUBSTITUTE(SUBSTITUTE(SUBSTITUTE(UPPER($T42)," ",""),"P",""),";",REPT(" ",30)),61,30))),0)+IFERROR(VALUE(TRIM(MID(SUBSTITUTE(SUBSTITUTE(SUBSTITUTE(UPPER($T42)," ",""),"P",""),";",REPT(" ",30)),91,30))),0)+IFERROR(VALUE(TRIM(MID(SUBSTITUTE(SUBSTITUTE(SUBSTITUTE(UPPER($T42)," ",""),"P",""),";",REPT(" ",30)),121,30))),0)+IFERROR(VALUE(TRIM(MID(SUBSTITUTE(SUBSTITUTE(SUBSTITUTE(UPPER($T42)," ",""),"P",""),";",REPT(" ",30)),151,30))),0)+IFERROR(VALUE(TRIM(MID(SUBSTITUTE(SUBSTITUTE(SUBSTITUTE(UPPER($T42)," ",""),"P",""),";",REPT(" ",30)),181,30))),0)+IFERROR(VALUE(TRIM(MID(SUBSTITUTE(SUBSTITUTE(SUBSTITUTE(UPPER($T42)," ",""),"P",""),";",REPT(" ",30)),211,30))),0)))))</f>
        <v/>
      </c>
      <c r="W42" s="26" t="n"/>
      <c r="X42" s="13" t="n"/>
    </row>
    <row r="43">
      <c r="A43" s="6">
        <f>IF($C43="","",8)</f>
        <v/>
      </c>
      <c r="B43" s="6">
        <f>IF($C43="","","5ª Sessão")</f>
        <v/>
      </c>
      <c r="C43" s="6">
        <f>IF(Preenchimento!$B$17="","",Preenchimento!$B$17)</f>
        <v/>
      </c>
      <c r="D43" s="6">
        <f>IF($C43="","",IF(Preenchimento!$C$17="","-",Preenchimento!$C$17))</f>
        <v/>
      </c>
      <c r="E43" s="6" t="n"/>
      <c r="F43" s="6" t="n"/>
      <c r="G43" s="26" t="n"/>
      <c r="H43" s="6" t="n"/>
      <c r="I43" s="13" t="n"/>
      <c r="J43" s="27">
        <f>IF($C43="","",IF($E43="Falta","-",MAX(0,MIN(10,8+IFERROR(VALUE(TRIM(MID(SUBSTITUTE(SUBSTITUTE(SUBSTITUTE(UPPER($H43)," ",""),"D",""),";",REPT(" ",30)),1,30))),0)+IFERROR(VALUE(TRIM(MID(SUBSTITUTE(SUBSTITUTE(SUBSTITUTE(UPPER($H43)," ",""),"D",""),";",REPT(" ",30)),31,30))),0)+IFERROR(VALUE(TRIM(MID(SUBSTITUTE(SUBSTITUTE(SUBSTITUTE(UPPER($H43)," ",""),"D",""),";",REPT(" ",30)),61,30))),0)+IFERROR(VALUE(TRIM(MID(SUBSTITUTE(SUBSTITUTE(SUBSTITUTE(UPPER($H43)," ",""),"D",""),";",REPT(" ",30)),91,30))),0)+IFERROR(VALUE(TRIM(MID(SUBSTITUTE(SUBSTITUTE(SUBSTITUTE(UPPER($H43)," ",""),"D",""),";",REPT(" ",30)),121,30))),0)+IFERROR(VALUE(TRIM(MID(SUBSTITUTE(SUBSTITUTE(SUBSTITUTE(UPPER($H43)," ",""),"D",""),";",REPT(" ",30)),151,30))),0)+IFERROR(VALUE(TRIM(MID(SUBSTITUTE(SUBSTITUTE(SUBSTITUTE(UPPER($H43)," ",""),"D",""),";",REPT(" ",30)),181,30))),0)+IFERROR(VALUE(TRIM(MID(SUBSTITUTE(SUBSTITUTE(SUBSTITUTE(UPPER($H43)," ",""),"D",""),";",REPT(" ",30)),211,30))),0)))))</f>
        <v/>
      </c>
      <c r="K43" s="26" t="n"/>
      <c r="L43" s="6" t="n"/>
      <c r="M43" s="13" t="n"/>
      <c r="N43" s="27">
        <f>IF($C43="","",IF($E43="Falta","-",MAX(0,MIN(10,8+IFERROR(VALUE(TRIM(MID(SUBSTITUTE(SUBSTITUTE(SUBSTITUTE(UPPER($L43)," ",""),"F",""),";",REPT(" ",30)),1,30))),0)+IFERROR(VALUE(TRIM(MID(SUBSTITUTE(SUBSTITUTE(SUBSTITUTE(UPPER($L43)," ",""),"F",""),";",REPT(" ",30)),31,30))),0)+IFERROR(VALUE(TRIM(MID(SUBSTITUTE(SUBSTITUTE(SUBSTITUTE(UPPER($L43)," ",""),"F",""),";",REPT(" ",30)),61,30))),0)+IFERROR(VALUE(TRIM(MID(SUBSTITUTE(SUBSTITUTE(SUBSTITUTE(UPPER($L43)," ",""),"F",""),";",REPT(" ",30)),91,30))),0)+IFERROR(VALUE(TRIM(MID(SUBSTITUTE(SUBSTITUTE(SUBSTITUTE(UPPER($L43)," ",""),"F",""),";",REPT(" ",30)),121,30))),0)+IFERROR(VALUE(TRIM(MID(SUBSTITUTE(SUBSTITUTE(SUBSTITUTE(UPPER($L43)," ",""),"F",""),";",REPT(" ",30)),151,30))),0)+IFERROR(VALUE(TRIM(MID(SUBSTITUTE(SUBSTITUTE(SUBSTITUTE(UPPER($L43)," ",""),"F",""),";",REPT(" ",30)),181,30))),0)+IFERROR(VALUE(TRIM(MID(SUBSTITUTE(SUBSTITUTE(SUBSTITUTE(UPPER($L43)," ",""),"F",""),";",REPT(" ",30)),211,30))),0)))))</f>
        <v/>
      </c>
      <c r="O43" s="26" t="n"/>
      <c r="P43" s="6" t="n"/>
      <c r="Q43" s="13" t="n"/>
      <c r="R43" s="27">
        <f>IF($C43="","",IF($E43="Falta","-",MAX(0,MIN(10,5+IFERROR(VALUE(TRIM(MID(SUBSTITUTE(SUBSTITUTE(SUBSTITUTE(UPPER($P43)," ",""),"C",""),";",REPT(" ",30)),1,30))),0)+IFERROR(VALUE(TRIM(MID(SUBSTITUTE(SUBSTITUTE(SUBSTITUTE(UPPER($P43)," ",""),"C",""),";",REPT(" ",30)),31,30))),0)+IFERROR(VALUE(TRIM(MID(SUBSTITUTE(SUBSTITUTE(SUBSTITUTE(UPPER($P43)," ",""),"C",""),";",REPT(" ",30)),61,30))),0)+IFERROR(VALUE(TRIM(MID(SUBSTITUTE(SUBSTITUTE(SUBSTITUTE(UPPER($P43)," ",""),"C",""),";",REPT(" ",30)),91,30))),0)+IFERROR(VALUE(TRIM(MID(SUBSTITUTE(SUBSTITUTE(SUBSTITUTE(UPPER($P43)," ",""),"C",""),";",REPT(" ",30)),121,30))),0)+IFERROR(VALUE(TRIM(MID(SUBSTITUTE(SUBSTITUTE(SUBSTITUTE(UPPER($P43)," ",""),"C",""),";",REPT(" ",30)),151,30))),0)+IFERROR(VALUE(TRIM(MID(SUBSTITUTE(SUBSTITUTE(SUBSTITUTE(UPPER($P43)," ",""),"C",""),";",REPT(" ",30)),181,30))),0)+IFERROR(VALUE(TRIM(MID(SUBSTITUTE(SUBSTITUTE(SUBSTITUTE(UPPER($P43)," ",""),"C",""),";",REPT(" ",30)),211,30))),0)))))</f>
        <v/>
      </c>
      <c r="S43" s="26" t="n"/>
      <c r="T43" s="6" t="n"/>
      <c r="U43" s="13" t="n"/>
      <c r="V43" s="27">
        <f>IF($C43="","",IF($E43="Falta","-",MAX(0,MIN(10,5+IFERROR(VALUE(TRIM(MID(SUBSTITUTE(SUBSTITUTE(SUBSTITUTE(UPPER($T43)," ",""),"P",""),";",REPT(" ",30)),1,30))),0)+IFERROR(VALUE(TRIM(MID(SUBSTITUTE(SUBSTITUTE(SUBSTITUTE(UPPER($T43)," ",""),"P",""),";",REPT(" ",30)),31,30))),0)+IFERROR(VALUE(TRIM(MID(SUBSTITUTE(SUBSTITUTE(SUBSTITUTE(UPPER($T43)," ",""),"P",""),";",REPT(" ",30)),61,30))),0)+IFERROR(VALUE(TRIM(MID(SUBSTITUTE(SUBSTITUTE(SUBSTITUTE(UPPER($T43)," ",""),"P",""),";",REPT(" ",30)),91,30))),0)+IFERROR(VALUE(TRIM(MID(SUBSTITUTE(SUBSTITUTE(SUBSTITUTE(UPPER($T43)," ",""),"P",""),";",REPT(" ",30)),121,30))),0)+IFERROR(VALUE(TRIM(MID(SUBSTITUTE(SUBSTITUTE(SUBSTITUTE(UPPER($T43)," ",""),"P",""),";",REPT(" ",30)),151,30))),0)+IFERROR(VALUE(TRIM(MID(SUBSTITUTE(SUBSTITUTE(SUBSTITUTE(UPPER($T43)," ",""),"P",""),";",REPT(" ",30)),181,30))),0)+IFERROR(VALUE(TRIM(MID(SUBSTITUTE(SUBSTITUTE(SUBSTITUTE(UPPER($T43)," ",""),"P",""),";",REPT(" ",30)),211,30))),0)))))</f>
        <v/>
      </c>
      <c r="W43" s="26" t="n"/>
      <c r="X43" s="13" t="n"/>
    </row>
    <row r="44">
      <c r="A44" s="8">
        <f>IF($C44="","",9)</f>
        <v/>
      </c>
      <c r="B44" s="8">
        <f>IF($C44="","","1ª Sessão")</f>
        <v/>
      </c>
      <c r="C44" s="8">
        <f>IF(Preenchimento!$B$18="","",Preenchimento!$B$18)</f>
        <v/>
      </c>
      <c r="D44" s="8">
        <f>IF($C44="","",IF(Preenchimento!$C$18="","-",Preenchimento!$C$18))</f>
        <v/>
      </c>
      <c r="E44" s="8" t="n"/>
      <c r="F44" s="8" t="n"/>
      <c r="G44" s="24" t="n"/>
      <c r="H44" s="8" t="n"/>
      <c r="I44" s="14" t="n"/>
      <c r="J44" s="25">
        <f>IF($C44="","",IF($E44="Falta","-",MAX(0,MIN(10,8+IFERROR(VALUE(TRIM(MID(SUBSTITUTE(SUBSTITUTE(SUBSTITUTE(UPPER($H44)," ",""),"D",""),";",REPT(" ",30)),1,30))),0)+IFERROR(VALUE(TRIM(MID(SUBSTITUTE(SUBSTITUTE(SUBSTITUTE(UPPER($H44)," ",""),"D",""),";",REPT(" ",30)),31,30))),0)+IFERROR(VALUE(TRIM(MID(SUBSTITUTE(SUBSTITUTE(SUBSTITUTE(UPPER($H44)," ",""),"D",""),";",REPT(" ",30)),61,30))),0)+IFERROR(VALUE(TRIM(MID(SUBSTITUTE(SUBSTITUTE(SUBSTITUTE(UPPER($H44)," ",""),"D",""),";",REPT(" ",30)),91,30))),0)+IFERROR(VALUE(TRIM(MID(SUBSTITUTE(SUBSTITUTE(SUBSTITUTE(UPPER($H44)," ",""),"D",""),";",REPT(" ",30)),121,30))),0)+IFERROR(VALUE(TRIM(MID(SUBSTITUTE(SUBSTITUTE(SUBSTITUTE(UPPER($H44)," ",""),"D",""),";",REPT(" ",30)),151,30))),0)+IFERROR(VALUE(TRIM(MID(SUBSTITUTE(SUBSTITUTE(SUBSTITUTE(UPPER($H44)," ",""),"D",""),";",REPT(" ",30)),181,30))),0)+IFERROR(VALUE(TRIM(MID(SUBSTITUTE(SUBSTITUTE(SUBSTITUTE(UPPER($H44)," ",""),"D",""),";",REPT(" ",30)),211,30))),0)))))</f>
        <v/>
      </c>
      <c r="K44" s="24" t="n"/>
      <c r="L44" s="8" t="n"/>
      <c r="M44" s="14" t="n"/>
      <c r="N44" s="25">
        <f>IF($C44="","",IF($E44="Falta","-",MAX(0,MIN(10,8+IFERROR(VALUE(TRIM(MID(SUBSTITUTE(SUBSTITUTE(SUBSTITUTE(UPPER($L44)," ",""),"F",""),";",REPT(" ",30)),1,30))),0)+IFERROR(VALUE(TRIM(MID(SUBSTITUTE(SUBSTITUTE(SUBSTITUTE(UPPER($L44)," ",""),"F",""),";",REPT(" ",30)),31,30))),0)+IFERROR(VALUE(TRIM(MID(SUBSTITUTE(SUBSTITUTE(SUBSTITUTE(UPPER($L44)," ",""),"F",""),";",REPT(" ",30)),61,30))),0)+IFERROR(VALUE(TRIM(MID(SUBSTITUTE(SUBSTITUTE(SUBSTITUTE(UPPER($L44)," ",""),"F",""),";",REPT(" ",30)),91,30))),0)+IFERROR(VALUE(TRIM(MID(SUBSTITUTE(SUBSTITUTE(SUBSTITUTE(UPPER($L44)," ",""),"F",""),";",REPT(" ",30)),121,30))),0)+IFERROR(VALUE(TRIM(MID(SUBSTITUTE(SUBSTITUTE(SUBSTITUTE(UPPER($L44)," ",""),"F",""),";",REPT(" ",30)),151,30))),0)+IFERROR(VALUE(TRIM(MID(SUBSTITUTE(SUBSTITUTE(SUBSTITUTE(UPPER($L44)," ",""),"F",""),";",REPT(" ",30)),181,30))),0)+IFERROR(VALUE(TRIM(MID(SUBSTITUTE(SUBSTITUTE(SUBSTITUTE(UPPER($L44)," ",""),"F",""),";",REPT(" ",30)),211,30))),0)))))</f>
        <v/>
      </c>
      <c r="O44" s="24" t="n"/>
      <c r="P44" s="8" t="n"/>
      <c r="Q44" s="14" t="n"/>
      <c r="R44" s="25">
        <f>IF($C44="","",IF($E44="Falta","-",MAX(0,MIN(10,5+IFERROR(VALUE(TRIM(MID(SUBSTITUTE(SUBSTITUTE(SUBSTITUTE(UPPER($P44)," ",""),"C",""),";",REPT(" ",30)),1,30))),0)+IFERROR(VALUE(TRIM(MID(SUBSTITUTE(SUBSTITUTE(SUBSTITUTE(UPPER($P44)," ",""),"C",""),";",REPT(" ",30)),31,30))),0)+IFERROR(VALUE(TRIM(MID(SUBSTITUTE(SUBSTITUTE(SUBSTITUTE(UPPER($P44)," ",""),"C",""),";",REPT(" ",30)),61,30))),0)+IFERROR(VALUE(TRIM(MID(SUBSTITUTE(SUBSTITUTE(SUBSTITUTE(UPPER($P44)," ",""),"C",""),";",REPT(" ",30)),91,30))),0)+IFERROR(VALUE(TRIM(MID(SUBSTITUTE(SUBSTITUTE(SUBSTITUTE(UPPER($P44)," ",""),"C",""),";",REPT(" ",30)),121,30))),0)+IFERROR(VALUE(TRIM(MID(SUBSTITUTE(SUBSTITUTE(SUBSTITUTE(UPPER($P44)," ",""),"C",""),";",REPT(" ",30)),151,30))),0)+IFERROR(VALUE(TRIM(MID(SUBSTITUTE(SUBSTITUTE(SUBSTITUTE(UPPER($P44)," ",""),"C",""),";",REPT(" ",30)),181,30))),0)+IFERROR(VALUE(TRIM(MID(SUBSTITUTE(SUBSTITUTE(SUBSTITUTE(UPPER($P44)," ",""),"C",""),";",REPT(" ",30)),211,30))),0)))))</f>
        <v/>
      </c>
      <c r="S44" s="24" t="n"/>
      <c r="T44" s="8" t="n"/>
      <c r="U44" s="14" t="n"/>
      <c r="V44" s="25">
        <f>IF($C44="","",IF($E44="Falta","-",MAX(0,MIN(10,5+IFERROR(VALUE(TRIM(MID(SUBSTITUTE(SUBSTITUTE(SUBSTITUTE(UPPER($T44)," ",""),"P",""),";",REPT(" ",30)),1,30))),0)+IFERROR(VALUE(TRIM(MID(SUBSTITUTE(SUBSTITUTE(SUBSTITUTE(UPPER($T44)," ",""),"P",""),";",REPT(" ",30)),31,30))),0)+IFERROR(VALUE(TRIM(MID(SUBSTITUTE(SUBSTITUTE(SUBSTITUTE(UPPER($T44)," ",""),"P",""),";",REPT(" ",30)),61,30))),0)+IFERROR(VALUE(TRIM(MID(SUBSTITUTE(SUBSTITUTE(SUBSTITUTE(UPPER($T44)," ",""),"P",""),";",REPT(" ",30)),91,30))),0)+IFERROR(VALUE(TRIM(MID(SUBSTITUTE(SUBSTITUTE(SUBSTITUTE(UPPER($T44)," ",""),"P",""),";",REPT(" ",30)),121,30))),0)+IFERROR(VALUE(TRIM(MID(SUBSTITUTE(SUBSTITUTE(SUBSTITUTE(UPPER($T44)," ",""),"P",""),";",REPT(" ",30)),151,30))),0)+IFERROR(VALUE(TRIM(MID(SUBSTITUTE(SUBSTITUTE(SUBSTITUTE(UPPER($T44)," ",""),"P",""),";",REPT(" ",30)),181,30))),0)+IFERROR(VALUE(TRIM(MID(SUBSTITUTE(SUBSTITUTE(SUBSTITUTE(UPPER($T44)," ",""),"P",""),";",REPT(" ",30)),211,30))),0)))))</f>
        <v/>
      </c>
      <c r="W44" s="24" t="n"/>
      <c r="X44" s="14" t="n"/>
    </row>
    <row r="45">
      <c r="A45" s="8">
        <f>IF($C45="","",9)</f>
        <v/>
      </c>
      <c r="B45" s="8">
        <f>IF($C45="","","2ª Sessão")</f>
        <v/>
      </c>
      <c r="C45" s="8">
        <f>IF(Preenchimento!$B$18="","",Preenchimento!$B$18)</f>
        <v/>
      </c>
      <c r="D45" s="8">
        <f>IF($C45="","",IF(Preenchimento!$C$18="","-",Preenchimento!$C$18))</f>
        <v/>
      </c>
      <c r="E45" s="8" t="n"/>
      <c r="F45" s="8" t="n"/>
      <c r="G45" s="24" t="n"/>
      <c r="H45" s="8" t="n"/>
      <c r="I45" s="14" t="n"/>
      <c r="J45" s="25">
        <f>IF($C45="","",IF($E45="Falta","-",MAX(0,MIN(10,8+IFERROR(VALUE(TRIM(MID(SUBSTITUTE(SUBSTITUTE(SUBSTITUTE(UPPER($H45)," ",""),"D",""),";",REPT(" ",30)),1,30))),0)+IFERROR(VALUE(TRIM(MID(SUBSTITUTE(SUBSTITUTE(SUBSTITUTE(UPPER($H45)," ",""),"D",""),";",REPT(" ",30)),31,30))),0)+IFERROR(VALUE(TRIM(MID(SUBSTITUTE(SUBSTITUTE(SUBSTITUTE(UPPER($H45)," ",""),"D",""),";",REPT(" ",30)),61,30))),0)+IFERROR(VALUE(TRIM(MID(SUBSTITUTE(SUBSTITUTE(SUBSTITUTE(UPPER($H45)," ",""),"D",""),";",REPT(" ",30)),91,30))),0)+IFERROR(VALUE(TRIM(MID(SUBSTITUTE(SUBSTITUTE(SUBSTITUTE(UPPER($H45)," ",""),"D",""),";",REPT(" ",30)),121,30))),0)+IFERROR(VALUE(TRIM(MID(SUBSTITUTE(SUBSTITUTE(SUBSTITUTE(UPPER($H45)," ",""),"D",""),";",REPT(" ",30)),151,30))),0)+IFERROR(VALUE(TRIM(MID(SUBSTITUTE(SUBSTITUTE(SUBSTITUTE(UPPER($H45)," ",""),"D",""),";",REPT(" ",30)),181,30))),0)+IFERROR(VALUE(TRIM(MID(SUBSTITUTE(SUBSTITUTE(SUBSTITUTE(UPPER($H45)," ",""),"D",""),";",REPT(" ",30)),211,30))),0)))))</f>
        <v/>
      </c>
      <c r="K45" s="24" t="n"/>
      <c r="L45" s="8" t="n"/>
      <c r="M45" s="14" t="n"/>
      <c r="N45" s="25">
        <f>IF($C45="","",IF($E45="Falta","-",MAX(0,MIN(10,8+IFERROR(VALUE(TRIM(MID(SUBSTITUTE(SUBSTITUTE(SUBSTITUTE(UPPER($L45)," ",""),"F",""),";",REPT(" ",30)),1,30))),0)+IFERROR(VALUE(TRIM(MID(SUBSTITUTE(SUBSTITUTE(SUBSTITUTE(UPPER($L45)," ",""),"F",""),";",REPT(" ",30)),31,30))),0)+IFERROR(VALUE(TRIM(MID(SUBSTITUTE(SUBSTITUTE(SUBSTITUTE(UPPER($L45)," ",""),"F",""),";",REPT(" ",30)),61,30))),0)+IFERROR(VALUE(TRIM(MID(SUBSTITUTE(SUBSTITUTE(SUBSTITUTE(UPPER($L45)," ",""),"F",""),";",REPT(" ",30)),91,30))),0)+IFERROR(VALUE(TRIM(MID(SUBSTITUTE(SUBSTITUTE(SUBSTITUTE(UPPER($L45)," ",""),"F",""),";",REPT(" ",30)),121,30))),0)+IFERROR(VALUE(TRIM(MID(SUBSTITUTE(SUBSTITUTE(SUBSTITUTE(UPPER($L45)," ",""),"F",""),";",REPT(" ",30)),151,30))),0)+IFERROR(VALUE(TRIM(MID(SUBSTITUTE(SUBSTITUTE(SUBSTITUTE(UPPER($L45)," ",""),"F",""),";",REPT(" ",30)),181,30))),0)+IFERROR(VALUE(TRIM(MID(SUBSTITUTE(SUBSTITUTE(SUBSTITUTE(UPPER($L45)," ",""),"F",""),";",REPT(" ",30)),211,30))),0)))))</f>
        <v/>
      </c>
      <c r="O45" s="24" t="n"/>
      <c r="P45" s="8" t="n"/>
      <c r="Q45" s="14" t="n"/>
      <c r="R45" s="25">
        <f>IF($C45="","",IF($E45="Falta","-",MAX(0,MIN(10,5+IFERROR(VALUE(TRIM(MID(SUBSTITUTE(SUBSTITUTE(SUBSTITUTE(UPPER($P45)," ",""),"C",""),";",REPT(" ",30)),1,30))),0)+IFERROR(VALUE(TRIM(MID(SUBSTITUTE(SUBSTITUTE(SUBSTITUTE(UPPER($P45)," ",""),"C",""),";",REPT(" ",30)),31,30))),0)+IFERROR(VALUE(TRIM(MID(SUBSTITUTE(SUBSTITUTE(SUBSTITUTE(UPPER($P45)," ",""),"C",""),";",REPT(" ",30)),61,30))),0)+IFERROR(VALUE(TRIM(MID(SUBSTITUTE(SUBSTITUTE(SUBSTITUTE(UPPER($P45)," ",""),"C",""),";",REPT(" ",30)),91,30))),0)+IFERROR(VALUE(TRIM(MID(SUBSTITUTE(SUBSTITUTE(SUBSTITUTE(UPPER($P45)," ",""),"C",""),";",REPT(" ",30)),121,30))),0)+IFERROR(VALUE(TRIM(MID(SUBSTITUTE(SUBSTITUTE(SUBSTITUTE(UPPER($P45)," ",""),"C",""),";",REPT(" ",30)),151,30))),0)+IFERROR(VALUE(TRIM(MID(SUBSTITUTE(SUBSTITUTE(SUBSTITUTE(UPPER($P45)," ",""),"C",""),";",REPT(" ",30)),181,30))),0)+IFERROR(VALUE(TRIM(MID(SUBSTITUTE(SUBSTITUTE(SUBSTITUTE(UPPER($P45)," ",""),"C",""),";",REPT(" ",30)),211,30))),0)))))</f>
        <v/>
      </c>
      <c r="S45" s="24" t="n"/>
      <c r="T45" s="8" t="n"/>
      <c r="U45" s="14" t="n"/>
      <c r="V45" s="25">
        <f>IF($C45="","",IF($E45="Falta","-",MAX(0,MIN(10,5+IFERROR(VALUE(TRIM(MID(SUBSTITUTE(SUBSTITUTE(SUBSTITUTE(UPPER($T45)," ",""),"P",""),";",REPT(" ",30)),1,30))),0)+IFERROR(VALUE(TRIM(MID(SUBSTITUTE(SUBSTITUTE(SUBSTITUTE(UPPER($T45)," ",""),"P",""),";",REPT(" ",30)),31,30))),0)+IFERROR(VALUE(TRIM(MID(SUBSTITUTE(SUBSTITUTE(SUBSTITUTE(UPPER($T45)," ",""),"P",""),";",REPT(" ",30)),61,30))),0)+IFERROR(VALUE(TRIM(MID(SUBSTITUTE(SUBSTITUTE(SUBSTITUTE(UPPER($T45)," ",""),"P",""),";",REPT(" ",30)),91,30))),0)+IFERROR(VALUE(TRIM(MID(SUBSTITUTE(SUBSTITUTE(SUBSTITUTE(UPPER($T45)," ",""),"P",""),";",REPT(" ",30)),121,30))),0)+IFERROR(VALUE(TRIM(MID(SUBSTITUTE(SUBSTITUTE(SUBSTITUTE(UPPER($T45)," ",""),"P",""),";",REPT(" ",30)),151,30))),0)+IFERROR(VALUE(TRIM(MID(SUBSTITUTE(SUBSTITUTE(SUBSTITUTE(UPPER($T45)," ",""),"P",""),";",REPT(" ",30)),181,30))),0)+IFERROR(VALUE(TRIM(MID(SUBSTITUTE(SUBSTITUTE(SUBSTITUTE(UPPER($T45)," ",""),"P",""),";",REPT(" ",30)),211,30))),0)))))</f>
        <v/>
      </c>
      <c r="W45" s="24" t="n"/>
      <c r="X45" s="14" t="n"/>
    </row>
    <row r="46">
      <c r="A46" s="8">
        <f>IF($C46="","",9)</f>
        <v/>
      </c>
      <c r="B46" s="8">
        <f>IF($C46="","","3ª Sessão")</f>
        <v/>
      </c>
      <c r="C46" s="8">
        <f>IF(Preenchimento!$B$18="","",Preenchimento!$B$18)</f>
        <v/>
      </c>
      <c r="D46" s="8">
        <f>IF($C46="","",IF(Preenchimento!$C$18="","-",Preenchimento!$C$18))</f>
        <v/>
      </c>
      <c r="E46" s="8" t="n"/>
      <c r="F46" s="8" t="n"/>
      <c r="G46" s="24" t="n"/>
      <c r="H46" s="8" t="n"/>
      <c r="I46" s="14" t="n"/>
      <c r="J46" s="25">
        <f>IF($C46="","",IF($E46="Falta","-",MAX(0,MIN(10,8+IFERROR(VALUE(TRIM(MID(SUBSTITUTE(SUBSTITUTE(SUBSTITUTE(UPPER($H46)," ",""),"D",""),";",REPT(" ",30)),1,30))),0)+IFERROR(VALUE(TRIM(MID(SUBSTITUTE(SUBSTITUTE(SUBSTITUTE(UPPER($H46)," ",""),"D",""),";",REPT(" ",30)),31,30))),0)+IFERROR(VALUE(TRIM(MID(SUBSTITUTE(SUBSTITUTE(SUBSTITUTE(UPPER($H46)," ",""),"D",""),";",REPT(" ",30)),61,30))),0)+IFERROR(VALUE(TRIM(MID(SUBSTITUTE(SUBSTITUTE(SUBSTITUTE(UPPER($H46)," ",""),"D",""),";",REPT(" ",30)),91,30))),0)+IFERROR(VALUE(TRIM(MID(SUBSTITUTE(SUBSTITUTE(SUBSTITUTE(UPPER($H46)," ",""),"D",""),";",REPT(" ",30)),121,30))),0)+IFERROR(VALUE(TRIM(MID(SUBSTITUTE(SUBSTITUTE(SUBSTITUTE(UPPER($H46)," ",""),"D",""),";",REPT(" ",30)),151,30))),0)+IFERROR(VALUE(TRIM(MID(SUBSTITUTE(SUBSTITUTE(SUBSTITUTE(UPPER($H46)," ",""),"D",""),";",REPT(" ",30)),181,30))),0)+IFERROR(VALUE(TRIM(MID(SUBSTITUTE(SUBSTITUTE(SUBSTITUTE(UPPER($H46)," ",""),"D",""),";",REPT(" ",30)),211,30))),0)))))</f>
        <v/>
      </c>
      <c r="K46" s="24" t="n"/>
      <c r="L46" s="8" t="n"/>
      <c r="M46" s="14" t="n"/>
      <c r="N46" s="25">
        <f>IF($C46="","",IF($E46="Falta","-",MAX(0,MIN(10,8+IFERROR(VALUE(TRIM(MID(SUBSTITUTE(SUBSTITUTE(SUBSTITUTE(UPPER($L46)," ",""),"F",""),";",REPT(" ",30)),1,30))),0)+IFERROR(VALUE(TRIM(MID(SUBSTITUTE(SUBSTITUTE(SUBSTITUTE(UPPER($L46)," ",""),"F",""),";",REPT(" ",30)),31,30))),0)+IFERROR(VALUE(TRIM(MID(SUBSTITUTE(SUBSTITUTE(SUBSTITUTE(UPPER($L46)," ",""),"F",""),";",REPT(" ",30)),61,30))),0)+IFERROR(VALUE(TRIM(MID(SUBSTITUTE(SUBSTITUTE(SUBSTITUTE(UPPER($L46)," ",""),"F",""),";",REPT(" ",30)),91,30))),0)+IFERROR(VALUE(TRIM(MID(SUBSTITUTE(SUBSTITUTE(SUBSTITUTE(UPPER($L46)," ",""),"F",""),";",REPT(" ",30)),121,30))),0)+IFERROR(VALUE(TRIM(MID(SUBSTITUTE(SUBSTITUTE(SUBSTITUTE(UPPER($L46)," ",""),"F",""),";",REPT(" ",30)),151,30))),0)+IFERROR(VALUE(TRIM(MID(SUBSTITUTE(SUBSTITUTE(SUBSTITUTE(UPPER($L46)," ",""),"F",""),";",REPT(" ",30)),181,30))),0)+IFERROR(VALUE(TRIM(MID(SUBSTITUTE(SUBSTITUTE(SUBSTITUTE(UPPER($L46)," ",""),"F",""),";",REPT(" ",30)),211,30))),0)))))</f>
        <v/>
      </c>
      <c r="O46" s="24" t="n"/>
      <c r="P46" s="8" t="n"/>
      <c r="Q46" s="14" t="n"/>
      <c r="R46" s="25">
        <f>IF($C46="","",IF($E46="Falta","-",MAX(0,MIN(10,5+IFERROR(VALUE(TRIM(MID(SUBSTITUTE(SUBSTITUTE(SUBSTITUTE(UPPER($P46)," ",""),"C",""),";",REPT(" ",30)),1,30))),0)+IFERROR(VALUE(TRIM(MID(SUBSTITUTE(SUBSTITUTE(SUBSTITUTE(UPPER($P46)," ",""),"C",""),";",REPT(" ",30)),31,30))),0)+IFERROR(VALUE(TRIM(MID(SUBSTITUTE(SUBSTITUTE(SUBSTITUTE(UPPER($P46)," ",""),"C",""),";",REPT(" ",30)),61,30))),0)+IFERROR(VALUE(TRIM(MID(SUBSTITUTE(SUBSTITUTE(SUBSTITUTE(UPPER($P46)," ",""),"C",""),";",REPT(" ",30)),91,30))),0)+IFERROR(VALUE(TRIM(MID(SUBSTITUTE(SUBSTITUTE(SUBSTITUTE(UPPER($P46)," ",""),"C",""),";",REPT(" ",30)),121,30))),0)+IFERROR(VALUE(TRIM(MID(SUBSTITUTE(SUBSTITUTE(SUBSTITUTE(UPPER($P46)," ",""),"C",""),";",REPT(" ",30)),151,30))),0)+IFERROR(VALUE(TRIM(MID(SUBSTITUTE(SUBSTITUTE(SUBSTITUTE(UPPER($P46)," ",""),"C",""),";",REPT(" ",30)),181,30))),0)+IFERROR(VALUE(TRIM(MID(SUBSTITUTE(SUBSTITUTE(SUBSTITUTE(UPPER($P46)," ",""),"C",""),";",REPT(" ",30)),211,30))),0)))))</f>
        <v/>
      </c>
      <c r="S46" s="24" t="n"/>
      <c r="T46" s="8" t="n"/>
      <c r="U46" s="14" t="n"/>
      <c r="V46" s="25">
        <f>IF($C46="","",IF($E46="Falta","-",MAX(0,MIN(10,5+IFERROR(VALUE(TRIM(MID(SUBSTITUTE(SUBSTITUTE(SUBSTITUTE(UPPER($T46)," ",""),"P",""),";",REPT(" ",30)),1,30))),0)+IFERROR(VALUE(TRIM(MID(SUBSTITUTE(SUBSTITUTE(SUBSTITUTE(UPPER($T46)," ",""),"P",""),";",REPT(" ",30)),31,30))),0)+IFERROR(VALUE(TRIM(MID(SUBSTITUTE(SUBSTITUTE(SUBSTITUTE(UPPER($T46)," ",""),"P",""),";",REPT(" ",30)),61,30))),0)+IFERROR(VALUE(TRIM(MID(SUBSTITUTE(SUBSTITUTE(SUBSTITUTE(UPPER($T46)," ",""),"P",""),";",REPT(" ",30)),91,30))),0)+IFERROR(VALUE(TRIM(MID(SUBSTITUTE(SUBSTITUTE(SUBSTITUTE(UPPER($T46)," ",""),"P",""),";",REPT(" ",30)),121,30))),0)+IFERROR(VALUE(TRIM(MID(SUBSTITUTE(SUBSTITUTE(SUBSTITUTE(UPPER($T46)," ",""),"P",""),";",REPT(" ",30)),151,30))),0)+IFERROR(VALUE(TRIM(MID(SUBSTITUTE(SUBSTITUTE(SUBSTITUTE(UPPER($T46)," ",""),"P",""),";",REPT(" ",30)),181,30))),0)+IFERROR(VALUE(TRIM(MID(SUBSTITUTE(SUBSTITUTE(SUBSTITUTE(UPPER($T46)," ",""),"P",""),";",REPT(" ",30)),211,30))),0)))))</f>
        <v/>
      </c>
      <c r="W46" s="24" t="n"/>
      <c r="X46" s="14" t="n"/>
    </row>
    <row r="47">
      <c r="A47" s="8">
        <f>IF($C47="","",9)</f>
        <v/>
      </c>
      <c r="B47" s="8">
        <f>IF($C47="","","4ª Sessão")</f>
        <v/>
      </c>
      <c r="C47" s="8">
        <f>IF(Preenchimento!$B$18="","",Preenchimento!$B$18)</f>
        <v/>
      </c>
      <c r="D47" s="8">
        <f>IF($C47="","",IF(Preenchimento!$C$18="","-",Preenchimento!$C$18))</f>
        <v/>
      </c>
      <c r="E47" s="8" t="n"/>
      <c r="F47" s="8" t="n"/>
      <c r="G47" s="24" t="n"/>
      <c r="H47" s="8" t="n"/>
      <c r="I47" s="14" t="n"/>
      <c r="J47" s="25">
        <f>IF($C47="","",IF($E47="Falta","-",MAX(0,MIN(10,8+IFERROR(VALUE(TRIM(MID(SUBSTITUTE(SUBSTITUTE(SUBSTITUTE(UPPER($H47)," ",""),"D",""),";",REPT(" ",30)),1,30))),0)+IFERROR(VALUE(TRIM(MID(SUBSTITUTE(SUBSTITUTE(SUBSTITUTE(UPPER($H47)," ",""),"D",""),";",REPT(" ",30)),31,30))),0)+IFERROR(VALUE(TRIM(MID(SUBSTITUTE(SUBSTITUTE(SUBSTITUTE(UPPER($H47)," ",""),"D",""),";",REPT(" ",30)),61,30))),0)+IFERROR(VALUE(TRIM(MID(SUBSTITUTE(SUBSTITUTE(SUBSTITUTE(UPPER($H47)," ",""),"D",""),";",REPT(" ",30)),91,30))),0)+IFERROR(VALUE(TRIM(MID(SUBSTITUTE(SUBSTITUTE(SUBSTITUTE(UPPER($H47)," ",""),"D",""),";",REPT(" ",30)),121,30))),0)+IFERROR(VALUE(TRIM(MID(SUBSTITUTE(SUBSTITUTE(SUBSTITUTE(UPPER($H47)," ",""),"D",""),";",REPT(" ",30)),151,30))),0)+IFERROR(VALUE(TRIM(MID(SUBSTITUTE(SUBSTITUTE(SUBSTITUTE(UPPER($H47)," ",""),"D",""),";",REPT(" ",30)),181,30))),0)+IFERROR(VALUE(TRIM(MID(SUBSTITUTE(SUBSTITUTE(SUBSTITUTE(UPPER($H47)," ",""),"D",""),";",REPT(" ",30)),211,30))),0)))))</f>
        <v/>
      </c>
      <c r="K47" s="24" t="n"/>
      <c r="L47" s="8" t="n"/>
      <c r="M47" s="14" t="n"/>
      <c r="N47" s="25">
        <f>IF($C47="","",IF($E47="Falta","-",MAX(0,MIN(10,8+IFERROR(VALUE(TRIM(MID(SUBSTITUTE(SUBSTITUTE(SUBSTITUTE(UPPER($L47)," ",""),"F",""),";",REPT(" ",30)),1,30))),0)+IFERROR(VALUE(TRIM(MID(SUBSTITUTE(SUBSTITUTE(SUBSTITUTE(UPPER($L47)," ",""),"F",""),";",REPT(" ",30)),31,30))),0)+IFERROR(VALUE(TRIM(MID(SUBSTITUTE(SUBSTITUTE(SUBSTITUTE(UPPER($L47)," ",""),"F",""),";",REPT(" ",30)),61,30))),0)+IFERROR(VALUE(TRIM(MID(SUBSTITUTE(SUBSTITUTE(SUBSTITUTE(UPPER($L47)," ",""),"F",""),";",REPT(" ",30)),91,30))),0)+IFERROR(VALUE(TRIM(MID(SUBSTITUTE(SUBSTITUTE(SUBSTITUTE(UPPER($L47)," ",""),"F",""),";",REPT(" ",30)),121,30))),0)+IFERROR(VALUE(TRIM(MID(SUBSTITUTE(SUBSTITUTE(SUBSTITUTE(UPPER($L47)," ",""),"F",""),";",REPT(" ",30)),151,30))),0)+IFERROR(VALUE(TRIM(MID(SUBSTITUTE(SUBSTITUTE(SUBSTITUTE(UPPER($L47)," ",""),"F",""),";",REPT(" ",30)),181,30))),0)+IFERROR(VALUE(TRIM(MID(SUBSTITUTE(SUBSTITUTE(SUBSTITUTE(UPPER($L47)," ",""),"F",""),";",REPT(" ",30)),211,30))),0)))))</f>
        <v/>
      </c>
      <c r="O47" s="24" t="n"/>
      <c r="P47" s="8" t="n"/>
      <c r="Q47" s="14" t="n"/>
      <c r="R47" s="25">
        <f>IF($C47="","",IF($E47="Falta","-",MAX(0,MIN(10,5+IFERROR(VALUE(TRIM(MID(SUBSTITUTE(SUBSTITUTE(SUBSTITUTE(UPPER($P47)," ",""),"C",""),";",REPT(" ",30)),1,30))),0)+IFERROR(VALUE(TRIM(MID(SUBSTITUTE(SUBSTITUTE(SUBSTITUTE(UPPER($P47)," ",""),"C",""),";",REPT(" ",30)),31,30))),0)+IFERROR(VALUE(TRIM(MID(SUBSTITUTE(SUBSTITUTE(SUBSTITUTE(UPPER($P47)," ",""),"C",""),";",REPT(" ",30)),61,30))),0)+IFERROR(VALUE(TRIM(MID(SUBSTITUTE(SUBSTITUTE(SUBSTITUTE(UPPER($P47)," ",""),"C",""),";",REPT(" ",30)),91,30))),0)+IFERROR(VALUE(TRIM(MID(SUBSTITUTE(SUBSTITUTE(SUBSTITUTE(UPPER($P47)," ",""),"C",""),";",REPT(" ",30)),121,30))),0)+IFERROR(VALUE(TRIM(MID(SUBSTITUTE(SUBSTITUTE(SUBSTITUTE(UPPER($P47)," ",""),"C",""),";",REPT(" ",30)),151,30))),0)+IFERROR(VALUE(TRIM(MID(SUBSTITUTE(SUBSTITUTE(SUBSTITUTE(UPPER($P47)," ",""),"C",""),";",REPT(" ",30)),181,30))),0)+IFERROR(VALUE(TRIM(MID(SUBSTITUTE(SUBSTITUTE(SUBSTITUTE(UPPER($P47)," ",""),"C",""),";",REPT(" ",30)),211,30))),0)))))</f>
        <v/>
      </c>
      <c r="S47" s="24" t="n"/>
      <c r="T47" s="8" t="n"/>
      <c r="U47" s="14" t="n"/>
      <c r="V47" s="25">
        <f>IF($C47="","",IF($E47="Falta","-",MAX(0,MIN(10,5+IFERROR(VALUE(TRIM(MID(SUBSTITUTE(SUBSTITUTE(SUBSTITUTE(UPPER($T47)," ",""),"P",""),";",REPT(" ",30)),1,30))),0)+IFERROR(VALUE(TRIM(MID(SUBSTITUTE(SUBSTITUTE(SUBSTITUTE(UPPER($T47)," ",""),"P",""),";",REPT(" ",30)),31,30))),0)+IFERROR(VALUE(TRIM(MID(SUBSTITUTE(SUBSTITUTE(SUBSTITUTE(UPPER($T47)," ",""),"P",""),";",REPT(" ",30)),61,30))),0)+IFERROR(VALUE(TRIM(MID(SUBSTITUTE(SUBSTITUTE(SUBSTITUTE(UPPER($T47)," ",""),"P",""),";",REPT(" ",30)),91,30))),0)+IFERROR(VALUE(TRIM(MID(SUBSTITUTE(SUBSTITUTE(SUBSTITUTE(UPPER($T47)," ",""),"P",""),";",REPT(" ",30)),121,30))),0)+IFERROR(VALUE(TRIM(MID(SUBSTITUTE(SUBSTITUTE(SUBSTITUTE(UPPER($T47)," ",""),"P",""),";",REPT(" ",30)),151,30))),0)+IFERROR(VALUE(TRIM(MID(SUBSTITUTE(SUBSTITUTE(SUBSTITUTE(UPPER($T47)," ",""),"P",""),";",REPT(" ",30)),181,30))),0)+IFERROR(VALUE(TRIM(MID(SUBSTITUTE(SUBSTITUTE(SUBSTITUTE(UPPER($T47)," ",""),"P",""),";",REPT(" ",30)),211,30))),0)))))</f>
        <v/>
      </c>
      <c r="W47" s="24" t="n"/>
      <c r="X47" s="14" t="n"/>
    </row>
    <row r="48">
      <c r="A48" s="8">
        <f>IF($C48="","",9)</f>
        <v/>
      </c>
      <c r="B48" s="8">
        <f>IF($C48="","","5ª Sessão")</f>
        <v/>
      </c>
      <c r="C48" s="8">
        <f>IF(Preenchimento!$B$18="","",Preenchimento!$B$18)</f>
        <v/>
      </c>
      <c r="D48" s="8">
        <f>IF($C48="","",IF(Preenchimento!$C$18="","-",Preenchimento!$C$18))</f>
        <v/>
      </c>
      <c r="E48" s="8" t="n"/>
      <c r="F48" s="8" t="n"/>
      <c r="G48" s="24" t="n"/>
      <c r="H48" s="8" t="n"/>
      <c r="I48" s="14" t="n"/>
      <c r="J48" s="25">
        <f>IF($C48="","",IF($E48="Falta","-",MAX(0,MIN(10,8+IFERROR(VALUE(TRIM(MID(SUBSTITUTE(SUBSTITUTE(SUBSTITUTE(UPPER($H48)," ",""),"D",""),";",REPT(" ",30)),1,30))),0)+IFERROR(VALUE(TRIM(MID(SUBSTITUTE(SUBSTITUTE(SUBSTITUTE(UPPER($H48)," ",""),"D",""),";",REPT(" ",30)),31,30))),0)+IFERROR(VALUE(TRIM(MID(SUBSTITUTE(SUBSTITUTE(SUBSTITUTE(UPPER($H48)," ",""),"D",""),";",REPT(" ",30)),61,30))),0)+IFERROR(VALUE(TRIM(MID(SUBSTITUTE(SUBSTITUTE(SUBSTITUTE(UPPER($H48)," ",""),"D",""),";",REPT(" ",30)),91,30))),0)+IFERROR(VALUE(TRIM(MID(SUBSTITUTE(SUBSTITUTE(SUBSTITUTE(UPPER($H48)," ",""),"D",""),";",REPT(" ",30)),121,30))),0)+IFERROR(VALUE(TRIM(MID(SUBSTITUTE(SUBSTITUTE(SUBSTITUTE(UPPER($H48)," ",""),"D",""),";",REPT(" ",30)),151,30))),0)+IFERROR(VALUE(TRIM(MID(SUBSTITUTE(SUBSTITUTE(SUBSTITUTE(UPPER($H48)," ",""),"D",""),";",REPT(" ",30)),181,30))),0)+IFERROR(VALUE(TRIM(MID(SUBSTITUTE(SUBSTITUTE(SUBSTITUTE(UPPER($H48)," ",""),"D",""),";",REPT(" ",30)),211,30))),0)))))</f>
        <v/>
      </c>
      <c r="K48" s="24" t="n"/>
      <c r="L48" s="8" t="n"/>
      <c r="M48" s="14" t="n"/>
      <c r="N48" s="25">
        <f>IF($C48="","",IF($E48="Falta","-",MAX(0,MIN(10,8+IFERROR(VALUE(TRIM(MID(SUBSTITUTE(SUBSTITUTE(SUBSTITUTE(UPPER($L48)," ",""),"F",""),";",REPT(" ",30)),1,30))),0)+IFERROR(VALUE(TRIM(MID(SUBSTITUTE(SUBSTITUTE(SUBSTITUTE(UPPER($L48)," ",""),"F",""),";",REPT(" ",30)),31,30))),0)+IFERROR(VALUE(TRIM(MID(SUBSTITUTE(SUBSTITUTE(SUBSTITUTE(UPPER($L48)," ",""),"F",""),";",REPT(" ",30)),61,30))),0)+IFERROR(VALUE(TRIM(MID(SUBSTITUTE(SUBSTITUTE(SUBSTITUTE(UPPER($L48)," ",""),"F",""),";",REPT(" ",30)),91,30))),0)+IFERROR(VALUE(TRIM(MID(SUBSTITUTE(SUBSTITUTE(SUBSTITUTE(UPPER($L48)," ",""),"F",""),";",REPT(" ",30)),121,30))),0)+IFERROR(VALUE(TRIM(MID(SUBSTITUTE(SUBSTITUTE(SUBSTITUTE(UPPER($L48)," ",""),"F",""),";",REPT(" ",30)),151,30))),0)+IFERROR(VALUE(TRIM(MID(SUBSTITUTE(SUBSTITUTE(SUBSTITUTE(UPPER($L48)," ",""),"F",""),";",REPT(" ",30)),181,30))),0)+IFERROR(VALUE(TRIM(MID(SUBSTITUTE(SUBSTITUTE(SUBSTITUTE(UPPER($L48)," ",""),"F",""),";",REPT(" ",30)),211,30))),0)))))</f>
        <v/>
      </c>
      <c r="O48" s="24" t="n"/>
      <c r="P48" s="8" t="n"/>
      <c r="Q48" s="14" t="n"/>
      <c r="R48" s="25">
        <f>IF($C48="","",IF($E48="Falta","-",MAX(0,MIN(10,5+IFERROR(VALUE(TRIM(MID(SUBSTITUTE(SUBSTITUTE(SUBSTITUTE(UPPER($P48)," ",""),"C",""),";",REPT(" ",30)),1,30))),0)+IFERROR(VALUE(TRIM(MID(SUBSTITUTE(SUBSTITUTE(SUBSTITUTE(UPPER($P48)," ",""),"C",""),";",REPT(" ",30)),31,30))),0)+IFERROR(VALUE(TRIM(MID(SUBSTITUTE(SUBSTITUTE(SUBSTITUTE(UPPER($P48)," ",""),"C",""),";",REPT(" ",30)),61,30))),0)+IFERROR(VALUE(TRIM(MID(SUBSTITUTE(SUBSTITUTE(SUBSTITUTE(UPPER($P48)," ",""),"C",""),";",REPT(" ",30)),91,30))),0)+IFERROR(VALUE(TRIM(MID(SUBSTITUTE(SUBSTITUTE(SUBSTITUTE(UPPER($P48)," ",""),"C",""),";",REPT(" ",30)),121,30))),0)+IFERROR(VALUE(TRIM(MID(SUBSTITUTE(SUBSTITUTE(SUBSTITUTE(UPPER($P48)," ",""),"C",""),";",REPT(" ",30)),151,30))),0)+IFERROR(VALUE(TRIM(MID(SUBSTITUTE(SUBSTITUTE(SUBSTITUTE(UPPER($P48)," ",""),"C",""),";",REPT(" ",30)),181,30))),0)+IFERROR(VALUE(TRIM(MID(SUBSTITUTE(SUBSTITUTE(SUBSTITUTE(UPPER($P48)," ",""),"C",""),";",REPT(" ",30)),211,30))),0)))))</f>
        <v/>
      </c>
      <c r="S48" s="24" t="n"/>
      <c r="T48" s="8" t="n"/>
      <c r="U48" s="14" t="n"/>
      <c r="V48" s="25">
        <f>IF($C48="","",IF($E48="Falta","-",MAX(0,MIN(10,5+IFERROR(VALUE(TRIM(MID(SUBSTITUTE(SUBSTITUTE(SUBSTITUTE(UPPER($T48)," ",""),"P",""),";",REPT(" ",30)),1,30))),0)+IFERROR(VALUE(TRIM(MID(SUBSTITUTE(SUBSTITUTE(SUBSTITUTE(UPPER($T48)," ",""),"P",""),";",REPT(" ",30)),31,30))),0)+IFERROR(VALUE(TRIM(MID(SUBSTITUTE(SUBSTITUTE(SUBSTITUTE(UPPER($T48)," ",""),"P",""),";",REPT(" ",30)),61,30))),0)+IFERROR(VALUE(TRIM(MID(SUBSTITUTE(SUBSTITUTE(SUBSTITUTE(UPPER($T48)," ",""),"P",""),";",REPT(" ",30)),91,30))),0)+IFERROR(VALUE(TRIM(MID(SUBSTITUTE(SUBSTITUTE(SUBSTITUTE(UPPER($T48)," ",""),"P",""),";",REPT(" ",30)),121,30))),0)+IFERROR(VALUE(TRIM(MID(SUBSTITUTE(SUBSTITUTE(SUBSTITUTE(UPPER($T48)," ",""),"P",""),";",REPT(" ",30)),151,30))),0)+IFERROR(VALUE(TRIM(MID(SUBSTITUTE(SUBSTITUTE(SUBSTITUTE(UPPER($T48)," ",""),"P",""),";",REPT(" ",30)),181,30))),0)+IFERROR(VALUE(TRIM(MID(SUBSTITUTE(SUBSTITUTE(SUBSTITUTE(UPPER($T48)," ",""),"P",""),";",REPT(" ",30)),211,30))),0)))))</f>
        <v/>
      </c>
      <c r="W48" s="24" t="n"/>
      <c r="X48" s="14" t="n"/>
    </row>
    <row r="49">
      <c r="A49" s="6">
        <f>IF($C49="","",10)</f>
        <v/>
      </c>
      <c r="B49" s="6">
        <f>IF($C49="","","1ª Sessão")</f>
        <v/>
      </c>
      <c r="C49" s="6">
        <f>IF(Preenchimento!$B$19="","",Preenchimento!$B$19)</f>
        <v/>
      </c>
      <c r="D49" s="6">
        <f>IF($C49="","",IF(Preenchimento!$C$19="","-",Preenchimento!$C$19))</f>
        <v/>
      </c>
      <c r="E49" s="6" t="n"/>
      <c r="F49" s="6" t="n"/>
      <c r="G49" s="26" t="n"/>
      <c r="H49" s="6" t="n"/>
      <c r="I49" s="13" t="n"/>
      <c r="J49" s="27">
        <f>IF($C49="","",IF($E49="Falta","-",MAX(0,MIN(10,8+IFERROR(VALUE(TRIM(MID(SUBSTITUTE(SUBSTITUTE(SUBSTITUTE(UPPER($H49)," ",""),"D",""),";",REPT(" ",30)),1,30))),0)+IFERROR(VALUE(TRIM(MID(SUBSTITUTE(SUBSTITUTE(SUBSTITUTE(UPPER($H49)," ",""),"D",""),";",REPT(" ",30)),31,30))),0)+IFERROR(VALUE(TRIM(MID(SUBSTITUTE(SUBSTITUTE(SUBSTITUTE(UPPER($H49)," ",""),"D",""),";",REPT(" ",30)),61,30))),0)+IFERROR(VALUE(TRIM(MID(SUBSTITUTE(SUBSTITUTE(SUBSTITUTE(UPPER($H49)," ",""),"D",""),";",REPT(" ",30)),91,30))),0)+IFERROR(VALUE(TRIM(MID(SUBSTITUTE(SUBSTITUTE(SUBSTITUTE(UPPER($H49)," ",""),"D",""),";",REPT(" ",30)),121,30))),0)+IFERROR(VALUE(TRIM(MID(SUBSTITUTE(SUBSTITUTE(SUBSTITUTE(UPPER($H49)," ",""),"D",""),";",REPT(" ",30)),151,30))),0)+IFERROR(VALUE(TRIM(MID(SUBSTITUTE(SUBSTITUTE(SUBSTITUTE(UPPER($H49)," ",""),"D",""),";",REPT(" ",30)),181,30))),0)+IFERROR(VALUE(TRIM(MID(SUBSTITUTE(SUBSTITUTE(SUBSTITUTE(UPPER($H49)," ",""),"D",""),";",REPT(" ",30)),211,30))),0)))))</f>
        <v/>
      </c>
      <c r="K49" s="26" t="n"/>
      <c r="L49" s="6" t="n"/>
      <c r="M49" s="13" t="n"/>
      <c r="N49" s="27">
        <f>IF($C49="","",IF($E49="Falta","-",MAX(0,MIN(10,8+IFERROR(VALUE(TRIM(MID(SUBSTITUTE(SUBSTITUTE(SUBSTITUTE(UPPER($L49)," ",""),"F",""),";",REPT(" ",30)),1,30))),0)+IFERROR(VALUE(TRIM(MID(SUBSTITUTE(SUBSTITUTE(SUBSTITUTE(UPPER($L49)," ",""),"F",""),";",REPT(" ",30)),31,30))),0)+IFERROR(VALUE(TRIM(MID(SUBSTITUTE(SUBSTITUTE(SUBSTITUTE(UPPER($L49)," ",""),"F",""),";",REPT(" ",30)),61,30))),0)+IFERROR(VALUE(TRIM(MID(SUBSTITUTE(SUBSTITUTE(SUBSTITUTE(UPPER($L49)," ",""),"F",""),";",REPT(" ",30)),91,30))),0)+IFERROR(VALUE(TRIM(MID(SUBSTITUTE(SUBSTITUTE(SUBSTITUTE(UPPER($L49)," ",""),"F",""),";",REPT(" ",30)),121,30))),0)+IFERROR(VALUE(TRIM(MID(SUBSTITUTE(SUBSTITUTE(SUBSTITUTE(UPPER($L49)," ",""),"F",""),";",REPT(" ",30)),151,30))),0)+IFERROR(VALUE(TRIM(MID(SUBSTITUTE(SUBSTITUTE(SUBSTITUTE(UPPER($L49)," ",""),"F",""),";",REPT(" ",30)),181,30))),0)+IFERROR(VALUE(TRIM(MID(SUBSTITUTE(SUBSTITUTE(SUBSTITUTE(UPPER($L49)," ",""),"F",""),";",REPT(" ",30)),211,30))),0)))))</f>
        <v/>
      </c>
      <c r="O49" s="26" t="n"/>
      <c r="P49" s="6" t="n"/>
      <c r="Q49" s="13" t="n"/>
      <c r="R49" s="27">
        <f>IF($C49="","",IF($E49="Falta","-",MAX(0,MIN(10,5+IFERROR(VALUE(TRIM(MID(SUBSTITUTE(SUBSTITUTE(SUBSTITUTE(UPPER($P49)," ",""),"C",""),";",REPT(" ",30)),1,30))),0)+IFERROR(VALUE(TRIM(MID(SUBSTITUTE(SUBSTITUTE(SUBSTITUTE(UPPER($P49)," ",""),"C",""),";",REPT(" ",30)),31,30))),0)+IFERROR(VALUE(TRIM(MID(SUBSTITUTE(SUBSTITUTE(SUBSTITUTE(UPPER($P49)," ",""),"C",""),";",REPT(" ",30)),61,30))),0)+IFERROR(VALUE(TRIM(MID(SUBSTITUTE(SUBSTITUTE(SUBSTITUTE(UPPER($P49)," ",""),"C",""),";",REPT(" ",30)),91,30))),0)+IFERROR(VALUE(TRIM(MID(SUBSTITUTE(SUBSTITUTE(SUBSTITUTE(UPPER($P49)," ",""),"C",""),";",REPT(" ",30)),121,30))),0)+IFERROR(VALUE(TRIM(MID(SUBSTITUTE(SUBSTITUTE(SUBSTITUTE(UPPER($P49)," ",""),"C",""),";",REPT(" ",30)),151,30))),0)+IFERROR(VALUE(TRIM(MID(SUBSTITUTE(SUBSTITUTE(SUBSTITUTE(UPPER($P49)," ",""),"C",""),";",REPT(" ",30)),181,30))),0)+IFERROR(VALUE(TRIM(MID(SUBSTITUTE(SUBSTITUTE(SUBSTITUTE(UPPER($P49)," ",""),"C",""),";",REPT(" ",30)),211,30))),0)))))</f>
        <v/>
      </c>
      <c r="S49" s="26" t="n"/>
      <c r="T49" s="6" t="n"/>
      <c r="U49" s="13" t="n"/>
      <c r="V49" s="27">
        <f>IF($C49="","",IF($E49="Falta","-",MAX(0,MIN(10,5+IFERROR(VALUE(TRIM(MID(SUBSTITUTE(SUBSTITUTE(SUBSTITUTE(UPPER($T49)," ",""),"P",""),";",REPT(" ",30)),1,30))),0)+IFERROR(VALUE(TRIM(MID(SUBSTITUTE(SUBSTITUTE(SUBSTITUTE(UPPER($T49)," ",""),"P",""),";",REPT(" ",30)),31,30))),0)+IFERROR(VALUE(TRIM(MID(SUBSTITUTE(SUBSTITUTE(SUBSTITUTE(UPPER($T49)," ",""),"P",""),";",REPT(" ",30)),61,30))),0)+IFERROR(VALUE(TRIM(MID(SUBSTITUTE(SUBSTITUTE(SUBSTITUTE(UPPER($T49)," ",""),"P",""),";",REPT(" ",30)),91,30))),0)+IFERROR(VALUE(TRIM(MID(SUBSTITUTE(SUBSTITUTE(SUBSTITUTE(UPPER($T49)," ",""),"P",""),";",REPT(" ",30)),121,30))),0)+IFERROR(VALUE(TRIM(MID(SUBSTITUTE(SUBSTITUTE(SUBSTITUTE(UPPER($T49)," ",""),"P",""),";",REPT(" ",30)),151,30))),0)+IFERROR(VALUE(TRIM(MID(SUBSTITUTE(SUBSTITUTE(SUBSTITUTE(UPPER($T49)," ",""),"P",""),";",REPT(" ",30)),181,30))),0)+IFERROR(VALUE(TRIM(MID(SUBSTITUTE(SUBSTITUTE(SUBSTITUTE(UPPER($T49)," ",""),"P",""),";",REPT(" ",30)),211,30))),0)))))</f>
        <v/>
      </c>
      <c r="W49" s="26" t="n"/>
      <c r="X49" s="13" t="n"/>
    </row>
    <row r="50">
      <c r="A50" s="6">
        <f>IF($C50="","",10)</f>
        <v/>
      </c>
      <c r="B50" s="6">
        <f>IF($C50="","","2ª Sessão")</f>
        <v/>
      </c>
      <c r="C50" s="6">
        <f>IF(Preenchimento!$B$19="","",Preenchimento!$B$19)</f>
        <v/>
      </c>
      <c r="D50" s="6">
        <f>IF($C50="","",IF(Preenchimento!$C$19="","-",Preenchimento!$C$19))</f>
        <v/>
      </c>
      <c r="E50" s="6" t="n"/>
      <c r="F50" s="6" t="n"/>
      <c r="G50" s="26" t="n"/>
      <c r="H50" s="6" t="n"/>
      <c r="I50" s="13" t="n"/>
      <c r="J50" s="27">
        <f>IF($C50="","",IF($E50="Falta","-",MAX(0,MIN(10,8+IFERROR(VALUE(TRIM(MID(SUBSTITUTE(SUBSTITUTE(SUBSTITUTE(UPPER($H50)," ",""),"D",""),";",REPT(" ",30)),1,30))),0)+IFERROR(VALUE(TRIM(MID(SUBSTITUTE(SUBSTITUTE(SUBSTITUTE(UPPER($H50)," ",""),"D",""),";",REPT(" ",30)),31,30))),0)+IFERROR(VALUE(TRIM(MID(SUBSTITUTE(SUBSTITUTE(SUBSTITUTE(UPPER($H50)," ",""),"D",""),";",REPT(" ",30)),61,30))),0)+IFERROR(VALUE(TRIM(MID(SUBSTITUTE(SUBSTITUTE(SUBSTITUTE(UPPER($H50)," ",""),"D",""),";",REPT(" ",30)),91,30))),0)+IFERROR(VALUE(TRIM(MID(SUBSTITUTE(SUBSTITUTE(SUBSTITUTE(UPPER($H50)," ",""),"D",""),";",REPT(" ",30)),121,30))),0)+IFERROR(VALUE(TRIM(MID(SUBSTITUTE(SUBSTITUTE(SUBSTITUTE(UPPER($H50)," ",""),"D",""),";",REPT(" ",30)),151,30))),0)+IFERROR(VALUE(TRIM(MID(SUBSTITUTE(SUBSTITUTE(SUBSTITUTE(UPPER($H50)," ",""),"D",""),";",REPT(" ",30)),181,30))),0)+IFERROR(VALUE(TRIM(MID(SUBSTITUTE(SUBSTITUTE(SUBSTITUTE(UPPER($H50)," ",""),"D",""),";",REPT(" ",30)),211,30))),0)))))</f>
        <v/>
      </c>
      <c r="K50" s="26" t="n"/>
      <c r="L50" s="6" t="n"/>
      <c r="M50" s="13" t="n"/>
      <c r="N50" s="27">
        <f>IF($C50="","",IF($E50="Falta","-",MAX(0,MIN(10,8+IFERROR(VALUE(TRIM(MID(SUBSTITUTE(SUBSTITUTE(SUBSTITUTE(UPPER($L50)," ",""),"F",""),";",REPT(" ",30)),1,30))),0)+IFERROR(VALUE(TRIM(MID(SUBSTITUTE(SUBSTITUTE(SUBSTITUTE(UPPER($L50)," ",""),"F",""),";",REPT(" ",30)),31,30))),0)+IFERROR(VALUE(TRIM(MID(SUBSTITUTE(SUBSTITUTE(SUBSTITUTE(UPPER($L50)," ",""),"F",""),";",REPT(" ",30)),61,30))),0)+IFERROR(VALUE(TRIM(MID(SUBSTITUTE(SUBSTITUTE(SUBSTITUTE(UPPER($L50)," ",""),"F",""),";",REPT(" ",30)),91,30))),0)+IFERROR(VALUE(TRIM(MID(SUBSTITUTE(SUBSTITUTE(SUBSTITUTE(UPPER($L50)," ",""),"F",""),";",REPT(" ",30)),121,30))),0)+IFERROR(VALUE(TRIM(MID(SUBSTITUTE(SUBSTITUTE(SUBSTITUTE(UPPER($L50)," ",""),"F",""),";",REPT(" ",30)),151,30))),0)+IFERROR(VALUE(TRIM(MID(SUBSTITUTE(SUBSTITUTE(SUBSTITUTE(UPPER($L50)," ",""),"F",""),";",REPT(" ",30)),181,30))),0)+IFERROR(VALUE(TRIM(MID(SUBSTITUTE(SUBSTITUTE(SUBSTITUTE(UPPER($L50)," ",""),"F",""),";",REPT(" ",30)),211,30))),0)))))</f>
        <v/>
      </c>
      <c r="O50" s="26" t="n"/>
      <c r="P50" s="6" t="n"/>
      <c r="Q50" s="13" t="n"/>
      <c r="R50" s="27">
        <f>IF($C50="","",IF($E50="Falta","-",MAX(0,MIN(10,5+IFERROR(VALUE(TRIM(MID(SUBSTITUTE(SUBSTITUTE(SUBSTITUTE(UPPER($P50)," ",""),"C",""),";",REPT(" ",30)),1,30))),0)+IFERROR(VALUE(TRIM(MID(SUBSTITUTE(SUBSTITUTE(SUBSTITUTE(UPPER($P50)," ",""),"C",""),";",REPT(" ",30)),31,30))),0)+IFERROR(VALUE(TRIM(MID(SUBSTITUTE(SUBSTITUTE(SUBSTITUTE(UPPER($P50)," ",""),"C",""),";",REPT(" ",30)),61,30))),0)+IFERROR(VALUE(TRIM(MID(SUBSTITUTE(SUBSTITUTE(SUBSTITUTE(UPPER($P50)," ",""),"C",""),";",REPT(" ",30)),91,30))),0)+IFERROR(VALUE(TRIM(MID(SUBSTITUTE(SUBSTITUTE(SUBSTITUTE(UPPER($P50)," ",""),"C",""),";",REPT(" ",30)),121,30))),0)+IFERROR(VALUE(TRIM(MID(SUBSTITUTE(SUBSTITUTE(SUBSTITUTE(UPPER($P50)," ",""),"C",""),";",REPT(" ",30)),151,30))),0)+IFERROR(VALUE(TRIM(MID(SUBSTITUTE(SUBSTITUTE(SUBSTITUTE(UPPER($P50)," ",""),"C",""),";",REPT(" ",30)),181,30))),0)+IFERROR(VALUE(TRIM(MID(SUBSTITUTE(SUBSTITUTE(SUBSTITUTE(UPPER($P50)," ",""),"C",""),";",REPT(" ",30)),211,30))),0)))))</f>
        <v/>
      </c>
      <c r="S50" s="26" t="n"/>
      <c r="T50" s="6" t="n"/>
      <c r="U50" s="13" t="n"/>
      <c r="V50" s="27">
        <f>IF($C50="","",IF($E50="Falta","-",MAX(0,MIN(10,5+IFERROR(VALUE(TRIM(MID(SUBSTITUTE(SUBSTITUTE(SUBSTITUTE(UPPER($T50)," ",""),"P",""),";",REPT(" ",30)),1,30))),0)+IFERROR(VALUE(TRIM(MID(SUBSTITUTE(SUBSTITUTE(SUBSTITUTE(UPPER($T50)," ",""),"P",""),";",REPT(" ",30)),31,30))),0)+IFERROR(VALUE(TRIM(MID(SUBSTITUTE(SUBSTITUTE(SUBSTITUTE(UPPER($T50)," ",""),"P",""),";",REPT(" ",30)),61,30))),0)+IFERROR(VALUE(TRIM(MID(SUBSTITUTE(SUBSTITUTE(SUBSTITUTE(UPPER($T50)," ",""),"P",""),";",REPT(" ",30)),91,30))),0)+IFERROR(VALUE(TRIM(MID(SUBSTITUTE(SUBSTITUTE(SUBSTITUTE(UPPER($T50)," ",""),"P",""),";",REPT(" ",30)),121,30))),0)+IFERROR(VALUE(TRIM(MID(SUBSTITUTE(SUBSTITUTE(SUBSTITUTE(UPPER($T50)," ",""),"P",""),";",REPT(" ",30)),151,30))),0)+IFERROR(VALUE(TRIM(MID(SUBSTITUTE(SUBSTITUTE(SUBSTITUTE(UPPER($T50)," ",""),"P",""),";",REPT(" ",30)),181,30))),0)+IFERROR(VALUE(TRIM(MID(SUBSTITUTE(SUBSTITUTE(SUBSTITUTE(UPPER($T50)," ",""),"P",""),";",REPT(" ",30)),211,30))),0)))))</f>
        <v/>
      </c>
      <c r="W50" s="26" t="n"/>
      <c r="X50" s="13" t="n"/>
    </row>
    <row r="51">
      <c r="A51" s="6">
        <f>IF($C51="","",10)</f>
        <v/>
      </c>
      <c r="B51" s="6">
        <f>IF($C51="","","3ª Sessão")</f>
        <v/>
      </c>
      <c r="C51" s="6">
        <f>IF(Preenchimento!$B$19="","",Preenchimento!$B$19)</f>
        <v/>
      </c>
      <c r="D51" s="6">
        <f>IF($C51="","",IF(Preenchimento!$C$19="","-",Preenchimento!$C$19))</f>
        <v/>
      </c>
      <c r="E51" s="6" t="n"/>
      <c r="F51" s="6" t="n"/>
      <c r="G51" s="26" t="n"/>
      <c r="H51" s="6" t="n"/>
      <c r="I51" s="13" t="n"/>
      <c r="J51" s="27">
        <f>IF($C51="","",IF($E51="Falta","-",MAX(0,MIN(10,8+IFERROR(VALUE(TRIM(MID(SUBSTITUTE(SUBSTITUTE(SUBSTITUTE(UPPER($H51)," ",""),"D",""),";",REPT(" ",30)),1,30))),0)+IFERROR(VALUE(TRIM(MID(SUBSTITUTE(SUBSTITUTE(SUBSTITUTE(UPPER($H51)," ",""),"D",""),";",REPT(" ",30)),31,30))),0)+IFERROR(VALUE(TRIM(MID(SUBSTITUTE(SUBSTITUTE(SUBSTITUTE(UPPER($H51)," ",""),"D",""),";",REPT(" ",30)),61,30))),0)+IFERROR(VALUE(TRIM(MID(SUBSTITUTE(SUBSTITUTE(SUBSTITUTE(UPPER($H51)," ",""),"D",""),";",REPT(" ",30)),91,30))),0)+IFERROR(VALUE(TRIM(MID(SUBSTITUTE(SUBSTITUTE(SUBSTITUTE(UPPER($H51)," ",""),"D",""),";",REPT(" ",30)),121,30))),0)+IFERROR(VALUE(TRIM(MID(SUBSTITUTE(SUBSTITUTE(SUBSTITUTE(UPPER($H51)," ",""),"D",""),";",REPT(" ",30)),151,30))),0)+IFERROR(VALUE(TRIM(MID(SUBSTITUTE(SUBSTITUTE(SUBSTITUTE(UPPER($H51)," ",""),"D",""),";",REPT(" ",30)),181,30))),0)+IFERROR(VALUE(TRIM(MID(SUBSTITUTE(SUBSTITUTE(SUBSTITUTE(UPPER($H51)," ",""),"D",""),";",REPT(" ",30)),211,30))),0)))))</f>
        <v/>
      </c>
      <c r="K51" s="26" t="n"/>
      <c r="L51" s="6" t="n"/>
      <c r="M51" s="13" t="n"/>
      <c r="N51" s="27">
        <f>IF($C51="","",IF($E51="Falta","-",MAX(0,MIN(10,8+IFERROR(VALUE(TRIM(MID(SUBSTITUTE(SUBSTITUTE(SUBSTITUTE(UPPER($L51)," ",""),"F",""),";",REPT(" ",30)),1,30))),0)+IFERROR(VALUE(TRIM(MID(SUBSTITUTE(SUBSTITUTE(SUBSTITUTE(UPPER($L51)," ",""),"F",""),";",REPT(" ",30)),31,30))),0)+IFERROR(VALUE(TRIM(MID(SUBSTITUTE(SUBSTITUTE(SUBSTITUTE(UPPER($L51)," ",""),"F",""),";",REPT(" ",30)),61,30))),0)+IFERROR(VALUE(TRIM(MID(SUBSTITUTE(SUBSTITUTE(SUBSTITUTE(UPPER($L51)," ",""),"F",""),";",REPT(" ",30)),91,30))),0)+IFERROR(VALUE(TRIM(MID(SUBSTITUTE(SUBSTITUTE(SUBSTITUTE(UPPER($L51)," ",""),"F",""),";",REPT(" ",30)),121,30))),0)+IFERROR(VALUE(TRIM(MID(SUBSTITUTE(SUBSTITUTE(SUBSTITUTE(UPPER($L51)," ",""),"F",""),";",REPT(" ",30)),151,30))),0)+IFERROR(VALUE(TRIM(MID(SUBSTITUTE(SUBSTITUTE(SUBSTITUTE(UPPER($L51)," ",""),"F",""),";",REPT(" ",30)),181,30))),0)+IFERROR(VALUE(TRIM(MID(SUBSTITUTE(SUBSTITUTE(SUBSTITUTE(UPPER($L51)," ",""),"F",""),";",REPT(" ",30)),211,30))),0)))))</f>
        <v/>
      </c>
      <c r="O51" s="26" t="n"/>
      <c r="P51" s="6" t="n"/>
      <c r="Q51" s="13" t="n"/>
      <c r="R51" s="27">
        <f>IF($C51="","",IF($E51="Falta","-",MAX(0,MIN(10,5+IFERROR(VALUE(TRIM(MID(SUBSTITUTE(SUBSTITUTE(SUBSTITUTE(UPPER($P51)," ",""),"C",""),";",REPT(" ",30)),1,30))),0)+IFERROR(VALUE(TRIM(MID(SUBSTITUTE(SUBSTITUTE(SUBSTITUTE(UPPER($P51)," ",""),"C",""),";",REPT(" ",30)),31,30))),0)+IFERROR(VALUE(TRIM(MID(SUBSTITUTE(SUBSTITUTE(SUBSTITUTE(UPPER($P51)," ",""),"C",""),";",REPT(" ",30)),61,30))),0)+IFERROR(VALUE(TRIM(MID(SUBSTITUTE(SUBSTITUTE(SUBSTITUTE(UPPER($P51)," ",""),"C",""),";",REPT(" ",30)),91,30))),0)+IFERROR(VALUE(TRIM(MID(SUBSTITUTE(SUBSTITUTE(SUBSTITUTE(UPPER($P51)," ",""),"C",""),";",REPT(" ",30)),121,30))),0)+IFERROR(VALUE(TRIM(MID(SUBSTITUTE(SUBSTITUTE(SUBSTITUTE(UPPER($P51)," ",""),"C",""),";",REPT(" ",30)),151,30))),0)+IFERROR(VALUE(TRIM(MID(SUBSTITUTE(SUBSTITUTE(SUBSTITUTE(UPPER($P51)," ",""),"C",""),";",REPT(" ",30)),181,30))),0)+IFERROR(VALUE(TRIM(MID(SUBSTITUTE(SUBSTITUTE(SUBSTITUTE(UPPER($P51)," ",""),"C",""),";",REPT(" ",30)),211,30))),0)))))</f>
        <v/>
      </c>
      <c r="S51" s="26" t="n"/>
      <c r="T51" s="6" t="n"/>
      <c r="U51" s="13" t="n"/>
      <c r="V51" s="27">
        <f>IF($C51="","",IF($E51="Falta","-",MAX(0,MIN(10,5+IFERROR(VALUE(TRIM(MID(SUBSTITUTE(SUBSTITUTE(SUBSTITUTE(UPPER($T51)," ",""),"P",""),";",REPT(" ",30)),1,30))),0)+IFERROR(VALUE(TRIM(MID(SUBSTITUTE(SUBSTITUTE(SUBSTITUTE(UPPER($T51)," ",""),"P",""),";",REPT(" ",30)),31,30))),0)+IFERROR(VALUE(TRIM(MID(SUBSTITUTE(SUBSTITUTE(SUBSTITUTE(UPPER($T51)," ",""),"P",""),";",REPT(" ",30)),61,30))),0)+IFERROR(VALUE(TRIM(MID(SUBSTITUTE(SUBSTITUTE(SUBSTITUTE(UPPER($T51)," ",""),"P",""),";",REPT(" ",30)),91,30))),0)+IFERROR(VALUE(TRIM(MID(SUBSTITUTE(SUBSTITUTE(SUBSTITUTE(UPPER($T51)," ",""),"P",""),";",REPT(" ",30)),121,30))),0)+IFERROR(VALUE(TRIM(MID(SUBSTITUTE(SUBSTITUTE(SUBSTITUTE(UPPER($T51)," ",""),"P",""),";",REPT(" ",30)),151,30))),0)+IFERROR(VALUE(TRIM(MID(SUBSTITUTE(SUBSTITUTE(SUBSTITUTE(UPPER($T51)," ",""),"P",""),";",REPT(" ",30)),181,30))),0)+IFERROR(VALUE(TRIM(MID(SUBSTITUTE(SUBSTITUTE(SUBSTITUTE(UPPER($T51)," ",""),"P",""),";",REPT(" ",30)),211,30))),0)))))</f>
        <v/>
      </c>
      <c r="W51" s="26" t="n"/>
      <c r="X51" s="13" t="n"/>
    </row>
    <row r="52">
      <c r="A52" s="6">
        <f>IF($C52="","",10)</f>
        <v/>
      </c>
      <c r="B52" s="6">
        <f>IF($C52="","","4ª Sessão")</f>
        <v/>
      </c>
      <c r="C52" s="6">
        <f>IF(Preenchimento!$B$19="","",Preenchimento!$B$19)</f>
        <v/>
      </c>
      <c r="D52" s="6">
        <f>IF($C52="","",IF(Preenchimento!$C$19="","-",Preenchimento!$C$19))</f>
        <v/>
      </c>
      <c r="E52" s="6" t="n"/>
      <c r="F52" s="6" t="n"/>
      <c r="G52" s="26" t="n"/>
      <c r="H52" s="6" t="n"/>
      <c r="I52" s="13" t="n"/>
      <c r="J52" s="27">
        <f>IF($C52="","",IF($E52="Falta","-",MAX(0,MIN(10,8+IFERROR(VALUE(TRIM(MID(SUBSTITUTE(SUBSTITUTE(SUBSTITUTE(UPPER($H52)," ",""),"D",""),";",REPT(" ",30)),1,30))),0)+IFERROR(VALUE(TRIM(MID(SUBSTITUTE(SUBSTITUTE(SUBSTITUTE(UPPER($H52)," ",""),"D",""),";",REPT(" ",30)),31,30))),0)+IFERROR(VALUE(TRIM(MID(SUBSTITUTE(SUBSTITUTE(SUBSTITUTE(UPPER($H52)," ",""),"D",""),";",REPT(" ",30)),61,30))),0)+IFERROR(VALUE(TRIM(MID(SUBSTITUTE(SUBSTITUTE(SUBSTITUTE(UPPER($H52)," ",""),"D",""),";",REPT(" ",30)),91,30))),0)+IFERROR(VALUE(TRIM(MID(SUBSTITUTE(SUBSTITUTE(SUBSTITUTE(UPPER($H52)," ",""),"D",""),";",REPT(" ",30)),121,30))),0)+IFERROR(VALUE(TRIM(MID(SUBSTITUTE(SUBSTITUTE(SUBSTITUTE(UPPER($H52)," ",""),"D",""),";",REPT(" ",30)),151,30))),0)+IFERROR(VALUE(TRIM(MID(SUBSTITUTE(SUBSTITUTE(SUBSTITUTE(UPPER($H52)," ",""),"D",""),";",REPT(" ",30)),181,30))),0)+IFERROR(VALUE(TRIM(MID(SUBSTITUTE(SUBSTITUTE(SUBSTITUTE(UPPER($H52)," ",""),"D",""),";",REPT(" ",30)),211,30))),0)))))</f>
        <v/>
      </c>
      <c r="K52" s="26" t="n"/>
      <c r="L52" s="6" t="n"/>
      <c r="M52" s="13" t="n"/>
      <c r="N52" s="27">
        <f>IF($C52="","",IF($E52="Falta","-",MAX(0,MIN(10,8+IFERROR(VALUE(TRIM(MID(SUBSTITUTE(SUBSTITUTE(SUBSTITUTE(UPPER($L52)," ",""),"F",""),";",REPT(" ",30)),1,30))),0)+IFERROR(VALUE(TRIM(MID(SUBSTITUTE(SUBSTITUTE(SUBSTITUTE(UPPER($L52)," ",""),"F",""),";",REPT(" ",30)),31,30))),0)+IFERROR(VALUE(TRIM(MID(SUBSTITUTE(SUBSTITUTE(SUBSTITUTE(UPPER($L52)," ",""),"F",""),";",REPT(" ",30)),61,30))),0)+IFERROR(VALUE(TRIM(MID(SUBSTITUTE(SUBSTITUTE(SUBSTITUTE(UPPER($L52)," ",""),"F",""),";",REPT(" ",30)),91,30))),0)+IFERROR(VALUE(TRIM(MID(SUBSTITUTE(SUBSTITUTE(SUBSTITUTE(UPPER($L52)," ",""),"F",""),";",REPT(" ",30)),121,30))),0)+IFERROR(VALUE(TRIM(MID(SUBSTITUTE(SUBSTITUTE(SUBSTITUTE(UPPER($L52)," ",""),"F",""),";",REPT(" ",30)),151,30))),0)+IFERROR(VALUE(TRIM(MID(SUBSTITUTE(SUBSTITUTE(SUBSTITUTE(UPPER($L52)," ",""),"F",""),";",REPT(" ",30)),181,30))),0)+IFERROR(VALUE(TRIM(MID(SUBSTITUTE(SUBSTITUTE(SUBSTITUTE(UPPER($L52)," ",""),"F",""),";",REPT(" ",30)),211,30))),0)))))</f>
        <v/>
      </c>
      <c r="O52" s="26" t="n"/>
      <c r="P52" s="6" t="n"/>
      <c r="Q52" s="13" t="n"/>
      <c r="R52" s="27">
        <f>IF($C52="","",IF($E52="Falta","-",MAX(0,MIN(10,5+IFERROR(VALUE(TRIM(MID(SUBSTITUTE(SUBSTITUTE(SUBSTITUTE(UPPER($P52)," ",""),"C",""),";",REPT(" ",30)),1,30))),0)+IFERROR(VALUE(TRIM(MID(SUBSTITUTE(SUBSTITUTE(SUBSTITUTE(UPPER($P52)," ",""),"C",""),";",REPT(" ",30)),31,30))),0)+IFERROR(VALUE(TRIM(MID(SUBSTITUTE(SUBSTITUTE(SUBSTITUTE(UPPER($P52)," ",""),"C",""),";",REPT(" ",30)),61,30))),0)+IFERROR(VALUE(TRIM(MID(SUBSTITUTE(SUBSTITUTE(SUBSTITUTE(UPPER($P52)," ",""),"C",""),";",REPT(" ",30)),91,30))),0)+IFERROR(VALUE(TRIM(MID(SUBSTITUTE(SUBSTITUTE(SUBSTITUTE(UPPER($P52)," ",""),"C",""),";",REPT(" ",30)),121,30))),0)+IFERROR(VALUE(TRIM(MID(SUBSTITUTE(SUBSTITUTE(SUBSTITUTE(UPPER($P52)," ",""),"C",""),";",REPT(" ",30)),151,30))),0)+IFERROR(VALUE(TRIM(MID(SUBSTITUTE(SUBSTITUTE(SUBSTITUTE(UPPER($P52)," ",""),"C",""),";",REPT(" ",30)),181,30))),0)+IFERROR(VALUE(TRIM(MID(SUBSTITUTE(SUBSTITUTE(SUBSTITUTE(UPPER($P52)," ",""),"C",""),";",REPT(" ",30)),211,30))),0)))))</f>
        <v/>
      </c>
      <c r="S52" s="26" t="n"/>
      <c r="T52" s="6" t="n"/>
      <c r="U52" s="13" t="n"/>
      <c r="V52" s="27">
        <f>IF($C52="","",IF($E52="Falta","-",MAX(0,MIN(10,5+IFERROR(VALUE(TRIM(MID(SUBSTITUTE(SUBSTITUTE(SUBSTITUTE(UPPER($T52)," ",""),"P",""),";",REPT(" ",30)),1,30))),0)+IFERROR(VALUE(TRIM(MID(SUBSTITUTE(SUBSTITUTE(SUBSTITUTE(UPPER($T52)," ",""),"P",""),";",REPT(" ",30)),31,30))),0)+IFERROR(VALUE(TRIM(MID(SUBSTITUTE(SUBSTITUTE(SUBSTITUTE(UPPER($T52)," ",""),"P",""),";",REPT(" ",30)),61,30))),0)+IFERROR(VALUE(TRIM(MID(SUBSTITUTE(SUBSTITUTE(SUBSTITUTE(UPPER($T52)," ",""),"P",""),";",REPT(" ",30)),91,30))),0)+IFERROR(VALUE(TRIM(MID(SUBSTITUTE(SUBSTITUTE(SUBSTITUTE(UPPER($T52)," ",""),"P",""),";",REPT(" ",30)),121,30))),0)+IFERROR(VALUE(TRIM(MID(SUBSTITUTE(SUBSTITUTE(SUBSTITUTE(UPPER($T52)," ",""),"P",""),";",REPT(" ",30)),151,30))),0)+IFERROR(VALUE(TRIM(MID(SUBSTITUTE(SUBSTITUTE(SUBSTITUTE(UPPER($T52)," ",""),"P",""),";",REPT(" ",30)),181,30))),0)+IFERROR(VALUE(TRIM(MID(SUBSTITUTE(SUBSTITUTE(SUBSTITUTE(UPPER($T52)," ",""),"P",""),";",REPT(" ",30)),211,30))),0)))))</f>
        <v/>
      </c>
      <c r="W52" s="26" t="n"/>
      <c r="X52" s="13" t="n"/>
    </row>
    <row r="53">
      <c r="A53" s="6">
        <f>IF($C53="","",10)</f>
        <v/>
      </c>
      <c r="B53" s="6">
        <f>IF($C53="","","5ª Sessão")</f>
        <v/>
      </c>
      <c r="C53" s="6">
        <f>IF(Preenchimento!$B$19="","",Preenchimento!$B$19)</f>
        <v/>
      </c>
      <c r="D53" s="6">
        <f>IF($C53="","",IF(Preenchimento!$C$19="","-",Preenchimento!$C$19))</f>
        <v/>
      </c>
      <c r="E53" s="6" t="n"/>
      <c r="F53" s="6" t="n"/>
      <c r="G53" s="26" t="n"/>
      <c r="H53" s="6" t="n"/>
      <c r="I53" s="13" t="n"/>
      <c r="J53" s="27">
        <f>IF($C53="","",IF($E53="Falta","-",MAX(0,MIN(10,8+IFERROR(VALUE(TRIM(MID(SUBSTITUTE(SUBSTITUTE(SUBSTITUTE(UPPER($H53)," ",""),"D",""),";",REPT(" ",30)),1,30))),0)+IFERROR(VALUE(TRIM(MID(SUBSTITUTE(SUBSTITUTE(SUBSTITUTE(UPPER($H53)," ",""),"D",""),";",REPT(" ",30)),31,30))),0)+IFERROR(VALUE(TRIM(MID(SUBSTITUTE(SUBSTITUTE(SUBSTITUTE(UPPER($H53)," ",""),"D",""),";",REPT(" ",30)),61,30))),0)+IFERROR(VALUE(TRIM(MID(SUBSTITUTE(SUBSTITUTE(SUBSTITUTE(UPPER($H53)," ",""),"D",""),";",REPT(" ",30)),91,30))),0)+IFERROR(VALUE(TRIM(MID(SUBSTITUTE(SUBSTITUTE(SUBSTITUTE(UPPER($H53)," ",""),"D",""),";",REPT(" ",30)),121,30))),0)+IFERROR(VALUE(TRIM(MID(SUBSTITUTE(SUBSTITUTE(SUBSTITUTE(UPPER($H53)," ",""),"D",""),";",REPT(" ",30)),151,30))),0)+IFERROR(VALUE(TRIM(MID(SUBSTITUTE(SUBSTITUTE(SUBSTITUTE(UPPER($H53)," ",""),"D",""),";",REPT(" ",30)),181,30))),0)+IFERROR(VALUE(TRIM(MID(SUBSTITUTE(SUBSTITUTE(SUBSTITUTE(UPPER($H53)," ",""),"D",""),";",REPT(" ",30)),211,30))),0)))))</f>
        <v/>
      </c>
      <c r="K53" s="26" t="n"/>
      <c r="L53" s="6" t="n"/>
      <c r="M53" s="13" t="n"/>
      <c r="N53" s="27">
        <f>IF($C53="","",IF($E53="Falta","-",MAX(0,MIN(10,8+IFERROR(VALUE(TRIM(MID(SUBSTITUTE(SUBSTITUTE(SUBSTITUTE(UPPER($L53)," ",""),"F",""),";",REPT(" ",30)),1,30))),0)+IFERROR(VALUE(TRIM(MID(SUBSTITUTE(SUBSTITUTE(SUBSTITUTE(UPPER($L53)," ",""),"F",""),";",REPT(" ",30)),31,30))),0)+IFERROR(VALUE(TRIM(MID(SUBSTITUTE(SUBSTITUTE(SUBSTITUTE(UPPER($L53)," ",""),"F",""),";",REPT(" ",30)),61,30))),0)+IFERROR(VALUE(TRIM(MID(SUBSTITUTE(SUBSTITUTE(SUBSTITUTE(UPPER($L53)," ",""),"F",""),";",REPT(" ",30)),91,30))),0)+IFERROR(VALUE(TRIM(MID(SUBSTITUTE(SUBSTITUTE(SUBSTITUTE(UPPER($L53)," ",""),"F",""),";",REPT(" ",30)),121,30))),0)+IFERROR(VALUE(TRIM(MID(SUBSTITUTE(SUBSTITUTE(SUBSTITUTE(UPPER($L53)," ",""),"F",""),";",REPT(" ",30)),151,30))),0)+IFERROR(VALUE(TRIM(MID(SUBSTITUTE(SUBSTITUTE(SUBSTITUTE(UPPER($L53)," ",""),"F",""),";",REPT(" ",30)),181,30))),0)+IFERROR(VALUE(TRIM(MID(SUBSTITUTE(SUBSTITUTE(SUBSTITUTE(UPPER($L53)," ",""),"F",""),";",REPT(" ",30)),211,30))),0)))))</f>
        <v/>
      </c>
      <c r="O53" s="26" t="n"/>
      <c r="P53" s="6" t="n"/>
      <c r="Q53" s="13" t="n"/>
      <c r="R53" s="27">
        <f>IF($C53="","",IF($E53="Falta","-",MAX(0,MIN(10,5+IFERROR(VALUE(TRIM(MID(SUBSTITUTE(SUBSTITUTE(SUBSTITUTE(UPPER($P53)," ",""),"C",""),";",REPT(" ",30)),1,30))),0)+IFERROR(VALUE(TRIM(MID(SUBSTITUTE(SUBSTITUTE(SUBSTITUTE(UPPER($P53)," ",""),"C",""),";",REPT(" ",30)),31,30))),0)+IFERROR(VALUE(TRIM(MID(SUBSTITUTE(SUBSTITUTE(SUBSTITUTE(UPPER($P53)," ",""),"C",""),";",REPT(" ",30)),61,30))),0)+IFERROR(VALUE(TRIM(MID(SUBSTITUTE(SUBSTITUTE(SUBSTITUTE(UPPER($P53)," ",""),"C",""),";",REPT(" ",30)),91,30))),0)+IFERROR(VALUE(TRIM(MID(SUBSTITUTE(SUBSTITUTE(SUBSTITUTE(UPPER($P53)," ",""),"C",""),";",REPT(" ",30)),121,30))),0)+IFERROR(VALUE(TRIM(MID(SUBSTITUTE(SUBSTITUTE(SUBSTITUTE(UPPER($P53)," ",""),"C",""),";",REPT(" ",30)),151,30))),0)+IFERROR(VALUE(TRIM(MID(SUBSTITUTE(SUBSTITUTE(SUBSTITUTE(UPPER($P53)," ",""),"C",""),";",REPT(" ",30)),181,30))),0)+IFERROR(VALUE(TRIM(MID(SUBSTITUTE(SUBSTITUTE(SUBSTITUTE(UPPER($P53)," ",""),"C",""),";",REPT(" ",30)),211,30))),0)))))</f>
        <v/>
      </c>
      <c r="S53" s="26" t="n"/>
      <c r="T53" s="6" t="n"/>
      <c r="U53" s="13" t="n"/>
      <c r="V53" s="27">
        <f>IF($C53="","",IF($E53="Falta","-",MAX(0,MIN(10,5+IFERROR(VALUE(TRIM(MID(SUBSTITUTE(SUBSTITUTE(SUBSTITUTE(UPPER($T53)," ",""),"P",""),";",REPT(" ",30)),1,30))),0)+IFERROR(VALUE(TRIM(MID(SUBSTITUTE(SUBSTITUTE(SUBSTITUTE(UPPER($T53)," ",""),"P",""),";",REPT(" ",30)),31,30))),0)+IFERROR(VALUE(TRIM(MID(SUBSTITUTE(SUBSTITUTE(SUBSTITUTE(UPPER($T53)," ",""),"P",""),";",REPT(" ",30)),61,30))),0)+IFERROR(VALUE(TRIM(MID(SUBSTITUTE(SUBSTITUTE(SUBSTITUTE(UPPER($T53)," ",""),"P",""),";",REPT(" ",30)),91,30))),0)+IFERROR(VALUE(TRIM(MID(SUBSTITUTE(SUBSTITUTE(SUBSTITUTE(UPPER($T53)," ",""),"P",""),";",REPT(" ",30)),121,30))),0)+IFERROR(VALUE(TRIM(MID(SUBSTITUTE(SUBSTITUTE(SUBSTITUTE(UPPER($T53)," ",""),"P",""),";",REPT(" ",30)),151,30))),0)+IFERROR(VALUE(TRIM(MID(SUBSTITUTE(SUBSTITUTE(SUBSTITUTE(UPPER($T53)," ",""),"P",""),";",REPT(" ",30)),181,30))),0)+IFERROR(VALUE(TRIM(MID(SUBSTITUTE(SUBSTITUTE(SUBSTITUTE(UPPER($T53)," ",""),"P",""),";",REPT(" ",30)),211,30))),0)))))</f>
        <v/>
      </c>
      <c r="W53" s="26" t="n"/>
      <c r="X53" s="13" t="n"/>
    </row>
    <row r="54">
      <c r="A54" s="8">
        <f>IF($C54="","",11)</f>
        <v/>
      </c>
      <c r="B54" s="8">
        <f>IF($C54="","","1ª Sessão")</f>
        <v/>
      </c>
      <c r="C54" s="8">
        <f>IF(Preenchimento!$B$20="","",Preenchimento!$B$20)</f>
        <v/>
      </c>
      <c r="D54" s="8">
        <f>IF($C54="","",IF(Preenchimento!$C$20="","-",Preenchimento!$C$20))</f>
        <v/>
      </c>
      <c r="E54" s="8" t="n"/>
      <c r="F54" s="8" t="n"/>
      <c r="G54" s="24" t="n"/>
      <c r="H54" s="8" t="n"/>
      <c r="I54" s="14" t="n"/>
      <c r="J54" s="25">
        <f>IF($C54="","",IF($E54="Falta","-",MAX(0,MIN(10,8+IFERROR(VALUE(TRIM(MID(SUBSTITUTE(SUBSTITUTE(SUBSTITUTE(UPPER($H54)," ",""),"D",""),";",REPT(" ",30)),1,30))),0)+IFERROR(VALUE(TRIM(MID(SUBSTITUTE(SUBSTITUTE(SUBSTITUTE(UPPER($H54)," ",""),"D",""),";",REPT(" ",30)),31,30))),0)+IFERROR(VALUE(TRIM(MID(SUBSTITUTE(SUBSTITUTE(SUBSTITUTE(UPPER($H54)," ",""),"D",""),";",REPT(" ",30)),61,30))),0)+IFERROR(VALUE(TRIM(MID(SUBSTITUTE(SUBSTITUTE(SUBSTITUTE(UPPER($H54)," ",""),"D",""),";",REPT(" ",30)),91,30))),0)+IFERROR(VALUE(TRIM(MID(SUBSTITUTE(SUBSTITUTE(SUBSTITUTE(UPPER($H54)," ",""),"D",""),";",REPT(" ",30)),121,30))),0)+IFERROR(VALUE(TRIM(MID(SUBSTITUTE(SUBSTITUTE(SUBSTITUTE(UPPER($H54)," ",""),"D",""),";",REPT(" ",30)),151,30))),0)+IFERROR(VALUE(TRIM(MID(SUBSTITUTE(SUBSTITUTE(SUBSTITUTE(UPPER($H54)," ",""),"D",""),";",REPT(" ",30)),181,30))),0)+IFERROR(VALUE(TRIM(MID(SUBSTITUTE(SUBSTITUTE(SUBSTITUTE(UPPER($H54)," ",""),"D",""),";",REPT(" ",30)),211,30))),0)))))</f>
        <v/>
      </c>
      <c r="K54" s="24" t="n"/>
      <c r="L54" s="8" t="n"/>
      <c r="M54" s="14" t="n"/>
      <c r="N54" s="25">
        <f>IF($C54="","",IF($E54="Falta","-",MAX(0,MIN(10,8+IFERROR(VALUE(TRIM(MID(SUBSTITUTE(SUBSTITUTE(SUBSTITUTE(UPPER($L54)," ",""),"F",""),";",REPT(" ",30)),1,30))),0)+IFERROR(VALUE(TRIM(MID(SUBSTITUTE(SUBSTITUTE(SUBSTITUTE(UPPER($L54)," ",""),"F",""),";",REPT(" ",30)),31,30))),0)+IFERROR(VALUE(TRIM(MID(SUBSTITUTE(SUBSTITUTE(SUBSTITUTE(UPPER($L54)," ",""),"F",""),";",REPT(" ",30)),61,30))),0)+IFERROR(VALUE(TRIM(MID(SUBSTITUTE(SUBSTITUTE(SUBSTITUTE(UPPER($L54)," ",""),"F",""),";",REPT(" ",30)),91,30))),0)+IFERROR(VALUE(TRIM(MID(SUBSTITUTE(SUBSTITUTE(SUBSTITUTE(UPPER($L54)," ",""),"F",""),";",REPT(" ",30)),121,30))),0)+IFERROR(VALUE(TRIM(MID(SUBSTITUTE(SUBSTITUTE(SUBSTITUTE(UPPER($L54)," ",""),"F",""),";",REPT(" ",30)),151,30))),0)+IFERROR(VALUE(TRIM(MID(SUBSTITUTE(SUBSTITUTE(SUBSTITUTE(UPPER($L54)," ",""),"F",""),";",REPT(" ",30)),181,30))),0)+IFERROR(VALUE(TRIM(MID(SUBSTITUTE(SUBSTITUTE(SUBSTITUTE(UPPER($L54)," ",""),"F",""),";",REPT(" ",30)),211,30))),0)))))</f>
        <v/>
      </c>
      <c r="O54" s="24" t="n"/>
      <c r="P54" s="8" t="n"/>
      <c r="Q54" s="14" t="n"/>
      <c r="R54" s="25">
        <f>IF($C54="","",IF($E54="Falta","-",MAX(0,MIN(10,5+IFERROR(VALUE(TRIM(MID(SUBSTITUTE(SUBSTITUTE(SUBSTITUTE(UPPER($P54)," ",""),"C",""),";",REPT(" ",30)),1,30))),0)+IFERROR(VALUE(TRIM(MID(SUBSTITUTE(SUBSTITUTE(SUBSTITUTE(UPPER($P54)," ",""),"C",""),";",REPT(" ",30)),31,30))),0)+IFERROR(VALUE(TRIM(MID(SUBSTITUTE(SUBSTITUTE(SUBSTITUTE(UPPER($P54)," ",""),"C",""),";",REPT(" ",30)),61,30))),0)+IFERROR(VALUE(TRIM(MID(SUBSTITUTE(SUBSTITUTE(SUBSTITUTE(UPPER($P54)," ",""),"C",""),";",REPT(" ",30)),91,30))),0)+IFERROR(VALUE(TRIM(MID(SUBSTITUTE(SUBSTITUTE(SUBSTITUTE(UPPER($P54)," ",""),"C",""),";",REPT(" ",30)),121,30))),0)+IFERROR(VALUE(TRIM(MID(SUBSTITUTE(SUBSTITUTE(SUBSTITUTE(UPPER($P54)," ",""),"C",""),";",REPT(" ",30)),151,30))),0)+IFERROR(VALUE(TRIM(MID(SUBSTITUTE(SUBSTITUTE(SUBSTITUTE(UPPER($P54)," ",""),"C",""),";",REPT(" ",30)),181,30))),0)+IFERROR(VALUE(TRIM(MID(SUBSTITUTE(SUBSTITUTE(SUBSTITUTE(UPPER($P54)," ",""),"C",""),";",REPT(" ",30)),211,30))),0)))))</f>
        <v/>
      </c>
      <c r="S54" s="24" t="n"/>
      <c r="T54" s="8" t="n"/>
      <c r="U54" s="14" t="n"/>
      <c r="V54" s="25">
        <f>IF($C54="","",IF($E54="Falta","-",MAX(0,MIN(10,5+IFERROR(VALUE(TRIM(MID(SUBSTITUTE(SUBSTITUTE(SUBSTITUTE(UPPER($T54)," ",""),"P",""),";",REPT(" ",30)),1,30))),0)+IFERROR(VALUE(TRIM(MID(SUBSTITUTE(SUBSTITUTE(SUBSTITUTE(UPPER($T54)," ",""),"P",""),";",REPT(" ",30)),31,30))),0)+IFERROR(VALUE(TRIM(MID(SUBSTITUTE(SUBSTITUTE(SUBSTITUTE(UPPER($T54)," ",""),"P",""),";",REPT(" ",30)),61,30))),0)+IFERROR(VALUE(TRIM(MID(SUBSTITUTE(SUBSTITUTE(SUBSTITUTE(UPPER($T54)," ",""),"P",""),";",REPT(" ",30)),91,30))),0)+IFERROR(VALUE(TRIM(MID(SUBSTITUTE(SUBSTITUTE(SUBSTITUTE(UPPER($T54)," ",""),"P",""),";",REPT(" ",30)),121,30))),0)+IFERROR(VALUE(TRIM(MID(SUBSTITUTE(SUBSTITUTE(SUBSTITUTE(UPPER($T54)," ",""),"P",""),";",REPT(" ",30)),151,30))),0)+IFERROR(VALUE(TRIM(MID(SUBSTITUTE(SUBSTITUTE(SUBSTITUTE(UPPER($T54)," ",""),"P",""),";",REPT(" ",30)),181,30))),0)+IFERROR(VALUE(TRIM(MID(SUBSTITUTE(SUBSTITUTE(SUBSTITUTE(UPPER($T54)," ",""),"P",""),";",REPT(" ",30)),211,30))),0)))))</f>
        <v/>
      </c>
      <c r="W54" s="24" t="n"/>
      <c r="X54" s="14" t="n"/>
    </row>
    <row r="55">
      <c r="A55" s="8">
        <f>IF($C55="","",11)</f>
        <v/>
      </c>
      <c r="B55" s="8">
        <f>IF($C55="","","2ª Sessão")</f>
        <v/>
      </c>
      <c r="C55" s="8">
        <f>IF(Preenchimento!$B$20="","",Preenchimento!$B$20)</f>
        <v/>
      </c>
      <c r="D55" s="8">
        <f>IF($C55="","",IF(Preenchimento!$C$20="","-",Preenchimento!$C$20))</f>
        <v/>
      </c>
      <c r="E55" s="8" t="n"/>
      <c r="F55" s="8" t="n"/>
      <c r="G55" s="24" t="n"/>
      <c r="H55" s="8" t="n"/>
      <c r="I55" s="14" t="n"/>
      <c r="J55" s="25">
        <f>IF($C55="","",IF($E55="Falta","-",MAX(0,MIN(10,8+IFERROR(VALUE(TRIM(MID(SUBSTITUTE(SUBSTITUTE(SUBSTITUTE(UPPER($H55)," ",""),"D",""),";",REPT(" ",30)),1,30))),0)+IFERROR(VALUE(TRIM(MID(SUBSTITUTE(SUBSTITUTE(SUBSTITUTE(UPPER($H55)," ",""),"D",""),";",REPT(" ",30)),31,30))),0)+IFERROR(VALUE(TRIM(MID(SUBSTITUTE(SUBSTITUTE(SUBSTITUTE(UPPER($H55)," ",""),"D",""),";",REPT(" ",30)),61,30))),0)+IFERROR(VALUE(TRIM(MID(SUBSTITUTE(SUBSTITUTE(SUBSTITUTE(UPPER($H55)," ",""),"D",""),";",REPT(" ",30)),91,30))),0)+IFERROR(VALUE(TRIM(MID(SUBSTITUTE(SUBSTITUTE(SUBSTITUTE(UPPER($H55)," ",""),"D",""),";",REPT(" ",30)),121,30))),0)+IFERROR(VALUE(TRIM(MID(SUBSTITUTE(SUBSTITUTE(SUBSTITUTE(UPPER($H55)," ",""),"D",""),";",REPT(" ",30)),151,30))),0)+IFERROR(VALUE(TRIM(MID(SUBSTITUTE(SUBSTITUTE(SUBSTITUTE(UPPER($H55)," ",""),"D",""),";",REPT(" ",30)),181,30))),0)+IFERROR(VALUE(TRIM(MID(SUBSTITUTE(SUBSTITUTE(SUBSTITUTE(UPPER($H55)," ",""),"D",""),";",REPT(" ",30)),211,30))),0)))))</f>
        <v/>
      </c>
      <c r="K55" s="24" t="n"/>
      <c r="L55" s="8" t="n"/>
      <c r="M55" s="14" t="n"/>
      <c r="N55" s="25">
        <f>IF($C55="","",IF($E55="Falta","-",MAX(0,MIN(10,8+IFERROR(VALUE(TRIM(MID(SUBSTITUTE(SUBSTITUTE(SUBSTITUTE(UPPER($L55)," ",""),"F",""),";",REPT(" ",30)),1,30))),0)+IFERROR(VALUE(TRIM(MID(SUBSTITUTE(SUBSTITUTE(SUBSTITUTE(UPPER($L55)," ",""),"F",""),";",REPT(" ",30)),31,30))),0)+IFERROR(VALUE(TRIM(MID(SUBSTITUTE(SUBSTITUTE(SUBSTITUTE(UPPER($L55)," ",""),"F",""),";",REPT(" ",30)),61,30))),0)+IFERROR(VALUE(TRIM(MID(SUBSTITUTE(SUBSTITUTE(SUBSTITUTE(UPPER($L55)," ",""),"F",""),";",REPT(" ",30)),91,30))),0)+IFERROR(VALUE(TRIM(MID(SUBSTITUTE(SUBSTITUTE(SUBSTITUTE(UPPER($L55)," ",""),"F",""),";",REPT(" ",30)),121,30))),0)+IFERROR(VALUE(TRIM(MID(SUBSTITUTE(SUBSTITUTE(SUBSTITUTE(UPPER($L55)," ",""),"F",""),";",REPT(" ",30)),151,30))),0)+IFERROR(VALUE(TRIM(MID(SUBSTITUTE(SUBSTITUTE(SUBSTITUTE(UPPER($L55)," ",""),"F",""),";",REPT(" ",30)),181,30))),0)+IFERROR(VALUE(TRIM(MID(SUBSTITUTE(SUBSTITUTE(SUBSTITUTE(UPPER($L55)," ",""),"F",""),";",REPT(" ",30)),211,30))),0)))))</f>
        <v/>
      </c>
      <c r="O55" s="24" t="n"/>
      <c r="P55" s="8" t="n"/>
      <c r="Q55" s="14" t="n"/>
      <c r="R55" s="25">
        <f>IF($C55="","",IF($E55="Falta","-",MAX(0,MIN(10,5+IFERROR(VALUE(TRIM(MID(SUBSTITUTE(SUBSTITUTE(SUBSTITUTE(UPPER($P55)," ",""),"C",""),";",REPT(" ",30)),1,30))),0)+IFERROR(VALUE(TRIM(MID(SUBSTITUTE(SUBSTITUTE(SUBSTITUTE(UPPER($P55)," ",""),"C",""),";",REPT(" ",30)),31,30))),0)+IFERROR(VALUE(TRIM(MID(SUBSTITUTE(SUBSTITUTE(SUBSTITUTE(UPPER($P55)," ",""),"C",""),";",REPT(" ",30)),61,30))),0)+IFERROR(VALUE(TRIM(MID(SUBSTITUTE(SUBSTITUTE(SUBSTITUTE(UPPER($P55)," ",""),"C",""),";",REPT(" ",30)),91,30))),0)+IFERROR(VALUE(TRIM(MID(SUBSTITUTE(SUBSTITUTE(SUBSTITUTE(UPPER($P55)," ",""),"C",""),";",REPT(" ",30)),121,30))),0)+IFERROR(VALUE(TRIM(MID(SUBSTITUTE(SUBSTITUTE(SUBSTITUTE(UPPER($P55)," ",""),"C",""),";",REPT(" ",30)),151,30))),0)+IFERROR(VALUE(TRIM(MID(SUBSTITUTE(SUBSTITUTE(SUBSTITUTE(UPPER($P55)," ",""),"C",""),";",REPT(" ",30)),181,30))),0)+IFERROR(VALUE(TRIM(MID(SUBSTITUTE(SUBSTITUTE(SUBSTITUTE(UPPER($P55)," ",""),"C",""),";",REPT(" ",30)),211,30))),0)))))</f>
        <v/>
      </c>
      <c r="S55" s="24" t="n"/>
      <c r="T55" s="8" t="n"/>
      <c r="U55" s="14" t="n"/>
      <c r="V55" s="25">
        <f>IF($C55="","",IF($E55="Falta","-",MAX(0,MIN(10,5+IFERROR(VALUE(TRIM(MID(SUBSTITUTE(SUBSTITUTE(SUBSTITUTE(UPPER($T55)," ",""),"P",""),";",REPT(" ",30)),1,30))),0)+IFERROR(VALUE(TRIM(MID(SUBSTITUTE(SUBSTITUTE(SUBSTITUTE(UPPER($T55)," ",""),"P",""),";",REPT(" ",30)),31,30))),0)+IFERROR(VALUE(TRIM(MID(SUBSTITUTE(SUBSTITUTE(SUBSTITUTE(UPPER($T55)," ",""),"P",""),";",REPT(" ",30)),61,30))),0)+IFERROR(VALUE(TRIM(MID(SUBSTITUTE(SUBSTITUTE(SUBSTITUTE(UPPER($T55)," ",""),"P",""),";",REPT(" ",30)),91,30))),0)+IFERROR(VALUE(TRIM(MID(SUBSTITUTE(SUBSTITUTE(SUBSTITUTE(UPPER($T55)," ",""),"P",""),";",REPT(" ",30)),121,30))),0)+IFERROR(VALUE(TRIM(MID(SUBSTITUTE(SUBSTITUTE(SUBSTITUTE(UPPER($T55)," ",""),"P",""),";",REPT(" ",30)),151,30))),0)+IFERROR(VALUE(TRIM(MID(SUBSTITUTE(SUBSTITUTE(SUBSTITUTE(UPPER($T55)," ",""),"P",""),";",REPT(" ",30)),181,30))),0)+IFERROR(VALUE(TRIM(MID(SUBSTITUTE(SUBSTITUTE(SUBSTITUTE(UPPER($T55)," ",""),"P",""),";",REPT(" ",30)),211,30))),0)))))</f>
        <v/>
      </c>
      <c r="W55" s="24" t="n"/>
      <c r="X55" s="14" t="n"/>
    </row>
    <row r="56">
      <c r="A56" s="8">
        <f>IF($C56="","",11)</f>
        <v/>
      </c>
      <c r="B56" s="8">
        <f>IF($C56="","","3ª Sessão")</f>
        <v/>
      </c>
      <c r="C56" s="8">
        <f>IF(Preenchimento!$B$20="","",Preenchimento!$B$20)</f>
        <v/>
      </c>
      <c r="D56" s="8">
        <f>IF($C56="","",IF(Preenchimento!$C$20="","-",Preenchimento!$C$20))</f>
        <v/>
      </c>
      <c r="E56" s="8" t="n"/>
      <c r="F56" s="8" t="n"/>
      <c r="G56" s="24" t="n"/>
      <c r="H56" s="8" t="n"/>
      <c r="I56" s="14" t="n"/>
      <c r="J56" s="25">
        <f>IF($C56="","",IF($E56="Falta","-",MAX(0,MIN(10,8+IFERROR(VALUE(TRIM(MID(SUBSTITUTE(SUBSTITUTE(SUBSTITUTE(UPPER($H56)," ",""),"D",""),";",REPT(" ",30)),1,30))),0)+IFERROR(VALUE(TRIM(MID(SUBSTITUTE(SUBSTITUTE(SUBSTITUTE(UPPER($H56)," ",""),"D",""),";",REPT(" ",30)),31,30))),0)+IFERROR(VALUE(TRIM(MID(SUBSTITUTE(SUBSTITUTE(SUBSTITUTE(UPPER($H56)," ",""),"D",""),";",REPT(" ",30)),61,30))),0)+IFERROR(VALUE(TRIM(MID(SUBSTITUTE(SUBSTITUTE(SUBSTITUTE(UPPER($H56)," ",""),"D",""),";",REPT(" ",30)),91,30))),0)+IFERROR(VALUE(TRIM(MID(SUBSTITUTE(SUBSTITUTE(SUBSTITUTE(UPPER($H56)," ",""),"D",""),";",REPT(" ",30)),121,30))),0)+IFERROR(VALUE(TRIM(MID(SUBSTITUTE(SUBSTITUTE(SUBSTITUTE(UPPER($H56)," ",""),"D",""),";",REPT(" ",30)),151,30))),0)+IFERROR(VALUE(TRIM(MID(SUBSTITUTE(SUBSTITUTE(SUBSTITUTE(UPPER($H56)," ",""),"D",""),";",REPT(" ",30)),181,30))),0)+IFERROR(VALUE(TRIM(MID(SUBSTITUTE(SUBSTITUTE(SUBSTITUTE(UPPER($H56)," ",""),"D",""),";",REPT(" ",30)),211,30))),0)))))</f>
        <v/>
      </c>
      <c r="K56" s="24" t="n"/>
      <c r="L56" s="8" t="n"/>
      <c r="M56" s="14" t="n"/>
      <c r="N56" s="25">
        <f>IF($C56="","",IF($E56="Falta","-",MAX(0,MIN(10,8+IFERROR(VALUE(TRIM(MID(SUBSTITUTE(SUBSTITUTE(SUBSTITUTE(UPPER($L56)," ",""),"F",""),";",REPT(" ",30)),1,30))),0)+IFERROR(VALUE(TRIM(MID(SUBSTITUTE(SUBSTITUTE(SUBSTITUTE(UPPER($L56)," ",""),"F",""),";",REPT(" ",30)),31,30))),0)+IFERROR(VALUE(TRIM(MID(SUBSTITUTE(SUBSTITUTE(SUBSTITUTE(UPPER($L56)," ",""),"F",""),";",REPT(" ",30)),61,30))),0)+IFERROR(VALUE(TRIM(MID(SUBSTITUTE(SUBSTITUTE(SUBSTITUTE(UPPER($L56)," ",""),"F",""),";",REPT(" ",30)),91,30))),0)+IFERROR(VALUE(TRIM(MID(SUBSTITUTE(SUBSTITUTE(SUBSTITUTE(UPPER($L56)," ",""),"F",""),";",REPT(" ",30)),121,30))),0)+IFERROR(VALUE(TRIM(MID(SUBSTITUTE(SUBSTITUTE(SUBSTITUTE(UPPER($L56)," ",""),"F",""),";",REPT(" ",30)),151,30))),0)+IFERROR(VALUE(TRIM(MID(SUBSTITUTE(SUBSTITUTE(SUBSTITUTE(UPPER($L56)," ",""),"F",""),";",REPT(" ",30)),181,30))),0)+IFERROR(VALUE(TRIM(MID(SUBSTITUTE(SUBSTITUTE(SUBSTITUTE(UPPER($L56)," ",""),"F",""),";",REPT(" ",30)),211,30))),0)))))</f>
        <v/>
      </c>
      <c r="O56" s="24" t="n"/>
      <c r="P56" s="8" t="n"/>
      <c r="Q56" s="14" t="n"/>
      <c r="R56" s="25">
        <f>IF($C56="","",IF($E56="Falta","-",MAX(0,MIN(10,5+IFERROR(VALUE(TRIM(MID(SUBSTITUTE(SUBSTITUTE(SUBSTITUTE(UPPER($P56)," ",""),"C",""),";",REPT(" ",30)),1,30))),0)+IFERROR(VALUE(TRIM(MID(SUBSTITUTE(SUBSTITUTE(SUBSTITUTE(UPPER($P56)," ",""),"C",""),";",REPT(" ",30)),31,30))),0)+IFERROR(VALUE(TRIM(MID(SUBSTITUTE(SUBSTITUTE(SUBSTITUTE(UPPER($P56)," ",""),"C",""),";",REPT(" ",30)),61,30))),0)+IFERROR(VALUE(TRIM(MID(SUBSTITUTE(SUBSTITUTE(SUBSTITUTE(UPPER($P56)," ",""),"C",""),";",REPT(" ",30)),91,30))),0)+IFERROR(VALUE(TRIM(MID(SUBSTITUTE(SUBSTITUTE(SUBSTITUTE(UPPER($P56)," ",""),"C",""),";",REPT(" ",30)),121,30))),0)+IFERROR(VALUE(TRIM(MID(SUBSTITUTE(SUBSTITUTE(SUBSTITUTE(UPPER($P56)," ",""),"C",""),";",REPT(" ",30)),151,30))),0)+IFERROR(VALUE(TRIM(MID(SUBSTITUTE(SUBSTITUTE(SUBSTITUTE(UPPER($P56)," ",""),"C",""),";",REPT(" ",30)),181,30))),0)+IFERROR(VALUE(TRIM(MID(SUBSTITUTE(SUBSTITUTE(SUBSTITUTE(UPPER($P56)," ",""),"C",""),";",REPT(" ",30)),211,30))),0)))))</f>
        <v/>
      </c>
      <c r="S56" s="24" t="n"/>
      <c r="T56" s="8" t="n"/>
      <c r="U56" s="14" t="n"/>
      <c r="V56" s="25">
        <f>IF($C56="","",IF($E56="Falta","-",MAX(0,MIN(10,5+IFERROR(VALUE(TRIM(MID(SUBSTITUTE(SUBSTITUTE(SUBSTITUTE(UPPER($T56)," ",""),"P",""),";",REPT(" ",30)),1,30))),0)+IFERROR(VALUE(TRIM(MID(SUBSTITUTE(SUBSTITUTE(SUBSTITUTE(UPPER($T56)," ",""),"P",""),";",REPT(" ",30)),31,30))),0)+IFERROR(VALUE(TRIM(MID(SUBSTITUTE(SUBSTITUTE(SUBSTITUTE(UPPER($T56)," ",""),"P",""),";",REPT(" ",30)),61,30))),0)+IFERROR(VALUE(TRIM(MID(SUBSTITUTE(SUBSTITUTE(SUBSTITUTE(UPPER($T56)," ",""),"P",""),";",REPT(" ",30)),91,30))),0)+IFERROR(VALUE(TRIM(MID(SUBSTITUTE(SUBSTITUTE(SUBSTITUTE(UPPER($T56)," ",""),"P",""),";",REPT(" ",30)),121,30))),0)+IFERROR(VALUE(TRIM(MID(SUBSTITUTE(SUBSTITUTE(SUBSTITUTE(UPPER($T56)," ",""),"P",""),";",REPT(" ",30)),151,30))),0)+IFERROR(VALUE(TRIM(MID(SUBSTITUTE(SUBSTITUTE(SUBSTITUTE(UPPER($T56)," ",""),"P",""),";",REPT(" ",30)),181,30))),0)+IFERROR(VALUE(TRIM(MID(SUBSTITUTE(SUBSTITUTE(SUBSTITUTE(UPPER($T56)," ",""),"P",""),";",REPT(" ",30)),211,30))),0)))))</f>
        <v/>
      </c>
      <c r="W56" s="24" t="n"/>
      <c r="X56" s="14" t="n"/>
    </row>
    <row r="57">
      <c r="A57" s="8">
        <f>IF($C57="","",11)</f>
        <v/>
      </c>
      <c r="B57" s="8">
        <f>IF($C57="","","4ª Sessão")</f>
        <v/>
      </c>
      <c r="C57" s="8">
        <f>IF(Preenchimento!$B$20="","",Preenchimento!$B$20)</f>
        <v/>
      </c>
      <c r="D57" s="8">
        <f>IF($C57="","",IF(Preenchimento!$C$20="","-",Preenchimento!$C$20))</f>
        <v/>
      </c>
      <c r="E57" s="8" t="n"/>
      <c r="F57" s="8" t="n"/>
      <c r="G57" s="24" t="n"/>
      <c r="H57" s="8" t="n"/>
      <c r="I57" s="14" t="n"/>
      <c r="J57" s="25">
        <f>IF($C57="","",IF($E57="Falta","-",MAX(0,MIN(10,8+IFERROR(VALUE(TRIM(MID(SUBSTITUTE(SUBSTITUTE(SUBSTITUTE(UPPER($H57)," ",""),"D",""),";",REPT(" ",30)),1,30))),0)+IFERROR(VALUE(TRIM(MID(SUBSTITUTE(SUBSTITUTE(SUBSTITUTE(UPPER($H57)," ",""),"D",""),";",REPT(" ",30)),31,30))),0)+IFERROR(VALUE(TRIM(MID(SUBSTITUTE(SUBSTITUTE(SUBSTITUTE(UPPER($H57)," ",""),"D",""),";",REPT(" ",30)),61,30))),0)+IFERROR(VALUE(TRIM(MID(SUBSTITUTE(SUBSTITUTE(SUBSTITUTE(UPPER($H57)," ",""),"D",""),";",REPT(" ",30)),91,30))),0)+IFERROR(VALUE(TRIM(MID(SUBSTITUTE(SUBSTITUTE(SUBSTITUTE(UPPER($H57)," ",""),"D",""),";",REPT(" ",30)),121,30))),0)+IFERROR(VALUE(TRIM(MID(SUBSTITUTE(SUBSTITUTE(SUBSTITUTE(UPPER($H57)," ",""),"D",""),";",REPT(" ",30)),151,30))),0)+IFERROR(VALUE(TRIM(MID(SUBSTITUTE(SUBSTITUTE(SUBSTITUTE(UPPER($H57)," ",""),"D",""),";",REPT(" ",30)),181,30))),0)+IFERROR(VALUE(TRIM(MID(SUBSTITUTE(SUBSTITUTE(SUBSTITUTE(UPPER($H57)," ",""),"D",""),";",REPT(" ",30)),211,30))),0)))))</f>
        <v/>
      </c>
      <c r="K57" s="24" t="n"/>
      <c r="L57" s="8" t="n"/>
      <c r="M57" s="14" t="n"/>
      <c r="N57" s="25">
        <f>IF($C57="","",IF($E57="Falta","-",MAX(0,MIN(10,8+IFERROR(VALUE(TRIM(MID(SUBSTITUTE(SUBSTITUTE(SUBSTITUTE(UPPER($L57)," ",""),"F",""),";",REPT(" ",30)),1,30))),0)+IFERROR(VALUE(TRIM(MID(SUBSTITUTE(SUBSTITUTE(SUBSTITUTE(UPPER($L57)," ",""),"F",""),";",REPT(" ",30)),31,30))),0)+IFERROR(VALUE(TRIM(MID(SUBSTITUTE(SUBSTITUTE(SUBSTITUTE(UPPER($L57)," ",""),"F",""),";",REPT(" ",30)),61,30))),0)+IFERROR(VALUE(TRIM(MID(SUBSTITUTE(SUBSTITUTE(SUBSTITUTE(UPPER($L57)," ",""),"F",""),";",REPT(" ",30)),91,30))),0)+IFERROR(VALUE(TRIM(MID(SUBSTITUTE(SUBSTITUTE(SUBSTITUTE(UPPER($L57)," ",""),"F",""),";",REPT(" ",30)),121,30))),0)+IFERROR(VALUE(TRIM(MID(SUBSTITUTE(SUBSTITUTE(SUBSTITUTE(UPPER($L57)," ",""),"F",""),";",REPT(" ",30)),151,30))),0)+IFERROR(VALUE(TRIM(MID(SUBSTITUTE(SUBSTITUTE(SUBSTITUTE(UPPER($L57)," ",""),"F",""),";",REPT(" ",30)),181,30))),0)+IFERROR(VALUE(TRIM(MID(SUBSTITUTE(SUBSTITUTE(SUBSTITUTE(UPPER($L57)," ",""),"F",""),";",REPT(" ",30)),211,30))),0)))))</f>
        <v/>
      </c>
      <c r="O57" s="24" t="n"/>
      <c r="P57" s="8" t="n"/>
      <c r="Q57" s="14" t="n"/>
      <c r="R57" s="25">
        <f>IF($C57="","",IF($E57="Falta","-",MAX(0,MIN(10,5+IFERROR(VALUE(TRIM(MID(SUBSTITUTE(SUBSTITUTE(SUBSTITUTE(UPPER($P57)," ",""),"C",""),";",REPT(" ",30)),1,30))),0)+IFERROR(VALUE(TRIM(MID(SUBSTITUTE(SUBSTITUTE(SUBSTITUTE(UPPER($P57)," ",""),"C",""),";",REPT(" ",30)),31,30))),0)+IFERROR(VALUE(TRIM(MID(SUBSTITUTE(SUBSTITUTE(SUBSTITUTE(UPPER($P57)," ",""),"C",""),";",REPT(" ",30)),61,30))),0)+IFERROR(VALUE(TRIM(MID(SUBSTITUTE(SUBSTITUTE(SUBSTITUTE(UPPER($P57)," ",""),"C",""),";",REPT(" ",30)),91,30))),0)+IFERROR(VALUE(TRIM(MID(SUBSTITUTE(SUBSTITUTE(SUBSTITUTE(UPPER($P57)," ",""),"C",""),";",REPT(" ",30)),121,30))),0)+IFERROR(VALUE(TRIM(MID(SUBSTITUTE(SUBSTITUTE(SUBSTITUTE(UPPER($P57)," ",""),"C",""),";",REPT(" ",30)),151,30))),0)+IFERROR(VALUE(TRIM(MID(SUBSTITUTE(SUBSTITUTE(SUBSTITUTE(UPPER($P57)," ",""),"C",""),";",REPT(" ",30)),181,30))),0)+IFERROR(VALUE(TRIM(MID(SUBSTITUTE(SUBSTITUTE(SUBSTITUTE(UPPER($P57)," ",""),"C",""),";",REPT(" ",30)),211,30))),0)))))</f>
        <v/>
      </c>
      <c r="S57" s="24" t="n"/>
      <c r="T57" s="8" t="n"/>
      <c r="U57" s="14" t="n"/>
      <c r="V57" s="25">
        <f>IF($C57="","",IF($E57="Falta","-",MAX(0,MIN(10,5+IFERROR(VALUE(TRIM(MID(SUBSTITUTE(SUBSTITUTE(SUBSTITUTE(UPPER($T57)," ",""),"P",""),";",REPT(" ",30)),1,30))),0)+IFERROR(VALUE(TRIM(MID(SUBSTITUTE(SUBSTITUTE(SUBSTITUTE(UPPER($T57)," ",""),"P",""),";",REPT(" ",30)),31,30))),0)+IFERROR(VALUE(TRIM(MID(SUBSTITUTE(SUBSTITUTE(SUBSTITUTE(UPPER($T57)," ",""),"P",""),";",REPT(" ",30)),61,30))),0)+IFERROR(VALUE(TRIM(MID(SUBSTITUTE(SUBSTITUTE(SUBSTITUTE(UPPER($T57)," ",""),"P",""),";",REPT(" ",30)),91,30))),0)+IFERROR(VALUE(TRIM(MID(SUBSTITUTE(SUBSTITUTE(SUBSTITUTE(UPPER($T57)," ",""),"P",""),";",REPT(" ",30)),121,30))),0)+IFERROR(VALUE(TRIM(MID(SUBSTITUTE(SUBSTITUTE(SUBSTITUTE(UPPER($T57)," ",""),"P",""),";",REPT(" ",30)),151,30))),0)+IFERROR(VALUE(TRIM(MID(SUBSTITUTE(SUBSTITUTE(SUBSTITUTE(UPPER($T57)," ",""),"P",""),";",REPT(" ",30)),181,30))),0)+IFERROR(VALUE(TRIM(MID(SUBSTITUTE(SUBSTITUTE(SUBSTITUTE(UPPER($T57)," ",""),"P",""),";",REPT(" ",30)),211,30))),0)))))</f>
        <v/>
      </c>
      <c r="W57" s="24" t="n"/>
      <c r="X57" s="14" t="n"/>
    </row>
    <row r="58">
      <c r="A58" s="8">
        <f>IF($C58="","",11)</f>
        <v/>
      </c>
      <c r="B58" s="8">
        <f>IF($C58="","","5ª Sessão")</f>
        <v/>
      </c>
      <c r="C58" s="8">
        <f>IF(Preenchimento!$B$20="","",Preenchimento!$B$20)</f>
        <v/>
      </c>
      <c r="D58" s="8">
        <f>IF($C58="","",IF(Preenchimento!$C$20="","-",Preenchimento!$C$20))</f>
        <v/>
      </c>
      <c r="E58" s="8" t="n"/>
      <c r="F58" s="8" t="n"/>
      <c r="G58" s="24" t="n"/>
      <c r="H58" s="8" t="n"/>
      <c r="I58" s="14" t="n"/>
      <c r="J58" s="25">
        <f>IF($C58="","",IF($E58="Falta","-",MAX(0,MIN(10,8+IFERROR(VALUE(TRIM(MID(SUBSTITUTE(SUBSTITUTE(SUBSTITUTE(UPPER($H58)," ",""),"D",""),";",REPT(" ",30)),1,30))),0)+IFERROR(VALUE(TRIM(MID(SUBSTITUTE(SUBSTITUTE(SUBSTITUTE(UPPER($H58)," ",""),"D",""),";",REPT(" ",30)),31,30))),0)+IFERROR(VALUE(TRIM(MID(SUBSTITUTE(SUBSTITUTE(SUBSTITUTE(UPPER($H58)," ",""),"D",""),";",REPT(" ",30)),61,30))),0)+IFERROR(VALUE(TRIM(MID(SUBSTITUTE(SUBSTITUTE(SUBSTITUTE(UPPER($H58)," ",""),"D",""),";",REPT(" ",30)),91,30))),0)+IFERROR(VALUE(TRIM(MID(SUBSTITUTE(SUBSTITUTE(SUBSTITUTE(UPPER($H58)," ",""),"D",""),";",REPT(" ",30)),121,30))),0)+IFERROR(VALUE(TRIM(MID(SUBSTITUTE(SUBSTITUTE(SUBSTITUTE(UPPER($H58)," ",""),"D",""),";",REPT(" ",30)),151,30))),0)+IFERROR(VALUE(TRIM(MID(SUBSTITUTE(SUBSTITUTE(SUBSTITUTE(UPPER($H58)," ",""),"D",""),";",REPT(" ",30)),181,30))),0)+IFERROR(VALUE(TRIM(MID(SUBSTITUTE(SUBSTITUTE(SUBSTITUTE(UPPER($H58)," ",""),"D",""),";",REPT(" ",30)),211,30))),0)))))</f>
        <v/>
      </c>
      <c r="K58" s="24" t="n"/>
      <c r="L58" s="8" t="n"/>
      <c r="M58" s="14" t="n"/>
      <c r="N58" s="25">
        <f>IF($C58="","",IF($E58="Falta","-",MAX(0,MIN(10,8+IFERROR(VALUE(TRIM(MID(SUBSTITUTE(SUBSTITUTE(SUBSTITUTE(UPPER($L58)," ",""),"F",""),";",REPT(" ",30)),1,30))),0)+IFERROR(VALUE(TRIM(MID(SUBSTITUTE(SUBSTITUTE(SUBSTITUTE(UPPER($L58)," ",""),"F",""),";",REPT(" ",30)),31,30))),0)+IFERROR(VALUE(TRIM(MID(SUBSTITUTE(SUBSTITUTE(SUBSTITUTE(UPPER($L58)," ",""),"F",""),";",REPT(" ",30)),61,30))),0)+IFERROR(VALUE(TRIM(MID(SUBSTITUTE(SUBSTITUTE(SUBSTITUTE(UPPER($L58)," ",""),"F",""),";",REPT(" ",30)),91,30))),0)+IFERROR(VALUE(TRIM(MID(SUBSTITUTE(SUBSTITUTE(SUBSTITUTE(UPPER($L58)," ",""),"F",""),";",REPT(" ",30)),121,30))),0)+IFERROR(VALUE(TRIM(MID(SUBSTITUTE(SUBSTITUTE(SUBSTITUTE(UPPER($L58)," ",""),"F",""),";",REPT(" ",30)),151,30))),0)+IFERROR(VALUE(TRIM(MID(SUBSTITUTE(SUBSTITUTE(SUBSTITUTE(UPPER($L58)," ",""),"F",""),";",REPT(" ",30)),181,30))),0)+IFERROR(VALUE(TRIM(MID(SUBSTITUTE(SUBSTITUTE(SUBSTITUTE(UPPER($L58)," ",""),"F",""),";",REPT(" ",30)),211,30))),0)))))</f>
        <v/>
      </c>
      <c r="O58" s="24" t="n"/>
      <c r="P58" s="8" t="n"/>
      <c r="Q58" s="14" t="n"/>
      <c r="R58" s="25">
        <f>IF($C58="","",IF($E58="Falta","-",MAX(0,MIN(10,5+IFERROR(VALUE(TRIM(MID(SUBSTITUTE(SUBSTITUTE(SUBSTITUTE(UPPER($P58)," ",""),"C",""),";",REPT(" ",30)),1,30))),0)+IFERROR(VALUE(TRIM(MID(SUBSTITUTE(SUBSTITUTE(SUBSTITUTE(UPPER($P58)," ",""),"C",""),";",REPT(" ",30)),31,30))),0)+IFERROR(VALUE(TRIM(MID(SUBSTITUTE(SUBSTITUTE(SUBSTITUTE(UPPER($P58)," ",""),"C",""),";",REPT(" ",30)),61,30))),0)+IFERROR(VALUE(TRIM(MID(SUBSTITUTE(SUBSTITUTE(SUBSTITUTE(UPPER($P58)," ",""),"C",""),";",REPT(" ",30)),91,30))),0)+IFERROR(VALUE(TRIM(MID(SUBSTITUTE(SUBSTITUTE(SUBSTITUTE(UPPER($P58)," ",""),"C",""),";",REPT(" ",30)),121,30))),0)+IFERROR(VALUE(TRIM(MID(SUBSTITUTE(SUBSTITUTE(SUBSTITUTE(UPPER($P58)," ",""),"C",""),";",REPT(" ",30)),151,30))),0)+IFERROR(VALUE(TRIM(MID(SUBSTITUTE(SUBSTITUTE(SUBSTITUTE(UPPER($P58)," ",""),"C",""),";",REPT(" ",30)),181,30))),0)+IFERROR(VALUE(TRIM(MID(SUBSTITUTE(SUBSTITUTE(SUBSTITUTE(UPPER($P58)," ",""),"C",""),";",REPT(" ",30)),211,30))),0)))))</f>
        <v/>
      </c>
      <c r="S58" s="24" t="n"/>
      <c r="T58" s="8" t="n"/>
      <c r="U58" s="14" t="n"/>
      <c r="V58" s="25">
        <f>IF($C58="","",IF($E58="Falta","-",MAX(0,MIN(10,5+IFERROR(VALUE(TRIM(MID(SUBSTITUTE(SUBSTITUTE(SUBSTITUTE(UPPER($T58)," ",""),"P",""),";",REPT(" ",30)),1,30))),0)+IFERROR(VALUE(TRIM(MID(SUBSTITUTE(SUBSTITUTE(SUBSTITUTE(UPPER($T58)," ",""),"P",""),";",REPT(" ",30)),31,30))),0)+IFERROR(VALUE(TRIM(MID(SUBSTITUTE(SUBSTITUTE(SUBSTITUTE(UPPER($T58)," ",""),"P",""),";",REPT(" ",30)),61,30))),0)+IFERROR(VALUE(TRIM(MID(SUBSTITUTE(SUBSTITUTE(SUBSTITUTE(UPPER($T58)," ",""),"P",""),";",REPT(" ",30)),91,30))),0)+IFERROR(VALUE(TRIM(MID(SUBSTITUTE(SUBSTITUTE(SUBSTITUTE(UPPER($T58)," ",""),"P",""),";",REPT(" ",30)),121,30))),0)+IFERROR(VALUE(TRIM(MID(SUBSTITUTE(SUBSTITUTE(SUBSTITUTE(UPPER($T58)," ",""),"P",""),";",REPT(" ",30)),151,30))),0)+IFERROR(VALUE(TRIM(MID(SUBSTITUTE(SUBSTITUTE(SUBSTITUTE(UPPER($T58)," ",""),"P",""),";",REPT(" ",30)),181,30))),0)+IFERROR(VALUE(TRIM(MID(SUBSTITUTE(SUBSTITUTE(SUBSTITUTE(UPPER($T58)," ",""),"P",""),";",REPT(" ",30)),211,30))),0)))))</f>
        <v/>
      </c>
      <c r="W58" s="24" t="n"/>
      <c r="X58" s="14" t="n"/>
    </row>
    <row r="59">
      <c r="A59" s="6">
        <f>IF($C59="","",12)</f>
        <v/>
      </c>
      <c r="B59" s="6">
        <f>IF($C59="","","1ª Sessão")</f>
        <v/>
      </c>
      <c r="C59" s="6">
        <f>IF(Preenchimento!$B$21="","",Preenchimento!$B$21)</f>
        <v/>
      </c>
      <c r="D59" s="6">
        <f>IF($C59="","",IF(Preenchimento!$C$21="","-",Preenchimento!$C$21))</f>
        <v/>
      </c>
      <c r="E59" s="6" t="n"/>
      <c r="F59" s="6" t="n"/>
      <c r="G59" s="26" t="n"/>
      <c r="H59" s="6" t="n"/>
      <c r="I59" s="13" t="n"/>
      <c r="J59" s="27">
        <f>IF($C59="","",IF($E59="Falta","-",MAX(0,MIN(10,8+IFERROR(VALUE(TRIM(MID(SUBSTITUTE(SUBSTITUTE(SUBSTITUTE(UPPER($H59)," ",""),"D",""),";",REPT(" ",30)),1,30))),0)+IFERROR(VALUE(TRIM(MID(SUBSTITUTE(SUBSTITUTE(SUBSTITUTE(UPPER($H59)," ",""),"D",""),";",REPT(" ",30)),31,30))),0)+IFERROR(VALUE(TRIM(MID(SUBSTITUTE(SUBSTITUTE(SUBSTITUTE(UPPER($H59)," ",""),"D",""),";",REPT(" ",30)),61,30))),0)+IFERROR(VALUE(TRIM(MID(SUBSTITUTE(SUBSTITUTE(SUBSTITUTE(UPPER($H59)," ",""),"D",""),";",REPT(" ",30)),91,30))),0)+IFERROR(VALUE(TRIM(MID(SUBSTITUTE(SUBSTITUTE(SUBSTITUTE(UPPER($H59)," ",""),"D",""),";",REPT(" ",30)),121,30))),0)+IFERROR(VALUE(TRIM(MID(SUBSTITUTE(SUBSTITUTE(SUBSTITUTE(UPPER($H59)," ",""),"D",""),";",REPT(" ",30)),151,30))),0)+IFERROR(VALUE(TRIM(MID(SUBSTITUTE(SUBSTITUTE(SUBSTITUTE(UPPER($H59)," ",""),"D",""),";",REPT(" ",30)),181,30))),0)+IFERROR(VALUE(TRIM(MID(SUBSTITUTE(SUBSTITUTE(SUBSTITUTE(UPPER($H59)," ",""),"D",""),";",REPT(" ",30)),211,30))),0)))))</f>
        <v/>
      </c>
      <c r="K59" s="26" t="n"/>
      <c r="L59" s="6" t="n"/>
      <c r="M59" s="13" t="n"/>
      <c r="N59" s="27">
        <f>IF($C59="","",IF($E59="Falta","-",MAX(0,MIN(10,8+IFERROR(VALUE(TRIM(MID(SUBSTITUTE(SUBSTITUTE(SUBSTITUTE(UPPER($L59)," ",""),"F",""),";",REPT(" ",30)),1,30))),0)+IFERROR(VALUE(TRIM(MID(SUBSTITUTE(SUBSTITUTE(SUBSTITUTE(UPPER($L59)," ",""),"F",""),";",REPT(" ",30)),31,30))),0)+IFERROR(VALUE(TRIM(MID(SUBSTITUTE(SUBSTITUTE(SUBSTITUTE(UPPER($L59)," ",""),"F",""),";",REPT(" ",30)),61,30))),0)+IFERROR(VALUE(TRIM(MID(SUBSTITUTE(SUBSTITUTE(SUBSTITUTE(UPPER($L59)," ",""),"F",""),";",REPT(" ",30)),91,30))),0)+IFERROR(VALUE(TRIM(MID(SUBSTITUTE(SUBSTITUTE(SUBSTITUTE(UPPER($L59)," ",""),"F",""),";",REPT(" ",30)),121,30))),0)+IFERROR(VALUE(TRIM(MID(SUBSTITUTE(SUBSTITUTE(SUBSTITUTE(UPPER($L59)," ",""),"F",""),";",REPT(" ",30)),151,30))),0)+IFERROR(VALUE(TRIM(MID(SUBSTITUTE(SUBSTITUTE(SUBSTITUTE(UPPER($L59)," ",""),"F",""),";",REPT(" ",30)),181,30))),0)+IFERROR(VALUE(TRIM(MID(SUBSTITUTE(SUBSTITUTE(SUBSTITUTE(UPPER($L59)," ",""),"F",""),";",REPT(" ",30)),211,30))),0)))))</f>
        <v/>
      </c>
      <c r="O59" s="26" t="n"/>
      <c r="P59" s="6" t="n"/>
      <c r="Q59" s="13" t="n"/>
      <c r="R59" s="27">
        <f>IF($C59="","",IF($E59="Falta","-",MAX(0,MIN(10,5+IFERROR(VALUE(TRIM(MID(SUBSTITUTE(SUBSTITUTE(SUBSTITUTE(UPPER($P59)," ",""),"C",""),";",REPT(" ",30)),1,30))),0)+IFERROR(VALUE(TRIM(MID(SUBSTITUTE(SUBSTITUTE(SUBSTITUTE(UPPER($P59)," ",""),"C",""),";",REPT(" ",30)),31,30))),0)+IFERROR(VALUE(TRIM(MID(SUBSTITUTE(SUBSTITUTE(SUBSTITUTE(UPPER($P59)," ",""),"C",""),";",REPT(" ",30)),61,30))),0)+IFERROR(VALUE(TRIM(MID(SUBSTITUTE(SUBSTITUTE(SUBSTITUTE(UPPER($P59)," ",""),"C",""),";",REPT(" ",30)),91,30))),0)+IFERROR(VALUE(TRIM(MID(SUBSTITUTE(SUBSTITUTE(SUBSTITUTE(UPPER($P59)," ",""),"C",""),";",REPT(" ",30)),121,30))),0)+IFERROR(VALUE(TRIM(MID(SUBSTITUTE(SUBSTITUTE(SUBSTITUTE(UPPER($P59)," ",""),"C",""),";",REPT(" ",30)),151,30))),0)+IFERROR(VALUE(TRIM(MID(SUBSTITUTE(SUBSTITUTE(SUBSTITUTE(UPPER($P59)," ",""),"C",""),";",REPT(" ",30)),181,30))),0)+IFERROR(VALUE(TRIM(MID(SUBSTITUTE(SUBSTITUTE(SUBSTITUTE(UPPER($P59)," ",""),"C",""),";",REPT(" ",30)),211,30))),0)))))</f>
        <v/>
      </c>
      <c r="S59" s="26" t="n"/>
      <c r="T59" s="6" t="n"/>
      <c r="U59" s="13" t="n"/>
      <c r="V59" s="27">
        <f>IF($C59="","",IF($E59="Falta","-",MAX(0,MIN(10,5+IFERROR(VALUE(TRIM(MID(SUBSTITUTE(SUBSTITUTE(SUBSTITUTE(UPPER($T59)," ",""),"P",""),";",REPT(" ",30)),1,30))),0)+IFERROR(VALUE(TRIM(MID(SUBSTITUTE(SUBSTITUTE(SUBSTITUTE(UPPER($T59)," ",""),"P",""),";",REPT(" ",30)),31,30))),0)+IFERROR(VALUE(TRIM(MID(SUBSTITUTE(SUBSTITUTE(SUBSTITUTE(UPPER($T59)," ",""),"P",""),";",REPT(" ",30)),61,30))),0)+IFERROR(VALUE(TRIM(MID(SUBSTITUTE(SUBSTITUTE(SUBSTITUTE(UPPER($T59)," ",""),"P",""),";",REPT(" ",30)),91,30))),0)+IFERROR(VALUE(TRIM(MID(SUBSTITUTE(SUBSTITUTE(SUBSTITUTE(UPPER($T59)," ",""),"P",""),";",REPT(" ",30)),121,30))),0)+IFERROR(VALUE(TRIM(MID(SUBSTITUTE(SUBSTITUTE(SUBSTITUTE(UPPER($T59)," ",""),"P",""),";",REPT(" ",30)),151,30))),0)+IFERROR(VALUE(TRIM(MID(SUBSTITUTE(SUBSTITUTE(SUBSTITUTE(UPPER($T59)," ",""),"P",""),";",REPT(" ",30)),181,30))),0)+IFERROR(VALUE(TRIM(MID(SUBSTITUTE(SUBSTITUTE(SUBSTITUTE(UPPER($T59)," ",""),"P",""),";",REPT(" ",30)),211,30))),0)))))</f>
        <v/>
      </c>
      <c r="W59" s="26" t="n"/>
      <c r="X59" s="13" t="n"/>
    </row>
    <row r="60">
      <c r="A60" s="6">
        <f>IF($C60="","",12)</f>
        <v/>
      </c>
      <c r="B60" s="6">
        <f>IF($C60="","","2ª Sessão")</f>
        <v/>
      </c>
      <c r="C60" s="6">
        <f>IF(Preenchimento!$B$21="","",Preenchimento!$B$21)</f>
        <v/>
      </c>
      <c r="D60" s="6">
        <f>IF($C60="","",IF(Preenchimento!$C$21="","-",Preenchimento!$C$21))</f>
        <v/>
      </c>
      <c r="E60" s="6" t="n"/>
      <c r="F60" s="6" t="n"/>
      <c r="G60" s="26" t="n"/>
      <c r="H60" s="6" t="n"/>
      <c r="I60" s="13" t="n"/>
      <c r="J60" s="27">
        <f>IF($C60="","",IF($E60="Falta","-",MAX(0,MIN(10,8+IFERROR(VALUE(TRIM(MID(SUBSTITUTE(SUBSTITUTE(SUBSTITUTE(UPPER($H60)," ",""),"D",""),";",REPT(" ",30)),1,30))),0)+IFERROR(VALUE(TRIM(MID(SUBSTITUTE(SUBSTITUTE(SUBSTITUTE(UPPER($H60)," ",""),"D",""),";",REPT(" ",30)),31,30))),0)+IFERROR(VALUE(TRIM(MID(SUBSTITUTE(SUBSTITUTE(SUBSTITUTE(UPPER($H60)," ",""),"D",""),";",REPT(" ",30)),61,30))),0)+IFERROR(VALUE(TRIM(MID(SUBSTITUTE(SUBSTITUTE(SUBSTITUTE(UPPER($H60)," ",""),"D",""),";",REPT(" ",30)),91,30))),0)+IFERROR(VALUE(TRIM(MID(SUBSTITUTE(SUBSTITUTE(SUBSTITUTE(UPPER($H60)," ",""),"D",""),";",REPT(" ",30)),121,30))),0)+IFERROR(VALUE(TRIM(MID(SUBSTITUTE(SUBSTITUTE(SUBSTITUTE(UPPER($H60)," ",""),"D",""),";",REPT(" ",30)),151,30))),0)+IFERROR(VALUE(TRIM(MID(SUBSTITUTE(SUBSTITUTE(SUBSTITUTE(UPPER($H60)," ",""),"D",""),";",REPT(" ",30)),181,30))),0)+IFERROR(VALUE(TRIM(MID(SUBSTITUTE(SUBSTITUTE(SUBSTITUTE(UPPER($H60)," ",""),"D",""),";",REPT(" ",30)),211,30))),0)))))</f>
        <v/>
      </c>
      <c r="K60" s="26" t="n"/>
      <c r="L60" s="6" t="n"/>
      <c r="M60" s="13" t="n"/>
      <c r="N60" s="27">
        <f>IF($C60="","",IF($E60="Falta","-",MAX(0,MIN(10,8+IFERROR(VALUE(TRIM(MID(SUBSTITUTE(SUBSTITUTE(SUBSTITUTE(UPPER($L60)," ",""),"F",""),";",REPT(" ",30)),1,30))),0)+IFERROR(VALUE(TRIM(MID(SUBSTITUTE(SUBSTITUTE(SUBSTITUTE(UPPER($L60)," ",""),"F",""),";",REPT(" ",30)),31,30))),0)+IFERROR(VALUE(TRIM(MID(SUBSTITUTE(SUBSTITUTE(SUBSTITUTE(UPPER($L60)," ",""),"F",""),";",REPT(" ",30)),61,30))),0)+IFERROR(VALUE(TRIM(MID(SUBSTITUTE(SUBSTITUTE(SUBSTITUTE(UPPER($L60)," ",""),"F",""),";",REPT(" ",30)),91,30))),0)+IFERROR(VALUE(TRIM(MID(SUBSTITUTE(SUBSTITUTE(SUBSTITUTE(UPPER($L60)," ",""),"F",""),";",REPT(" ",30)),121,30))),0)+IFERROR(VALUE(TRIM(MID(SUBSTITUTE(SUBSTITUTE(SUBSTITUTE(UPPER($L60)," ",""),"F",""),";",REPT(" ",30)),151,30))),0)+IFERROR(VALUE(TRIM(MID(SUBSTITUTE(SUBSTITUTE(SUBSTITUTE(UPPER($L60)," ",""),"F",""),";",REPT(" ",30)),181,30))),0)+IFERROR(VALUE(TRIM(MID(SUBSTITUTE(SUBSTITUTE(SUBSTITUTE(UPPER($L60)," ",""),"F",""),";",REPT(" ",30)),211,30))),0)))))</f>
        <v/>
      </c>
      <c r="O60" s="26" t="n"/>
      <c r="P60" s="6" t="n"/>
      <c r="Q60" s="13" t="n"/>
      <c r="R60" s="27">
        <f>IF($C60="","",IF($E60="Falta","-",MAX(0,MIN(10,5+IFERROR(VALUE(TRIM(MID(SUBSTITUTE(SUBSTITUTE(SUBSTITUTE(UPPER($P60)," ",""),"C",""),";",REPT(" ",30)),1,30))),0)+IFERROR(VALUE(TRIM(MID(SUBSTITUTE(SUBSTITUTE(SUBSTITUTE(UPPER($P60)," ",""),"C",""),";",REPT(" ",30)),31,30))),0)+IFERROR(VALUE(TRIM(MID(SUBSTITUTE(SUBSTITUTE(SUBSTITUTE(UPPER($P60)," ",""),"C",""),";",REPT(" ",30)),61,30))),0)+IFERROR(VALUE(TRIM(MID(SUBSTITUTE(SUBSTITUTE(SUBSTITUTE(UPPER($P60)," ",""),"C",""),";",REPT(" ",30)),91,30))),0)+IFERROR(VALUE(TRIM(MID(SUBSTITUTE(SUBSTITUTE(SUBSTITUTE(UPPER($P60)," ",""),"C",""),";",REPT(" ",30)),121,30))),0)+IFERROR(VALUE(TRIM(MID(SUBSTITUTE(SUBSTITUTE(SUBSTITUTE(UPPER($P60)," ",""),"C",""),";",REPT(" ",30)),151,30))),0)+IFERROR(VALUE(TRIM(MID(SUBSTITUTE(SUBSTITUTE(SUBSTITUTE(UPPER($P60)," ",""),"C",""),";",REPT(" ",30)),181,30))),0)+IFERROR(VALUE(TRIM(MID(SUBSTITUTE(SUBSTITUTE(SUBSTITUTE(UPPER($P60)," ",""),"C",""),";",REPT(" ",30)),211,30))),0)))))</f>
        <v/>
      </c>
      <c r="S60" s="26" t="n"/>
      <c r="T60" s="6" t="n"/>
      <c r="U60" s="13" t="n"/>
      <c r="V60" s="27">
        <f>IF($C60="","",IF($E60="Falta","-",MAX(0,MIN(10,5+IFERROR(VALUE(TRIM(MID(SUBSTITUTE(SUBSTITUTE(SUBSTITUTE(UPPER($T60)," ",""),"P",""),";",REPT(" ",30)),1,30))),0)+IFERROR(VALUE(TRIM(MID(SUBSTITUTE(SUBSTITUTE(SUBSTITUTE(UPPER($T60)," ",""),"P",""),";",REPT(" ",30)),31,30))),0)+IFERROR(VALUE(TRIM(MID(SUBSTITUTE(SUBSTITUTE(SUBSTITUTE(UPPER($T60)," ",""),"P",""),";",REPT(" ",30)),61,30))),0)+IFERROR(VALUE(TRIM(MID(SUBSTITUTE(SUBSTITUTE(SUBSTITUTE(UPPER($T60)," ",""),"P",""),";",REPT(" ",30)),91,30))),0)+IFERROR(VALUE(TRIM(MID(SUBSTITUTE(SUBSTITUTE(SUBSTITUTE(UPPER($T60)," ",""),"P",""),";",REPT(" ",30)),121,30))),0)+IFERROR(VALUE(TRIM(MID(SUBSTITUTE(SUBSTITUTE(SUBSTITUTE(UPPER($T60)," ",""),"P",""),";",REPT(" ",30)),151,30))),0)+IFERROR(VALUE(TRIM(MID(SUBSTITUTE(SUBSTITUTE(SUBSTITUTE(UPPER($T60)," ",""),"P",""),";",REPT(" ",30)),181,30))),0)+IFERROR(VALUE(TRIM(MID(SUBSTITUTE(SUBSTITUTE(SUBSTITUTE(UPPER($T60)," ",""),"P",""),";",REPT(" ",30)),211,30))),0)))))</f>
        <v/>
      </c>
      <c r="W60" s="26" t="n"/>
      <c r="X60" s="13" t="n"/>
    </row>
    <row r="61">
      <c r="A61" s="6">
        <f>IF($C61="","",12)</f>
        <v/>
      </c>
      <c r="B61" s="6">
        <f>IF($C61="","","3ª Sessão")</f>
        <v/>
      </c>
      <c r="C61" s="6">
        <f>IF(Preenchimento!$B$21="","",Preenchimento!$B$21)</f>
        <v/>
      </c>
      <c r="D61" s="6">
        <f>IF($C61="","",IF(Preenchimento!$C$21="","-",Preenchimento!$C$21))</f>
        <v/>
      </c>
      <c r="E61" s="6" t="n"/>
      <c r="F61" s="6" t="n"/>
      <c r="G61" s="26" t="n"/>
      <c r="H61" s="6" t="n"/>
      <c r="I61" s="13" t="n"/>
      <c r="J61" s="27">
        <f>IF($C61="","",IF($E61="Falta","-",MAX(0,MIN(10,8+IFERROR(VALUE(TRIM(MID(SUBSTITUTE(SUBSTITUTE(SUBSTITUTE(UPPER($H61)," ",""),"D",""),";",REPT(" ",30)),1,30))),0)+IFERROR(VALUE(TRIM(MID(SUBSTITUTE(SUBSTITUTE(SUBSTITUTE(UPPER($H61)," ",""),"D",""),";",REPT(" ",30)),31,30))),0)+IFERROR(VALUE(TRIM(MID(SUBSTITUTE(SUBSTITUTE(SUBSTITUTE(UPPER($H61)," ",""),"D",""),";",REPT(" ",30)),61,30))),0)+IFERROR(VALUE(TRIM(MID(SUBSTITUTE(SUBSTITUTE(SUBSTITUTE(UPPER($H61)," ",""),"D",""),";",REPT(" ",30)),91,30))),0)+IFERROR(VALUE(TRIM(MID(SUBSTITUTE(SUBSTITUTE(SUBSTITUTE(UPPER($H61)," ",""),"D",""),";",REPT(" ",30)),121,30))),0)+IFERROR(VALUE(TRIM(MID(SUBSTITUTE(SUBSTITUTE(SUBSTITUTE(UPPER($H61)," ",""),"D",""),";",REPT(" ",30)),151,30))),0)+IFERROR(VALUE(TRIM(MID(SUBSTITUTE(SUBSTITUTE(SUBSTITUTE(UPPER($H61)," ",""),"D",""),";",REPT(" ",30)),181,30))),0)+IFERROR(VALUE(TRIM(MID(SUBSTITUTE(SUBSTITUTE(SUBSTITUTE(UPPER($H61)," ",""),"D",""),";",REPT(" ",30)),211,30))),0)))))</f>
        <v/>
      </c>
      <c r="K61" s="26" t="n"/>
      <c r="L61" s="6" t="n"/>
      <c r="M61" s="13" t="n"/>
      <c r="N61" s="27">
        <f>IF($C61="","",IF($E61="Falta","-",MAX(0,MIN(10,8+IFERROR(VALUE(TRIM(MID(SUBSTITUTE(SUBSTITUTE(SUBSTITUTE(UPPER($L61)," ",""),"F",""),";",REPT(" ",30)),1,30))),0)+IFERROR(VALUE(TRIM(MID(SUBSTITUTE(SUBSTITUTE(SUBSTITUTE(UPPER($L61)," ",""),"F",""),";",REPT(" ",30)),31,30))),0)+IFERROR(VALUE(TRIM(MID(SUBSTITUTE(SUBSTITUTE(SUBSTITUTE(UPPER($L61)," ",""),"F",""),";",REPT(" ",30)),61,30))),0)+IFERROR(VALUE(TRIM(MID(SUBSTITUTE(SUBSTITUTE(SUBSTITUTE(UPPER($L61)," ",""),"F",""),";",REPT(" ",30)),91,30))),0)+IFERROR(VALUE(TRIM(MID(SUBSTITUTE(SUBSTITUTE(SUBSTITUTE(UPPER($L61)," ",""),"F",""),";",REPT(" ",30)),121,30))),0)+IFERROR(VALUE(TRIM(MID(SUBSTITUTE(SUBSTITUTE(SUBSTITUTE(UPPER($L61)," ",""),"F",""),";",REPT(" ",30)),151,30))),0)+IFERROR(VALUE(TRIM(MID(SUBSTITUTE(SUBSTITUTE(SUBSTITUTE(UPPER($L61)," ",""),"F",""),";",REPT(" ",30)),181,30))),0)+IFERROR(VALUE(TRIM(MID(SUBSTITUTE(SUBSTITUTE(SUBSTITUTE(UPPER($L61)," ",""),"F",""),";",REPT(" ",30)),211,30))),0)))))</f>
        <v/>
      </c>
      <c r="O61" s="26" t="n"/>
      <c r="P61" s="6" t="n"/>
      <c r="Q61" s="13" t="n"/>
      <c r="R61" s="27">
        <f>IF($C61="","",IF($E61="Falta","-",MAX(0,MIN(10,5+IFERROR(VALUE(TRIM(MID(SUBSTITUTE(SUBSTITUTE(SUBSTITUTE(UPPER($P61)," ",""),"C",""),";",REPT(" ",30)),1,30))),0)+IFERROR(VALUE(TRIM(MID(SUBSTITUTE(SUBSTITUTE(SUBSTITUTE(UPPER($P61)," ",""),"C",""),";",REPT(" ",30)),31,30))),0)+IFERROR(VALUE(TRIM(MID(SUBSTITUTE(SUBSTITUTE(SUBSTITUTE(UPPER($P61)," ",""),"C",""),";",REPT(" ",30)),61,30))),0)+IFERROR(VALUE(TRIM(MID(SUBSTITUTE(SUBSTITUTE(SUBSTITUTE(UPPER($P61)," ",""),"C",""),";",REPT(" ",30)),91,30))),0)+IFERROR(VALUE(TRIM(MID(SUBSTITUTE(SUBSTITUTE(SUBSTITUTE(UPPER($P61)," ",""),"C",""),";",REPT(" ",30)),121,30))),0)+IFERROR(VALUE(TRIM(MID(SUBSTITUTE(SUBSTITUTE(SUBSTITUTE(UPPER($P61)," ",""),"C",""),";",REPT(" ",30)),151,30))),0)+IFERROR(VALUE(TRIM(MID(SUBSTITUTE(SUBSTITUTE(SUBSTITUTE(UPPER($P61)," ",""),"C",""),";",REPT(" ",30)),181,30))),0)+IFERROR(VALUE(TRIM(MID(SUBSTITUTE(SUBSTITUTE(SUBSTITUTE(UPPER($P61)," ",""),"C",""),";",REPT(" ",30)),211,30))),0)))))</f>
        <v/>
      </c>
      <c r="S61" s="26" t="n"/>
      <c r="T61" s="6" t="n"/>
      <c r="U61" s="13" t="n"/>
      <c r="V61" s="27">
        <f>IF($C61="","",IF($E61="Falta","-",MAX(0,MIN(10,5+IFERROR(VALUE(TRIM(MID(SUBSTITUTE(SUBSTITUTE(SUBSTITUTE(UPPER($T61)," ",""),"P",""),";",REPT(" ",30)),1,30))),0)+IFERROR(VALUE(TRIM(MID(SUBSTITUTE(SUBSTITUTE(SUBSTITUTE(UPPER($T61)," ",""),"P",""),";",REPT(" ",30)),31,30))),0)+IFERROR(VALUE(TRIM(MID(SUBSTITUTE(SUBSTITUTE(SUBSTITUTE(UPPER($T61)," ",""),"P",""),";",REPT(" ",30)),61,30))),0)+IFERROR(VALUE(TRIM(MID(SUBSTITUTE(SUBSTITUTE(SUBSTITUTE(UPPER($T61)," ",""),"P",""),";",REPT(" ",30)),91,30))),0)+IFERROR(VALUE(TRIM(MID(SUBSTITUTE(SUBSTITUTE(SUBSTITUTE(UPPER($T61)," ",""),"P",""),";",REPT(" ",30)),121,30))),0)+IFERROR(VALUE(TRIM(MID(SUBSTITUTE(SUBSTITUTE(SUBSTITUTE(UPPER($T61)," ",""),"P",""),";",REPT(" ",30)),151,30))),0)+IFERROR(VALUE(TRIM(MID(SUBSTITUTE(SUBSTITUTE(SUBSTITUTE(UPPER($T61)," ",""),"P",""),";",REPT(" ",30)),181,30))),0)+IFERROR(VALUE(TRIM(MID(SUBSTITUTE(SUBSTITUTE(SUBSTITUTE(UPPER($T61)," ",""),"P",""),";",REPT(" ",30)),211,30))),0)))))</f>
        <v/>
      </c>
      <c r="W61" s="26" t="n"/>
      <c r="X61" s="13" t="n"/>
    </row>
    <row r="62">
      <c r="A62" s="6">
        <f>IF($C62="","",12)</f>
        <v/>
      </c>
      <c r="B62" s="6">
        <f>IF($C62="","","4ª Sessão")</f>
        <v/>
      </c>
      <c r="C62" s="6">
        <f>IF(Preenchimento!$B$21="","",Preenchimento!$B$21)</f>
        <v/>
      </c>
      <c r="D62" s="6">
        <f>IF($C62="","",IF(Preenchimento!$C$21="","-",Preenchimento!$C$21))</f>
        <v/>
      </c>
      <c r="E62" s="6" t="n"/>
      <c r="F62" s="6" t="n"/>
      <c r="G62" s="26" t="n"/>
      <c r="H62" s="6" t="n"/>
      <c r="I62" s="13" t="n"/>
      <c r="J62" s="27">
        <f>IF($C62="","",IF($E62="Falta","-",MAX(0,MIN(10,8+IFERROR(VALUE(TRIM(MID(SUBSTITUTE(SUBSTITUTE(SUBSTITUTE(UPPER($H62)," ",""),"D",""),";",REPT(" ",30)),1,30))),0)+IFERROR(VALUE(TRIM(MID(SUBSTITUTE(SUBSTITUTE(SUBSTITUTE(UPPER($H62)," ",""),"D",""),";",REPT(" ",30)),31,30))),0)+IFERROR(VALUE(TRIM(MID(SUBSTITUTE(SUBSTITUTE(SUBSTITUTE(UPPER($H62)," ",""),"D",""),";",REPT(" ",30)),61,30))),0)+IFERROR(VALUE(TRIM(MID(SUBSTITUTE(SUBSTITUTE(SUBSTITUTE(UPPER($H62)," ",""),"D",""),";",REPT(" ",30)),91,30))),0)+IFERROR(VALUE(TRIM(MID(SUBSTITUTE(SUBSTITUTE(SUBSTITUTE(UPPER($H62)," ",""),"D",""),";",REPT(" ",30)),121,30))),0)+IFERROR(VALUE(TRIM(MID(SUBSTITUTE(SUBSTITUTE(SUBSTITUTE(UPPER($H62)," ",""),"D",""),";",REPT(" ",30)),151,30))),0)+IFERROR(VALUE(TRIM(MID(SUBSTITUTE(SUBSTITUTE(SUBSTITUTE(UPPER($H62)," ",""),"D",""),";",REPT(" ",30)),181,30))),0)+IFERROR(VALUE(TRIM(MID(SUBSTITUTE(SUBSTITUTE(SUBSTITUTE(UPPER($H62)," ",""),"D",""),";",REPT(" ",30)),211,30))),0)))))</f>
        <v/>
      </c>
      <c r="K62" s="26" t="n"/>
      <c r="L62" s="6" t="n"/>
      <c r="M62" s="13" t="n"/>
      <c r="N62" s="27">
        <f>IF($C62="","",IF($E62="Falta","-",MAX(0,MIN(10,8+IFERROR(VALUE(TRIM(MID(SUBSTITUTE(SUBSTITUTE(SUBSTITUTE(UPPER($L62)," ",""),"F",""),";",REPT(" ",30)),1,30))),0)+IFERROR(VALUE(TRIM(MID(SUBSTITUTE(SUBSTITUTE(SUBSTITUTE(UPPER($L62)," ",""),"F",""),";",REPT(" ",30)),31,30))),0)+IFERROR(VALUE(TRIM(MID(SUBSTITUTE(SUBSTITUTE(SUBSTITUTE(UPPER($L62)," ",""),"F",""),";",REPT(" ",30)),61,30))),0)+IFERROR(VALUE(TRIM(MID(SUBSTITUTE(SUBSTITUTE(SUBSTITUTE(UPPER($L62)," ",""),"F",""),";",REPT(" ",30)),91,30))),0)+IFERROR(VALUE(TRIM(MID(SUBSTITUTE(SUBSTITUTE(SUBSTITUTE(UPPER($L62)," ",""),"F",""),";",REPT(" ",30)),121,30))),0)+IFERROR(VALUE(TRIM(MID(SUBSTITUTE(SUBSTITUTE(SUBSTITUTE(UPPER($L62)," ",""),"F",""),";",REPT(" ",30)),151,30))),0)+IFERROR(VALUE(TRIM(MID(SUBSTITUTE(SUBSTITUTE(SUBSTITUTE(UPPER($L62)," ",""),"F",""),";",REPT(" ",30)),181,30))),0)+IFERROR(VALUE(TRIM(MID(SUBSTITUTE(SUBSTITUTE(SUBSTITUTE(UPPER($L62)," ",""),"F",""),";",REPT(" ",30)),211,30))),0)))))</f>
        <v/>
      </c>
      <c r="O62" s="26" t="n"/>
      <c r="P62" s="6" t="n"/>
      <c r="Q62" s="13" t="n"/>
      <c r="R62" s="27">
        <f>IF($C62="","",IF($E62="Falta","-",MAX(0,MIN(10,5+IFERROR(VALUE(TRIM(MID(SUBSTITUTE(SUBSTITUTE(SUBSTITUTE(UPPER($P62)," ",""),"C",""),";",REPT(" ",30)),1,30))),0)+IFERROR(VALUE(TRIM(MID(SUBSTITUTE(SUBSTITUTE(SUBSTITUTE(UPPER($P62)," ",""),"C",""),";",REPT(" ",30)),31,30))),0)+IFERROR(VALUE(TRIM(MID(SUBSTITUTE(SUBSTITUTE(SUBSTITUTE(UPPER($P62)," ",""),"C",""),";",REPT(" ",30)),61,30))),0)+IFERROR(VALUE(TRIM(MID(SUBSTITUTE(SUBSTITUTE(SUBSTITUTE(UPPER($P62)," ",""),"C",""),";",REPT(" ",30)),91,30))),0)+IFERROR(VALUE(TRIM(MID(SUBSTITUTE(SUBSTITUTE(SUBSTITUTE(UPPER($P62)," ",""),"C",""),";",REPT(" ",30)),121,30))),0)+IFERROR(VALUE(TRIM(MID(SUBSTITUTE(SUBSTITUTE(SUBSTITUTE(UPPER($P62)," ",""),"C",""),";",REPT(" ",30)),151,30))),0)+IFERROR(VALUE(TRIM(MID(SUBSTITUTE(SUBSTITUTE(SUBSTITUTE(UPPER($P62)," ",""),"C",""),";",REPT(" ",30)),181,30))),0)+IFERROR(VALUE(TRIM(MID(SUBSTITUTE(SUBSTITUTE(SUBSTITUTE(UPPER($P62)," ",""),"C",""),";",REPT(" ",30)),211,30))),0)))))</f>
        <v/>
      </c>
      <c r="S62" s="26" t="n"/>
      <c r="T62" s="6" t="n"/>
      <c r="U62" s="13" t="n"/>
      <c r="V62" s="27">
        <f>IF($C62="","",IF($E62="Falta","-",MAX(0,MIN(10,5+IFERROR(VALUE(TRIM(MID(SUBSTITUTE(SUBSTITUTE(SUBSTITUTE(UPPER($T62)," ",""),"P",""),";",REPT(" ",30)),1,30))),0)+IFERROR(VALUE(TRIM(MID(SUBSTITUTE(SUBSTITUTE(SUBSTITUTE(UPPER($T62)," ",""),"P",""),";",REPT(" ",30)),31,30))),0)+IFERROR(VALUE(TRIM(MID(SUBSTITUTE(SUBSTITUTE(SUBSTITUTE(UPPER($T62)," ",""),"P",""),";",REPT(" ",30)),61,30))),0)+IFERROR(VALUE(TRIM(MID(SUBSTITUTE(SUBSTITUTE(SUBSTITUTE(UPPER($T62)," ",""),"P",""),";",REPT(" ",30)),91,30))),0)+IFERROR(VALUE(TRIM(MID(SUBSTITUTE(SUBSTITUTE(SUBSTITUTE(UPPER($T62)," ",""),"P",""),";",REPT(" ",30)),121,30))),0)+IFERROR(VALUE(TRIM(MID(SUBSTITUTE(SUBSTITUTE(SUBSTITUTE(UPPER($T62)," ",""),"P",""),";",REPT(" ",30)),151,30))),0)+IFERROR(VALUE(TRIM(MID(SUBSTITUTE(SUBSTITUTE(SUBSTITUTE(UPPER($T62)," ",""),"P",""),";",REPT(" ",30)),181,30))),0)+IFERROR(VALUE(TRIM(MID(SUBSTITUTE(SUBSTITUTE(SUBSTITUTE(UPPER($T62)," ",""),"P",""),";",REPT(" ",30)),211,30))),0)))))</f>
        <v/>
      </c>
      <c r="W62" s="26" t="n"/>
      <c r="X62" s="13" t="n"/>
    </row>
    <row r="63">
      <c r="A63" s="6">
        <f>IF($C63="","",12)</f>
        <v/>
      </c>
      <c r="B63" s="6">
        <f>IF($C63="","","5ª Sessão")</f>
        <v/>
      </c>
      <c r="C63" s="6">
        <f>IF(Preenchimento!$B$21="","",Preenchimento!$B$21)</f>
        <v/>
      </c>
      <c r="D63" s="6">
        <f>IF($C63="","",IF(Preenchimento!$C$21="","-",Preenchimento!$C$21))</f>
        <v/>
      </c>
      <c r="E63" s="6" t="n"/>
      <c r="F63" s="6" t="n"/>
      <c r="G63" s="26" t="n"/>
      <c r="H63" s="6" t="n"/>
      <c r="I63" s="13" t="n"/>
      <c r="J63" s="27">
        <f>IF($C63="","",IF($E63="Falta","-",MAX(0,MIN(10,8+IFERROR(VALUE(TRIM(MID(SUBSTITUTE(SUBSTITUTE(SUBSTITUTE(UPPER($H63)," ",""),"D",""),";",REPT(" ",30)),1,30))),0)+IFERROR(VALUE(TRIM(MID(SUBSTITUTE(SUBSTITUTE(SUBSTITUTE(UPPER($H63)," ",""),"D",""),";",REPT(" ",30)),31,30))),0)+IFERROR(VALUE(TRIM(MID(SUBSTITUTE(SUBSTITUTE(SUBSTITUTE(UPPER($H63)," ",""),"D",""),";",REPT(" ",30)),61,30))),0)+IFERROR(VALUE(TRIM(MID(SUBSTITUTE(SUBSTITUTE(SUBSTITUTE(UPPER($H63)," ",""),"D",""),";",REPT(" ",30)),91,30))),0)+IFERROR(VALUE(TRIM(MID(SUBSTITUTE(SUBSTITUTE(SUBSTITUTE(UPPER($H63)," ",""),"D",""),";",REPT(" ",30)),121,30))),0)+IFERROR(VALUE(TRIM(MID(SUBSTITUTE(SUBSTITUTE(SUBSTITUTE(UPPER($H63)," ",""),"D",""),";",REPT(" ",30)),151,30))),0)+IFERROR(VALUE(TRIM(MID(SUBSTITUTE(SUBSTITUTE(SUBSTITUTE(UPPER($H63)," ",""),"D",""),";",REPT(" ",30)),181,30))),0)+IFERROR(VALUE(TRIM(MID(SUBSTITUTE(SUBSTITUTE(SUBSTITUTE(UPPER($H63)," ",""),"D",""),";",REPT(" ",30)),211,30))),0)))))</f>
        <v/>
      </c>
      <c r="K63" s="26" t="n"/>
      <c r="L63" s="6" t="n"/>
      <c r="M63" s="13" t="n"/>
      <c r="N63" s="27">
        <f>IF($C63="","",IF($E63="Falta","-",MAX(0,MIN(10,8+IFERROR(VALUE(TRIM(MID(SUBSTITUTE(SUBSTITUTE(SUBSTITUTE(UPPER($L63)," ",""),"F",""),";",REPT(" ",30)),1,30))),0)+IFERROR(VALUE(TRIM(MID(SUBSTITUTE(SUBSTITUTE(SUBSTITUTE(UPPER($L63)," ",""),"F",""),";",REPT(" ",30)),31,30))),0)+IFERROR(VALUE(TRIM(MID(SUBSTITUTE(SUBSTITUTE(SUBSTITUTE(UPPER($L63)," ",""),"F",""),";",REPT(" ",30)),61,30))),0)+IFERROR(VALUE(TRIM(MID(SUBSTITUTE(SUBSTITUTE(SUBSTITUTE(UPPER($L63)," ",""),"F",""),";",REPT(" ",30)),91,30))),0)+IFERROR(VALUE(TRIM(MID(SUBSTITUTE(SUBSTITUTE(SUBSTITUTE(UPPER($L63)," ",""),"F",""),";",REPT(" ",30)),121,30))),0)+IFERROR(VALUE(TRIM(MID(SUBSTITUTE(SUBSTITUTE(SUBSTITUTE(UPPER($L63)," ",""),"F",""),";",REPT(" ",30)),151,30))),0)+IFERROR(VALUE(TRIM(MID(SUBSTITUTE(SUBSTITUTE(SUBSTITUTE(UPPER($L63)," ",""),"F",""),";",REPT(" ",30)),181,30))),0)+IFERROR(VALUE(TRIM(MID(SUBSTITUTE(SUBSTITUTE(SUBSTITUTE(UPPER($L63)," ",""),"F",""),";",REPT(" ",30)),211,30))),0)))))</f>
        <v/>
      </c>
      <c r="O63" s="26" t="n"/>
      <c r="P63" s="6" t="n"/>
      <c r="Q63" s="13" t="n"/>
      <c r="R63" s="27">
        <f>IF($C63="","",IF($E63="Falta","-",MAX(0,MIN(10,5+IFERROR(VALUE(TRIM(MID(SUBSTITUTE(SUBSTITUTE(SUBSTITUTE(UPPER($P63)," ",""),"C",""),";",REPT(" ",30)),1,30))),0)+IFERROR(VALUE(TRIM(MID(SUBSTITUTE(SUBSTITUTE(SUBSTITUTE(UPPER($P63)," ",""),"C",""),";",REPT(" ",30)),31,30))),0)+IFERROR(VALUE(TRIM(MID(SUBSTITUTE(SUBSTITUTE(SUBSTITUTE(UPPER($P63)," ",""),"C",""),";",REPT(" ",30)),61,30))),0)+IFERROR(VALUE(TRIM(MID(SUBSTITUTE(SUBSTITUTE(SUBSTITUTE(UPPER($P63)," ",""),"C",""),";",REPT(" ",30)),91,30))),0)+IFERROR(VALUE(TRIM(MID(SUBSTITUTE(SUBSTITUTE(SUBSTITUTE(UPPER($P63)," ",""),"C",""),";",REPT(" ",30)),121,30))),0)+IFERROR(VALUE(TRIM(MID(SUBSTITUTE(SUBSTITUTE(SUBSTITUTE(UPPER($P63)," ",""),"C",""),";",REPT(" ",30)),151,30))),0)+IFERROR(VALUE(TRIM(MID(SUBSTITUTE(SUBSTITUTE(SUBSTITUTE(UPPER($P63)," ",""),"C",""),";",REPT(" ",30)),181,30))),0)+IFERROR(VALUE(TRIM(MID(SUBSTITUTE(SUBSTITUTE(SUBSTITUTE(UPPER($P63)," ",""),"C",""),";",REPT(" ",30)),211,30))),0)))))</f>
        <v/>
      </c>
      <c r="S63" s="26" t="n"/>
      <c r="T63" s="6" t="n"/>
      <c r="U63" s="13" t="n"/>
      <c r="V63" s="27">
        <f>IF($C63="","",IF($E63="Falta","-",MAX(0,MIN(10,5+IFERROR(VALUE(TRIM(MID(SUBSTITUTE(SUBSTITUTE(SUBSTITUTE(UPPER($T63)," ",""),"P",""),";",REPT(" ",30)),1,30))),0)+IFERROR(VALUE(TRIM(MID(SUBSTITUTE(SUBSTITUTE(SUBSTITUTE(UPPER($T63)," ",""),"P",""),";",REPT(" ",30)),31,30))),0)+IFERROR(VALUE(TRIM(MID(SUBSTITUTE(SUBSTITUTE(SUBSTITUTE(UPPER($T63)," ",""),"P",""),";",REPT(" ",30)),61,30))),0)+IFERROR(VALUE(TRIM(MID(SUBSTITUTE(SUBSTITUTE(SUBSTITUTE(UPPER($T63)," ",""),"P",""),";",REPT(" ",30)),91,30))),0)+IFERROR(VALUE(TRIM(MID(SUBSTITUTE(SUBSTITUTE(SUBSTITUTE(UPPER($T63)," ",""),"P",""),";",REPT(" ",30)),121,30))),0)+IFERROR(VALUE(TRIM(MID(SUBSTITUTE(SUBSTITUTE(SUBSTITUTE(UPPER($T63)," ",""),"P",""),";",REPT(" ",30)),151,30))),0)+IFERROR(VALUE(TRIM(MID(SUBSTITUTE(SUBSTITUTE(SUBSTITUTE(UPPER($T63)," ",""),"P",""),";",REPT(" ",30)),181,30))),0)+IFERROR(VALUE(TRIM(MID(SUBSTITUTE(SUBSTITUTE(SUBSTITUTE(UPPER($T63)," ",""),"P",""),";",REPT(" ",30)),211,30))),0)))))</f>
        <v/>
      </c>
      <c r="W63" s="26" t="n"/>
      <c r="X63" s="13" t="n"/>
    </row>
    <row r="64">
      <c r="A64" s="8">
        <f>IF($C64="","",13)</f>
        <v/>
      </c>
      <c r="B64" s="8">
        <f>IF($C64="","","1ª Sessão")</f>
        <v/>
      </c>
      <c r="C64" s="8">
        <f>IF(Preenchimento!$B$22="","",Preenchimento!$B$22)</f>
        <v/>
      </c>
      <c r="D64" s="8">
        <f>IF($C64="","",IF(Preenchimento!$C$22="","-",Preenchimento!$C$22))</f>
        <v/>
      </c>
      <c r="E64" s="8" t="n"/>
      <c r="F64" s="8" t="n"/>
      <c r="G64" s="24" t="n"/>
      <c r="H64" s="8" t="n"/>
      <c r="I64" s="14" t="n"/>
      <c r="J64" s="25">
        <f>IF($C64="","",IF($E64="Falta","-",MAX(0,MIN(10,8+IFERROR(VALUE(TRIM(MID(SUBSTITUTE(SUBSTITUTE(SUBSTITUTE(UPPER($H64)," ",""),"D",""),";",REPT(" ",30)),1,30))),0)+IFERROR(VALUE(TRIM(MID(SUBSTITUTE(SUBSTITUTE(SUBSTITUTE(UPPER($H64)," ",""),"D",""),";",REPT(" ",30)),31,30))),0)+IFERROR(VALUE(TRIM(MID(SUBSTITUTE(SUBSTITUTE(SUBSTITUTE(UPPER($H64)," ",""),"D",""),";",REPT(" ",30)),61,30))),0)+IFERROR(VALUE(TRIM(MID(SUBSTITUTE(SUBSTITUTE(SUBSTITUTE(UPPER($H64)," ",""),"D",""),";",REPT(" ",30)),91,30))),0)+IFERROR(VALUE(TRIM(MID(SUBSTITUTE(SUBSTITUTE(SUBSTITUTE(UPPER($H64)," ",""),"D",""),";",REPT(" ",30)),121,30))),0)+IFERROR(VALUE(TRIM(MID(SUBSTITUTE(SUBSTITUTE(SUBSTITUTE(UPPER($H64)," ",""),"D",""),";",REPT(" ",30)),151,30))),0)+IFERROR(VALUE(TRIM(MID(SUBSTITUTE(SUBSTITUTE(SUBSTITUTE(UPPER($H64)," ",""),"D",""),";",REPT(" ",30)),181,30))),0)+IFERROR(VALUE(TRIM(MID(SUBSTITUTE(SUBSTITUTE(SUBSTITUTE(UPPER($H64)," ",""),"D",""),";",REPT(" ",30)),211,30))),0)))))</f>
        <v/>
      </c>
      <c r="K64" s="24" t="n"/>
      <c r="L64" s="8" t="n"/>
      <c r="M64" s="14" t="n"/>
      <c r="N64" s="25">
        <f>IF($C64="","",IF($E64="Falta","-",MAX(0,MIN(10,8+IFERROR(VALUE(TRIM(MID(SUBSTITUTE(SUBSTITUTE(SUBSTITUTE(UPPER($L64)," ",""),"F",""),";",REPT(" ",30)),1,30))),0)+IFERROR(VALUE(TRIM(MID(SUBSTITUTE(SUBSTITUTE(SUBSTITUTE(UPPER($L64)," ",""),"F",""),";",REPT(" ",30)),31,30))),0)+IFERROR(VALUE(TRIM(MID(SUBSTITUTE(SUBSTITUTE(SUBSTITUTE(UPPER($L64)," ",""),"F",""),";",REPT(" ",30)),61,30))),0)+IFERROR(VALUE(TRIM(MID(SUBSTITUTE(SUBSTITUTE(SUBSTITUTE(UPPER($L64)," ",""),"F",""),";",REPT(" ",30)),91,30))),0)+IFERROR(VALUE(TRIM(MID(SUBSTITUTE(SUBSTITUTE(SUBSTITUTE(UPPER($L64)," ",""),"F",""),";",REPT(" ",30)),121,30))),0)+IFERROR(VALUE(TRIM(MID(SUBSTITUTE(SUBSTITUTE(SUBSTITUTE(UPPER($L64)," ",""),"F",""),";",REPT(" ",30)),151,30))),0)+IFERROR(VALUE(TRIM(MID(SUBSTITUTE(SUBSTITUTE(SUBSTITUTE(UPPER($L64)," ",""),"F",""),";",REPT(" ",30)),181,30))),0)+IFERROR(VALUE(TRIM(MID(SUBSTITUTE(SUBSTITUTE(SUBSTITUTE(UPPER($L64)," ",""),"F",""),";",REPT(" ",30)),211,30))),0)))))</f>
        <v/>
      </c>
      <c r="O64" s="24" t="n"/>
      <c r="P64" s="8" t="n"/>
      <c r="Q64" s="14" t="n"/>
      <c r="R64" s="25">
        <f>IF($C64="","",IF($E64="Falta","-",MAX(0,MIN(10,5+IFERROR(VALUE(TRIM(MID(SUBSTITUTE(SUBSTITUTE(SUBSTITUTE(UPPER($P64)," ",""),"C",""),";",REPT(" ",30)),1,30))),0)+IFERROR(VALUE(TRIM(MID(SUBSTITUTE(SUBSTITUTE(SUBSTITUTE(UPPER($P64)," ",""),"C",""),";",REPT(" ",30)),31,30))),0)+IFERROR(VALUE(TRIM(MID(SUBSTITUTE(SUBSTITUTE(SUBSTITUTE(UPPER($P64)," ",""),"C",""),";",REPT(" ",30)),61,30))),0)+IFERROR(VALUE(TRIM(MID(SUBSTITUTE(SUBSTITUTE(SUBSTITUTE(UPPER($P64)," ",""),"C",""),";",REPT(" ",30)),91,30))),0)+IFERROR(VALUE(TRIM(MID(SUBSTITUTE(SUBSTITUTE(SUBSTITUTE(UPPER($P64)," ",""),"C",""),";",REPT(" ",30)),121,30))),0)+IFERROR(VALUE(TRIM(MID(SUBSTITUTE(SUBSTITUTE(SUBSTITUTE(UPPER($P64)," ",""),"C",""),";",REPT(" ",30)),151,30))),0)+IFERROR(VALUE(TRIM(MID(SUBSTITUTE(SUBSTITUTE(SUBSTITUTE(UPPER($P64)," ",""),"C",""),";",REPT(" ",30)),181,30))),0)+IFERROR(VALUE(TRIM(MID(SUBSTITUTE(SUBSTITUTE(SUBSTITUTE(UPPER($P64)," ",""),"C",""),";",REPT(" ",30)),211,30))),0)))))</f>
        <v/>
      </c>
      <c r="S64" s="24" t="n"/>
      <c r="T64" s="8" t="n"/>
      <c r="U64" s="14" t="n"/>
      <c r="V64" s="25">
        <f>IF($C64="","",IF($E64="Falta","-",MAX(0,MIN(10,5+IFERROR(VALUE(TRIM(MID(SUBSTITUTE(SUBSTITUTE(SUBSTITUTE(UPPER($T64)," ",""),"P",""),";",REPT(" ",30)),1,30))),0)+IFERROR(VALUE(TRIM(MID(SUBSTITUTE(SUBSTITUTE(SUBSTITUTE(UPPER($T64)," ",""),"P",""),";",REPT(" ",30)),31,30))),0)+IFERROR(VALUE(TRIM(MID(SUBSTITUTE(SUBSTITUTE(SUBSTITUTE(UPPER($T64)," ",""),"P",""),";",REPT(" ",30)),61,30))),0)+IFERROR(VALUE(TRIM(MID(SUBSTITUTE(SUBSTITUTE(SUBSTITUTE(UPPER($T64)," ",""),"P",""),";",REPT(" ",30)),91,30))),0)+IFERROR(VALUE(TRIM(MID(SUBSTITUTE(SUBSTITUTE(SUBSTITUTE(UPPER($T64)," ",""),"P",""),";",REPT(" ",30)),121,30))),0)+IFERROR(VALUE(TRIM(MID(SUBSTITUTE(SUBSTITUTE(SUBSTITUTE(UPPER($T64)," ",""),"P",""),";",REPT(" ",30)),151,30))),0)+IFERROR(VALUE(TRIM(MID(SUBSTITUTE(SUBSTITUTE(SUBSTITUTE(UPPER($T64)," ",""),"P",""),";",REPT(" ",30)),181,30))),0)+IFERROR(VALUE(TRIM(MID(SUBSTITUTE(SUBSTITUTE(SUBSTITUTE(UPPER($T64)," ",""),"P",""),";",REPT(" ",30)),211,30))),0)))))</f>
        <v/>
      </c>
      <c r="W64" s="24" t="n"/>
      <c r="X64" s="14" t="n"/>
    </row>
    <row r="65">
      <c r="A65" s="8">
        <f>IF($C65="","",13)</f>
        <v/>
      </c>
      <c r="B65" s="8">
        <f>IF($C65="","","2ª Sessão")</f>
        <v/>
      </c>
      <c r="C65" s="8">
        <f>IF(Preenchimento!$B$22="","",Preenchimento!$B$22)</f>
        <v/>
      </c>
      <c r="D65" s="8">
        <f>IF($C65="","",IF(Preenchimento!$C$22="","-",Preenchimento!$C$22))</f>
        <v/>
      </c>
      <c r="E65" s="8" t="n"/>
      <c r="F65" s="8" t="n"/>
      <c r="G65" s="24" t="n"/>
      <c r="H65" s="8" t="n"/>
      <c r="I65" s="14" t="n"/>
      <c r="J65" s="25">
        <f>IF($C65="","",IF($E65="Falta","-",MAX(0,MIN(10,8+IFERROR(VALUE(TRIM(MID(SUBSTITUTE(SUBSTITUTE(SUBSTITUTE(UPPER($H65)," ",""),"D",""),";",REPT(" ",30)),1,30))),0)+IFERROR(VALUE(TRIM(MID(SUBSTITUTE(SUBSTITUTE(SUBSTITUTE(UPPER($H65)," ",""),"D",""),";",REPT(" ",30)),31,30))),0)+IFERROR(VALUE(TRIM(MID(SUBSTITUTE(SUBSTITUTE(SUBSTITUTE(UPPER($H65)," ",""),"D",""),";",REPT(" ",30)),61,30))),0)+IFERROR(VALUE(TRIM(MID(SUBSTITUTE(SUBSTITUTE(SUBSTITUTE(UPPER($H65)," ",""),"D",""),";",REPT(" ",30)),91,30))),0)+IFERROR(VALUE(TRIM(MID(SUBSTITUTE(SUBSTITUTE(SUBSTITUTE(UPPER($H65)," ",""),"D",""),";",REPT(" ",30)),121,30))),0)+IFERROR(VALUE(TRIM(MID(SUBSTITUTE(SUBSTITUTE(SUBSTITUTE(UPPER($H65)," ",""),"D",""),";",REPT(" ",30)),151,30))),0)+IFERROR(VALUE(TRIM(MID(SUBSTITUTE(SUBSTITUTE(SUBSTITUTE(UPPER($H65)," ",""),"D",""),";",REPT(" ",30)),181,30))),0)+IFERROR(VALUE(TRIM(MID(SUBSTITUTE(SUBSTITUTE(SUBSTITUTE(UPPER($H65)," ",""),"D",""),";",REPT(" ",30)),211,30))),0)))))</f>
        <v/>
      </c>
      <c r="K65" s="24" t="n"/>
      <c r="L65" s="8" t="n"/>
      <c r="M65" s="14" t="n"/>
      <c r="N65" s="25">
        <f>IF($C65="","",IF($E65="Falta","-",MAX(0,MIN(10,8+IFERROR(VALUE(TRIM(MID(SUBSTITUTE(SUBSTITUTE(SUBSTITUTE(UPPER($L65)," ",""),"F",""),";",REPT(" ",30)),1,30))),0)+IFERROR(VALUE(TRIM(MID(SUBSTITUTE(SUBSTITUTE(SUBSTITUTE(UPPER($L65)," ",""),"F",""),";",REPT(" ",30)),31,30))),0)+IFERROR(VALUE(TRIM(MID(SUBSTITUTE(SUBSTITUTE(SUBSTITUTE(UPPER($L65)," ",""),"F",""),";",REPT(" ",30)),61,30))),0)+IFERROR(VALUE(TRIM(MID(SUBSTITUTE(SUBSTITUTE(SUBSTITUTE(UPPER($L65)," ",""),"F",""),";",REPT(" ",30)),91,30))),0)+IFERROR(VALUE(TRIM(MID(SUBSTITUTE(SUBSTITUTE(SUBSTITUTE(UPPER($L65)," ",""),"F",""),";",REPT(" ",30)),121,30))),0)+IFERROR(VALUE(TRIM(MID(SUBSTITUTE(SUBSTITUTE(SUBSTITUTE(UPPER($L65)," ",""),"F",""),";",REPT(" ",30)),151,30))),0)+IFERROR(VALUE(TRIM(MID(SUBSTITUTE(SUBSTITUTE(SUBSTITUTE(UPPER($L65)," ",""),"F",""),";",REPT(" ",30)),181,30))),0)+IFERROR(VALUE(TRIM(MID(SUBSTITUTE(SUBSTITUTE(SUBSTITUTE(UPPER($L65)," ",""),"F",""),";",REPT(" ",30)),211,30))),0)))))</f>
        <v/>
      </c>
      <c r="O65" s="24" t="n"/>
      <c r="P65" s="8" t="n"/>
      <c r="Q65" s="14" t="n"/>
      <c r="R65" s="25">
        <f>IF($C65="","",IF($E65="Falta","-",MAX(0,MIN(10,5+IFERROR(VALUE(TRIM(MID(SUBSTITUTE(SUBSTITUTE(SUBSTITUTE(UPPER($P65)," ",""),"C",""),";",REPT(" ",30)),1,30))),0)+IFERROR(VALUE(TRIM(MID(SUBSTITUTE(SUBSTITUTE(SUBSTITUTE(UPPER($P65)," ",""),"C",""),";",REPT(" ",30)),31,30))),0)+IFERROR(VALUE(TRIM(MID(SUBSTITUTE(SUBSTITUTE(SUBSTITUTE(UPPER($P65)," ",""),"C",""),";",REPT(" ",30)),61,30))),0)+IFERROR(VALUE(TRIM(MID(SUBSTITUTE(SUBSTITUTE(SUBSTITUTE(UPPER($P65)," ",""),"C",""),";",REPT(" ",30)),91,30))),0)+IFERROR(VALUE(TRIM(MID(SUBSTITUTE(SUBSTITUTE(SUBSTITUTE(UPPER($P65)," ",""),"C",""),";",REPT(" ",30)),121,30))),0)+IFERROR(VALUE(TRIM(MID(SUBSTITUTE(SUBSTITUTE(SUBSTITUTE(UPPER($P65)," ",""),"C",""),";",REPT(" ",30)),151,30))),0)+IFERROR(VALUE(TRIM(MID(SUBSTITUTE(SUBSTITUTE(SUBSTITUTE(UPPER($P65)," ",""),"C",""),";",REPT(" ",30)),181,30))),0)+IFERROR(VALUE(TRIM(MID(SUBSTITUTE(SUBSTITUTE(SUBSTITUTE(UPPER($P65)," ",""),"C",""),";",REPT(" ",30)),211,30))),0)))))</f>
        <v/>
      </c>
      <c r="S65" s="24" t="n"/>
      <c r="T65" s="8" t="n"/>
      <c r="U65" s="14" t="n"/>
      <c r="V65" s="25">
        <f>IF($C65="","",IF($E65="Falta","-",MAX(0,MIN(10,5+IFERROR(VALUE(TRIM(MID(SUBSTITUTE(SUBSTITUTE(SUBSTITUTE(UPPER($T65)," ",""),"P",""),";",REPT(" ",30)),1,30))),0)+IFERROR(VALUE(TRIM(MID(SUBSTITUTE(SUBSTITUTE(SUBSTITUTE(UPPER($T65)," ",""),"P",""),";",REPT(" ",30)),31,30))),0)+IFERROR(VALUE(TRIM(MID(SUBSTITUTE(SUBSTITUTE(SUBSTITUTE(UPPER($T65)," ",""),"P",""),";",REPT(" ",30)),61,30))),0)+IFERROR(VALUE(TRIM(MID(SUBSTITUTE(SUBSTITUTE(SUBSTITUTE(UPPER($T65)," ",""),"P",""),";",REPT(" ",30)),91,30))),0)+IFERROR(VALUE(TRIM(MID(SUBSTITUTE(SUBSTITUTE(SUBSTITUTE(UPPER($T65)," ",""),"P",""),";",REPT(" ",30)),121,30))),0)+IFERROR(VALUE(TRIM(MID(SUBSTITUTE(SUBSTITUTE(SUBSTITUTE(UPPER($T65)," ",""),"P",""),";",REPT(" ",30)),151,30))),0)+IFERROR(VALUE(TRIM(MID(SUBSTITUTE(SUBSTITUTE(SUBSTITUTE(UPPER($T65)," ",""),"P",""),";",REPT(" ",30)),181,30))),0)+IFERROR(VALUE(TRIM(MID(SUBSTITUTE(SUBSTITUTE(SUBSTITUTE(UPPER($T65)," ",""),"P",""),";",REPT(" ",30)),211,30))),0)))))</f>
        <v/>
      </c>
      <c r="W65" s="24" t="n"/>
      <c r="X65" s="14" t="n"/>
    </row>
    <row r="66">
      <c r="A66" s="8">
        <f>IF($C66="","",13)</f>
        <v/>
      </c>
      <c r="B66" s="8">
        <f>IF($C66="","","3ª Sessão")</f>
        <v/>
      </c>
      <c r="C66" s="8">
        <f>IF(Preenchimento!$B$22="","",Preenchimento!$B$22)</f>
        <v/>
      </c>
      <c r="D66" s="8">
        <f>IF($C66="","",IF(Preenchimento!$C$22="","-",Preenchimento!$C$22))</f>
        <v/>
      </c>
      <c r="E66" s="8" t="n"/>
      <c r="F66" s="8" t="n"/>
      <c r="G66" s="24" t="n"/>
      <c r="H66" s="8" t="n"/>
      <c r="I66" s="14" t="n"/>
      <c r="J66" s="25">
        <f>IF($C66="","",IF($E66="Falta","-",MAX(0,MIN(10,8+IFERROR(VALUE(TRIM(MID(SUBSTITUTE(SUBSTITUTE(SUBSTITUTE(UPPER($H66)," ",""),"D",""),";",REPT(" ",30)),1,30))),0)+IFERROR(VALUE(TRIM(MID(SUBSTITUTE(SUBSTITUTE(SUBSTITUTE(UPPER($H66)," ",""),"D",""),";",REPT(" ",30)),31,30))),0)+IFERROR(VALUE(TRIM(MID(SUBSTITUTE(SUBSTITUTE(SUBSTITUTE(UPPER($H66)," ",""),"D",""),";",REPT(" ",30)),61,30))),0)+IFERROR(VALUE(TRIM(MID(SUBSTITUTE(SUBSTITUTE(SUBSTITUTE(UPPER($H66)," ",""),"D",""),";",REPT(" ",30)),91,30))),0)+IFERROR(VALUE(TRIM(MID(SUBSTITUTE(SUBSTITUTE(SUBSTITUTE(UPPER($H66)," ",""),"D",""),";",REPT(" ",30)),121,30))),0)+IFERROR(VALUE(TRIM(MID(SUBSTITUTE(SUBSTITUTE(SUBSTITUTE(UPPER($H66)," ",""),"D",""),";",REPT(" ",30)),151,30))),0)+IFERROR(VALUE(TRIM(MID(SUBSTITUTE(SUBSTITUTE(SUBSTITUTE(UPPER($H66)," ",""),"D",""),";",REPT(" ",30)),181,30))),0)+IFERROR(VALUE(TRIM(MID(SUBSTITUTE(SUBSTITUTE(SUBSTITUTE(UPPER($H66)," ",""),"D",""),";",REPT(" ",30)),211,30))),0)))))</f>
        <v/>
      </c>
      <c r="K66" s="24" t="n"/>
      <c r="L66" s="8" t="n"/>
      <c r="M66" s="14" t="n"/>
      <c r="N66" s="25">
        <f>IF($C66="","",IF($E66="Falta","-",MAX(0,MIN(10,8+IFERROR(VALUE(TRIM(MID(SUBSTITUTE(SUBSTITUTE(SUBSTITUTE(UPPER($L66)," ",""),"F",""),";",REPT(" ",30)),1,30))),0)+IFERROR(VALUE(TRIM(MID(SUBSTITUTE(SUBSTITUTE(SUBSTITUTE(UPPER($L66)," ",""),"F",""),";",REPT(" ",30)),31,30))),0)+IFERROR(VALUE(TRIM(MID(SUBSTITUTE(SUBSTITUTE(SUBSTITUTE(UPPER($L66)," ",""),"F",""),";",REPT(" ",30)),61,30))),0)+IFERROR(VALUE(TRIM(MID(SUBSTITUTE(SUBSTITUTE(SUBSTITUTE(UPPER($L66)," ",""),"F",""),";",REPT(" ",30)),91,30))),0)+IFERROR(VALUE(TRIM(MID(SUBSTITUTE(SUBSTITUTE(SUBSTITUTE(UPPER($L66)," ",""),"F",""),";",REPT(" ",30)),121,30))),0)+IFERROR(VALUE(TRIM(MID(SUBSTITUTE(SUBSTITUTE(SUBSTITUTE(UPPER($L66)," ",""),"F",""),";",REPT(" ",30)),151,30))),0)+IFERROR(VALUE(TRIM(MID(SUBSTITUTE(SUBSTITUTE(SUBSTITUTE(UPPER($L66)," ",""),"F",""),";",REPT(" ",30)),181,30))),0)+IFERROR(VALUE(TRIM(MID(SUBSTITUTE(SUBSTITUTE(SUBSTITUTE(UPPER($L66)," ",""),"F",""),";",REPT(" ",30)),211,30))),0)))))</f>
        <v/>
      </c>
      <c r="O66" s="24" t="n"/>
      <c r="P66" s="8" t="n"/>
      <c r="Q66" s="14" t="n"/>
      <c r="R66" s="25">
        <f>IF($C66="","",IF($E66="Falta","-",MAX(0,MIN(10,5+IFERROR(VALUE(TRIM(MID(SUBSTITUTE(SUBSTITUTE(SUBSTITUTE(UPPER($P66)," ",""),"C",""),";",REPT(" ",30)),1,30))),0)+IFERROR(VALUE(TRIM(MID(SUBSTITUTE(SUBSTITUTE(SUBSTITUTE(UPPER($P66)," ",""),"C",""),";",REPT(" ",30)),31,30))),0)+IFERROR(VALUE(TRIM(MID(SUBSTITUTE(SUBSTITUTE(SUBSTITUTE(UPPER($P66)," ",""),"C",""),";",REPT(" ",30)),61,30))),0)+IFERROR(VALUE(TRIM(MID(SUBSTITUTE(SUBSTITUTE(SUBSTITUTE(UPPER($P66)," ",""),"C",""),";",REPT(" ",30)),91,30))),0)+IFERROR(VALUE(TRIM(MID(SUBSTITUTE(SUBSTITUTE(SUBSTITUTE(UPPER($P66)," ",""),"C",""),";",REPT(" ",30)),121,30))),0)+IFERROR(VALUE(TRIM(MID(SUBSTITUTE(SUBSTITUTE(SUBSTITUTE(UPPER($P66)," ",""),"C",""),";",REPT(" ",30)),151,30))),0)+IFERROR(VALUE(TRIM(MID(SUBSTITUTE(SUBSTITUTE(SUBSTITUTE(UPPER($P66)," ",""),"C",""),";",REPT(" ",30)),181,30))),0)+IFERROR(VALUE(TRIM(MID(SUBSTITUTE(SUBSTITUTE(SUBSTITUTE(UPPER($P66)," ",""),"C",""),";",REPT(" ",30)),211,30))),0)))))</f>
        <v/>
      </c>
      <c r="S66" s="24" t="n"/>
      <c r="T66" s="8" t="n"/>
      <c r="U66" s="14" t="n"/>
      <c r="V66" s="25">
        <f>IF($C66="","",IF($E66="Falta","-",MAX(0,MIN(10,5+IFERROR(VALUE(TRIM(MID(SUBSTITUTE(SUBSTITUTE(SUBSTITUTE(UPPER($T66)," ",""),"P",""),";",REPT(" ",30)),1,30))),0)+IFERROR(VALUE(TRIM(MID(SUBSTITUTE(SUBSTITUTE(SUBSTITUTE(UPPER($T66)," ",""),"P",""),";",REPT(" ",30)),31,30))),0)+IFERROR(VALUE(TRIM(MID(SUBSTITUTE(SUBSTITUTE(SUBSTITUTE(UPPER($T66)," ",""),"P",""),";",REPT(" ",30)),61,30))),0)+IFERROR(VALUE(TRIM(MID(SUBSTITUTE(SUBSTITUTE(SUBSTITUTE(UPPER($T66)," ",""),"P",""),";",REPT(" ",30)),91,30))),0)+IFERROR(VALUE(TRIM(MID(SUBSTITUTE(SUBSTITUTE(SUBSTITUTE(UPPER($T66)," ",""),"P",""),";",REPT(" ",30)),121,30))),0)+IFERROR(VALUE(TRIM(MID(SUBSTITUTE(SUBSTITUTE(SUBSTITUTE(UPPER($T66)," ",""),"P",""),";",REPT(" ",30)),151,30))),0)+IFERROR(VALUE(TRIM(MID(SUBSTITUTE(SUBSTITUTE(SUBSTITUTE(UPPER($T66)," ",""),"P",""),";",REPT(" ",30)),181,30))),0)+IFERROR(VALUE(TRIM(MID(SUBSTITUTE(SUBSTITUTE(SUBSTITUTE(UPPER($T66)," ",""),"P",""),";",REPT(" ",30)),211,30))),0)))))</f>
        <v/>
      </c>
      <c r="W66" s="24" t="n"/>
      <c r="X66" s="14" t="n"/>
    </row>
    <row r="67">
      <c r="A67" s="8">
        <f>IF($C67="","",13)</f>
        <v/>
      </c>
      <c r="B67" s="8">
        <f>IF($C67="","","4ª Sessão")</f>
        <v/>
      </c>
      <c r="C67" s="8">
        <f>IF(Preenchimento!$B$22="","",Preenchimento!$B$22)</f>
        <v/>
      </c>
      <c r="D67" s="8">
        <f>IF($C67="","",IF(Preenchimento!$C$22="","-",Preenchimento!$C$22))</f>
        <v/>
      </c>
      <c r="E67" s="8" t="n"/>
      <c r="F67" s="8" t="n"/>
      <c r="G67" s="24" t="n"/>
      <c r="H67" s="8" t="n"/>
      <c r="I67" s="14" t="n"/>
      <c r="J67" s="25">
        <f>IF($C67="","",IF($E67="Falta","-",MAX(0,MIN(10,8+IFERROR(VALUE(TRIM(MID(SUBSTITUTE(SUBSTITUTE(SUBSTITUTE(UPPER($H67)," ",""),"D",""),";",REPT(" ",30)),1,30))),0)+IFERROR(VALUE(TRIM(MID(SUBSTITUTE(SUBSTITUTE(SUBSTITUTE(UPPER($H67)," ",""),"D",""),";",REPT(" ",30)),31,30))),0)+IFERROR(VALUE(TRIM(MID(SUBSTITUTE(SUBSTITUTE(SUBSTITUTE(UPPER($H67)," ",""),"D",""),";",REPT(" ",30)),61,30))),0)+IFERROR(VALUE(TRIM(MID(SUBSTITUTE(SUBSTITUTE(SUBSTITUTE(UPPER($H67)," ",""),"D",""),";",REPT(" ",30)),91,30))),0)+IFERROR(VALUE(TRIM(MID(SUBSTITUTE(SUBSTITUTE(SUBSTITUTE(UPPER($H67)," ",""),"D",""),";",REPT(" ",30)),121,30))),0)+IFERROR(VALUE(TRIM(MID(SUBSTITUTE(SUBSTITUTE(SUBSTITUTE(UPPER($H67)," ",""),"D",""),";",REPT(" ",30)),151,30))),0)+IFERROR(VALUE(TRIM(MID(SUBSTITUTE(SUBSTITUTE(SUBSTITUTE(UPPER($H67)," ",""),"D",""),";",REPT(" ",30)),181,30))),0)+IFERROR(VALUE(TRIM(MID(SUBSTITUTE(SUBSTITUTE(SUBSTITUTE(UPPER($H67)," ",""),"D",""),";",REPT(" ",30)),211,30))),0)))))</f>
        <v/>
      </c>
      <c r="K67" s="24" t="n"/>
      <c r="L67" s="8" t="n"/>
      <c r="M67" s="14" t="n"/>
      <c r="N67" s="25">
        <f>IF($C67="","",IF($E67="Falta","-",MAX(0,MIN(10,8+IFERROR(VALUE(TRIM(MID(SUBSTITUTE(SUBSTITUTE(SUBSTITUTE(UPPER($L67)," ",""),"F",""),";",REPT(" ",30)),1,30))),0)+IFERROR(VALUE(TRIM(MID(SUBSTITUTE(SUBSTITUTE(SUBSTITUTE(UPPER($L67)," ",""),"F",""),";",REPT(" ",30)),31,30))),0)+IFERROR(VALUE(TRIM(MID(SUBSTITUTE(SUBSTITUTE(SUBSTITUTE(UPPER($L67)," ",""),"F",""),";",REPT(" ",30)),61,30))),0)+IFERROR(VALUE(TRIM(MID(SUBSTITUTE(SUBSTITUTE(SUBSTITUTE(UPPER($L67)," ",""),"F",""),";",REPT(" ",30)),91,30))),0)+IFERROR(VALUE(TRIM(MID(SUBSTITUTE(SUBSTITUTE(SUBSTITUTE(UPPER($L67)," ",""),"F",""),";",REPT(" ",30)),121,30))),0)+IFERROR(VALUE(TRIM(MID(SUBSTITUTE(SUBSTITUTE(SUBSTITUTE(UPPER($L67)," ",""),"F",""),";",REPT(" ",30)),151,30))),0)+IFERROR(VALUE(TRIM(MID(SUBSTITUTE(SUBSTITUTE(SUBSTITUTE(UPPER($L67)," ",""),"F",""),";",REPT(" ",30)),181,30))),0)+IFERROR(VALUE(TRIM(MID(SUBSTITUTE(SUBSTITUTE(SUBSTITUTE(UPPER($L67)," ",""),"F",""),";",REPT(" ",30)),211,30))),0)))))</f>
        <v/>
      </c>
      <c r="O67" s="24" t="n"/>
      <c r="P67" s="8" t="n"/>
      <c r="Q67" s="14" t="n"/>
      <c r="R67" s="25">
        <f>IF($C67="","",IF($E67="Falta","-",MAX(0,MIN(10,5+IFERROR(VALUE(TRIM(MID(SUBSTITUTE(SUBSTITUTE(SUBSTITUTE(UPPER($P67)," ",""),"C",""),";",REPT(" ",30)),1,30))),0)+IFERROR(VALUE(TRIM(MID(SUBSTITUTE(SUBSTITUTE(SUBSTITUTE(UPPER($P67)," ",""),"C",""),";",REPT(" ",30)),31,30))),0)+IFERROR(VALUE(TRIM(MID(SUBSTITUTE(SUBSTITUTE(SUBSTITUTE(UPPER($P67)," ",""),"C",""),";",REPT(" ",30)),61,30))),0)+IFERROR(VALUE(TRIM(MID(SUBSTITUTE(SUBSTITUTE(SUBSTITUTE(UPPER($P67)," ",""),"C",""),";",REPT(" ",30)),91,30))),0)+IFERROR(VALUE(TRIM(MID(SUBSTITUTE(SUBSTITUTE(SUBSTITUTE(UPPER($P67)," ",""),"C",""),";",REPT(" ",30)),121,30))),0)+IFERROR(VALUE(TRIM(MID(SUBSTITUTE(SUBSTITUTE(SUBSTITUTE(UPPER($P67)," ",""),"C",""),";",REPT(" ",30)),151,30))),0)+IFERROR(VALUE(TRIM(MID(SUBSTITUTE(SUBSTITUTE(SUBSTITUTE(UPPER($P67)," ",""),"C",""),";",REPT(" ",30)),181,30))),0)+IFERROR(VALUE(TRIM(MID(SUBSTITUTE(SUBSTITUTE(SUBSTITUTE(UPPER($P67)," ",""),"C",""),";",REPT(" ",30)),211,30))),0)))))</f>
        <v/>
      </c>
      <c r="S67" s="24" t="n"/>
      <c r="T67" s="8" t="n"/>
      <c r="U67" s="14" t="n"/>
      <c r="V67" s="25">
        <f>IF($C67="","",IF($E67="Falta","-",MAX(0,MIN(10,5+IFERROR(VALUE(TRIM(MID(SUBSTITUTE(SUBSTITUTE(SUBSTITUTE(UPPER($T67)," ",""),"P",""),";",REPT(" ",30)),1,30))),0)+IFERROR(VALUE(TRIM(MID(SUBSTITUTE(SUBSTITUTE(SUBSTITUTE(UPPER($T67)," ",""),"P",""),";",REPT(" ",30)),31,30))),0)+IFERROR(VALUE(TRIM(MID(SUBSTITUTE(SUBSTITUTE(SUBSTITUTE(UPPER($T67)," ",""),"P",""),";",REPT(" ",30)),61,30))),0)+IFERROR(VALUE(TRIM(MID(SUBSTITUTE(SUBSTITUTE(SUBSTITUTE(UPPER($T67)," ",""),"P",""),";",REPT(" ",30)),91,30))),0)+IFERROR(VALUE(TRIM(MID(SUBSTITUTE(SUBSTITUTE(SUBSTITUTE(UPPER($T67)," ",""),"P",""),";",REPT(" ",30)),121,30))),0)+IFERROR(VALUE(TRIM(MID(SUBSTITUTE(SUBSTITUTE(SUBSTITUTE(UPPER($T67)," ",""),"P",""),";",REPT(" ",30)),151,30))),0)+IFERROR(VALUE(TRIM(MID(SUBSTITUTE(SUBSTITUTE(SUBSTITUTE(UPPER($T67)," ",""),"P",""),";",REPT(" ",30)),181,30))),0)+IFERROR(VALUE(TRIM(MID(SUBSTITUTE(SUBSTITUTE(SUBSTITUTE(UPPER($T67)," ",""),"P",""),";",REPT(" ",30)),211,30))),0)))))</f>
        <v/>
      </c>
      <c r="W67" s="24" t="n"/>
      <c r="X67" s="14" t="n"/>
    </row>
    <row r="68">
      <c r="A68" s="8">
        <f>IF($C68="","",13)</f>
        <v/>
      </c>
      <c r="B68" s="8">
        <f>IF($C68="","","5ª Sessão")</f>
        <v/>
      </c>
      <c r="C68" s="8">
        <f>IF(Preenchimento!$B$22="","",Preenchimento!$B$22)</f>
        <v/>
      </c>
      <c r="D68" s="8">
        <f>IF($C68="","",IF(Preenchimento!$C$22="","-",Preenchimento!$C$22))</f>
        <v/>
      </c>
      <c r="E68" s="8" t="n"/>
      <c r="F68" s="8" t="n"/>
      <c r="G68" s="24" t="n"/>
      <c r="H68" s="8" t="n"/>
      <c r="I68" s="14" t="n"/>
      <c r="J68" s="25">
        <f>IF($C68="","",IF($E68="Falta","-",MAX(0,MIN(10,8+IFERROR(VALUE(TRIM(MID(SUBSTITUTE(SUBSTITUTE(SUBSTITUTE(UPPER($H68)," ",""),"D",""),";",REPT(" ",30)),1,30))),0)+IFERROR(VALUE(TRIM(MID(SUBSTITUTE(SUBSTITUTE(SUBSTITUTE(UPPER($H68)," ",""),"D",""),";",REPT(" ",30)),31,30))),0)+IFERROR(VALUE(TRIM(MID(SUBSTITUTE(SUBSTITUTE(SUBSTITUTE(UPPER($H68)," ",""),"D",""),";",REPT(" ",30)),61,30))),0)+IFERROR(VALUE(TRIM(MID(SUBSTITUTE(SUBSTITUTE(SUBSTITUTE(UPPER($H68)," ",""),"D",""),";",REPT(" ",30)),91,30))),0)+IFERROR(VALUE(TRIM(MID(SUBSTITUTE(SUBSTITUTE(SUBSTITUTE(UPPER($H68)," ",""),"D",""),";",REPT(" ",30)),121,30))),0)+IFERROR(VALUE(TRIM(MID(SUBSTITUTE(SUBSTITUTE(SUBSTITUTE(UPPER($H68)," ",""),"D",""),";",REPT(" ",30)),151,30))),0)+IFERROR(VALUE(TRIM(MID(SUBSTITUTE(SUBSTITUTE(SUBSTITUTE(UPPER($H68)," ",""),"D",""),";",REPT(" ",30)),181,30))),0)+IFERROR(VALUE(TRIM(MID(SUBSTITUTE(SUBSTITUTE(SUBSTITUTE(UPPER($H68)," ",""),"D",""),";",REPT(" ",30)),211,30))),0)))))</f>
        <v/>
      </c>
      <c r="K68" s="24" t="n"/>
      <c r="L68" s="8" t="n"/>
      <c r="M68" s="14" t="n"/>
      <c r="N68" s="25">
        <f>IF($C68="","",IF($E68="Falta","-",MAX(0,MIN(10,8+IFERROR(VALUE(TRIM(MID(SUBSTITUTE(SUBSTITUTE(SUBSTITUTE(UPPER($L68)," ",""),"F",""),";",REPT(" ",30)),1,30))),0)+IFERROR(VALUE(TRIM(MID(SUBSTITUTE(SUBSTITUTE(SUBSTITUTE(UPPER($L68)," ",""),"F",""),";",REPT(" ",30)),31,30))),0)+IFERROR(VALUE(TRIM(MID(SUBSTITUTE(SUBSTITUTE(SUBSTITUTE(UPPER($L68)," ",""),"F",""),";",REPT(" ",30)),61,30))),0)+IFERROR(VALUE(TRIM(MID(SUBSTITUTE(SUBSTITUTE(SUBSTITUTE(UPPER($L68)," ",""),"F",""),";",REPT(" ",30)),91,30))),0)+IFERROR(VALUE(TRIM(MID(SUBSTITUTE(SUBSTITUTE(SUBSTITUTE(UPPER($L68)," ",""),"F",""),";",REPT(" ",30)),121,30))),0)+IFERROR(VALUE(TRIM(MID(SUBSTITUTE(SUBSTITUTE(SUBSTITUTE(UPPER($L68)," ",""),"F",""),";",REPT(" ",30)),151,30))),0)+IFERROR(VALUE(TRIM(MID(SUBSTITUTE(SUBSTITUTE(SUBSTITUTE(UPPER($L68)," ",""),"F",""),";",REPT(" ",30)),181,30))),0)+IFERROR(VALUE(TRIM(MID(SUBSTITUTE(SUBSTITUTE(SUBSTITUTE(UPPER($L68)," ",""),"F",""),";",REPT(" ",30)),211,30))),0)))))</f>
        <v/>
      </c>
      <c r="O68" s="24" t="n"/>
      <c r="P68" s="8" t="n"/>
      <c r="Q68" s="14" t="n"/>
      <c r="R68" s="25">
        <f>IF($C68="","",IF($E68="Falta","-",MAX(0,MIN(10,5+IFERROR(VALUE(TRIM(MID(SUBSTITUTE(SUBSTITUTE(SUBSTITUTE(UPPER($P68)," ",""),"C",""),";",REPT(" ",30)),1,30))),0)+IFERROR(VALUE(TRIM(MID(SUBSTITUTE(SUBSTITUTE(SUBSTITUTE(UPPER($P68)," ",""),"C",""),";",REPT(" ",30)),31,30))),0)+IFERROR(VALUE(TRIM(MID(SUBSTITUTE(SUBSTITUTE(SUBSTITUTE(UPPER($P68)," ",""),"C",""),";",REPT(" ",30)),61,30))),0)+IFERROR(VALUE(TRIM(MID(SUBSTITUTE(SUBSTITUTE(SUBSTITUTE(UPPER($P68)," ",""),"C",""),";",REPT(" ",30)),91,30))),0)+IFERROR(VALUE(TRIM(MID(SUBSTITUTE(SUBSTITUTE(SUBSTITUTE(UPPER($P68)," ",""),"C",""),";",REPT(" ",30)),121,30))),0)+IFERROR(VALUE(TRIM(MID(SUBSTITUTE(SUBSTITUTE(SUBSTITUTE(UPPER($P68)," ",""),"C",""),";",REPT(" ",30)),151,30))),0)+IFERROR(VALUE(TRIM(MID(SUBSTITUTE(SUBSTITUTE(SUBSTITUTE(UPPER($P68)," ",""),"C",""),";",REPT(" ",30)),181,30))),0)+IFERROR(VALUE(TRIM(MID(SUBSTITUTE(SUBSTITUTE(SUBSTITUTE(UPPER($P68)," ",""),"C",""),";",REPT(" ",30)),211,30))),0)))))</f>
        <v/>
      </c>
      <c r="S68" s="24" t="n"/>
      <c r="T68" s="8" t="n"/>
      <c r="U68" s="14" t="n"/>
      <c r="V68" s="25">
        <f>IF($C68="","",IF($E68="Falta","-",MAX(0,MIN(10,5+IFERROR(VALUE(TRIM(MID(SUBSTITUTE(SUBSTITUTE(SUBSTITUTE(UPPER($T68)," ",""),"P",""),";",REPT(" ",30)),1,30))),0)+IFERROR(VALUE(TRIM(MID(SUBSTITUTE(SUBSTITUTE(SUBSTITUTE(UPPER($T68)," ",""),"P",""),";",REPT(" ",30)),31,30))),0)+IFERROR(VALUE(TRIM(MID(SUBSTITUTE(SUBSTITUTE(SUBSTITUTE(UPPER($T68)," ",""),"P",""),";",REPT(" ",30)),61,30))),0)+IFERROR(VALUE(TRIM(MID(SUBSTITUTE(SUBSTITUTE(SUBSTITUTE(UPPER($T68)," ",""),"P",""),";",REPT(" ",30)),91,30))),0)+IFERROR(VALUE(TRIM(MID(SUBSTITUTE(SUBSTITUTE(SUBSTITUTE(UPPER($T68)," ",""),"P",""),";",REPT(" ",30)),121,30))),0)+IFERROR(VALUE(TRIM(MID(SUBSTITUTE(SUBSTITUTE(SUBSTITUTE(UPPER($T68)," ",""),"P",""),";",REPT(" ",30)),151,30))),0)+IFERROR(VALUE(TRIM(MID(SUBSTITUTE(SUBSTITUTE(SUBSTITUTE(UPPER($T68)," ",""),"P",""),";",REPT(" ",30)),181,30))),0)+IFERROR(VALUE(TRIM(MID(SUBSTITUTE(SUBSTITUTE(SUBSTITUTE(UPPER($T68)," ",""),"P",""),";",REPT(" ",30)),211,30))),0)))))</f>
        <v/>
      </c>
      <c r="W68" s="24" t="n"/>
      <c r="X68" s="14" t="n"/>
    </row>
    <row r="69">
      <c r="A69" s="6">
        <f>IF($C69="","",14)</f>
        <v/>
      </c>
      <c r="B69" s="6">
        <f>IF($C69="","","1ª Sessão")</f>
        <v/>
      </c>
      <c r="C69" s="6">
        <f>IF(Preenchimento!$B$23="","",Preenchimento!$B$23)</f>
        <v/>
      </c>
      <c r="D69" s="6">
        <f>IF($C69="","",IF(Preenchimento!$C$23="","-",Preenchimento!$C$23))</f>
        <v/>
      </c>
      <c r="E69" s="6" t="n"/>
      <c r="F69" s="6" t="n"/>
      <c r="G69" s="26" t="n"/>
      <c r="H69" s="6" t="n"/>
      <c r="I69" s="13" t="n"/>
      <c r="J69" s="27">
        <f>IF($C69="","",IF($E69="Falta","-",MAX(0,MIN(10,8+IFERROR(VALUE(TRIM(MID(SUBSTITUTE(SUBSTITUTE(SUBSTITUTE(UPPER($H69)," ",""),"D",""),";",REPT(" ",30)),1,30))),0)+IFERROR(VALUE(TRIM(MID(SUBSTITUTE(SUBSTITUTE(SUBSTITUTE(UPPER($H69)," ",""),"D",""),";",REPT(" ",30)),31,30))),0)+IFERROR(VALUE(TRIM(MID(SUBSTITUTE(SUBSTITUTE(SUBSTITUTE(UPPER($H69)," ",""),"D",""),";",REPT(" ",30)),61,30))),0)+IFERROR(VALUE(TRIM(MID(SUBSTITUTE(SUBSTITUTE(SUBSTITUTE(UPPER($H69)," ",""),"D",""),";",REPT(" ",30)),91,30))),0)+IFERROR(VALUE(TRIM(MID(SUBSTITUTE(SUBSTITUTE(SUBSTITUTE(UPPER($H69)," ",""),"D",""),";",REPT(" ",30)),121,30))),0)+IFERROR(VALUE(TRIM(MID(SUBSTITUTE(SUBSTITUTE(SUBSTITUTE(UPPER($H69)," ",""),"D",""),";",REPT(" ",30)),151,30))),0)+IFERROR(VALUE(TRIM(MID(SUBSTITUTE(SUBSTITUTE(SUBSTITUTE(UPPER($H69)," ",""),"D",""),";",REPT(" ",30)),181,30))),0)+IFERROR(VALUE(TRIM(MID(SUBSTITUTE(SUBSTITUTE(SUBSTITUTE(UPPER($H69)," ",""),"D",""),";",REPT(" ",30)),211,30))),0)))))</f>
        <v/>
      </c>
      <c r="K69" s="26" t="n"/>
      <c r="L69" s="6" t="n"/>
      <c r="M69" s="13" t="n"/>
      <c r="N69" s="27">
        <f>IF($C69="","",IF($E69="Falta","-",MAX(0,MIN(10,8+IFERROR(VALUE(TRIM(MID(SUBSTITUTE(SUBSTITUTE(SUBSTITUTE(UPPER($L69)," ",""),"F",""),";",REPT(" ",30)),1,30))),0)+IFERROR(VALUE(TRIM(MID(SUBSTITUTE(SUBSTITUTE(SUBSTITUTE(UPPER($L69)," ",""),"F",""),";",REPT(" ",30)),31,30))),0)+IFERROR(VALUE(TRIM(MID(SUBSTITUTE(SUBSTITUTE(SUBSTITUTE(UPPER($L69)," ",""),"F",""),";",REPT(" ",30)),61,30))),0)+IFERROR(VALUE(TRIM(MID(SUBSTITUTE(SUBSTITUTE(SUBSTITUTE(UPPER($L69)," ",""),"F",""),";",REPT(" ",30)),91,30))),0)+IFERROR(VALUE(TRIM(MID(SUBSTITUTE(SUBSTITUTE(SUBSTITUTE(UPPER($L69)," ",""),"F",""),";",REPT(" ",30)),121,30))),0)+IFERROR(VALUE(TRIM(MID(SUBSTITUTE(SUBSTITUTE(SUBSTITUTE(UPPER($L69)," ",""),"F",""),";",REPT(" ",30)),151,30))),0)+IFERROR(VALUE(TRIM(MID(SUBSTITUTE(SUBSTITUTE(SUBSTITUTE(UPPER($L69)," ",""),"F",""),";",REPT(" ",30)),181,30))),0)+IFERROR(VALUE(TRIM(MID(SUBSTITUTE(SUBSTITUTE(SUBSTITUTE(UPPER($L69)," ",""),"F",""),";",REPT(" ",30)),211,30))),0)))))</f>
        <v/>
      </c>
      <c r="O69" s="26" t="n"/>
      <c r="P69" s="6" t="n"/>
      <c r="Q69" s="13" t="n"/>
      <c r="R69" s="27">
        <f>IF($C69="","",IF($E69="Falta","-",MAX(0,MIN(10,5+IFERROR(VALUE(TRIM(MID(SUBSTITUTE(SUBSTITUTE(SUBSTITUTE(UPPER($P69)," ",""),"C",""),";",REPT(" ",30)),1,30))),0)+IFERROR(VALUE(TRIM(MID(SUBSTITUTE(SUBSTITUTE(SUBSTITUTE(UPPER($P69)," ",""),"C",""),";",REPT(" ",30)),31,30))),0)+IFERROR(VALUE(TRIM(MID(SUBSTITUTE(SUBSTITUTE(SUBSTITUTE(UPPER($P69)," ",""),"C",""),";",REPT(" ",30)),61,30))),0)+IFERROR(VALUE(TRIM(MID(SUBSTITUTE(SUBSTITUTE(SUBSTITUTE(UPPER($P69)," ",""),"C",""),";",REPT(" ",30)),91,30))),0)+IFERROR(VALUE(TRIM(MID(SUBSTITUTE(SUBSTITUTE(SUBSTITUTE(UPPER($P69)," ",""),"C",""),";",REPT(" ",30)),121,30))),0)+IFERROR(VALUE(TRIM(MID(SUBSTITUTE(SUBSTITUTE(SUBSTITUTE(UPPER($P69)," ",""),"C",""),";",REPT(" ",30)),151,30))),0)+IFERROR(VALUE(TRIM(MID(SUBSTITUTE(SUBSTITUTE(SUBSTITUTE(UPPER($P69)," ",""),"C",""),";",REPT(" ",30)),181,30))),0)+IFERROR(VALUE(TRIM(MID(SUBSTITUTE(SUBSTITUTE(SUBSTITUTE(UPPER($P69)," ",""),"C",""),";",REPT(" ",30)),211,30))),0)))))</f>
        <v/>
      </c>
      <c r="S69" s="26" t="n"/>
      <c r="T69" s="6" t="n"/>
      <c r="U69" s="13" t="n"/>
      <c r="V69" s="27">
        <f>IF($C69="","",IF($E69="Falta","-",MAX(0,MIN(10,5+IFERROR(VALUE(TRIM(MID(SUBSTITUTE(SUBSTITUTE(SUBSTITUTE(UPPER($T69)," ",""),"P",""),";",REPT(" ",30)),1,30))),0)+IFERROR(VALUE(TRIM(MID(SUBSTITUTE(SUBSTITUTE(SUBSTITUTE(UPPER($T69)," ",""),"P",""),";",REPT(" ",30)),31,30))),0)+IFERROR(VALUE(TRIM(MID(SUBSTITUTE(SUBSTITUTE(SUBSTITUTE(UPPER($T69)," ",""),"P",""),";",REPT(" ",30)),61,30))),0)+IFERROR(VALUE(TRIM(MID(SUBSTITUTE(SUBSTITUTE(SUBSTITUTE(UPPER($T69)," ",""),"P",""),";",REPT(" ",30)),91,30))),0)+IFERROR(VALUE(TRIM(MID(SUBSTITUTE(SUBSTITUTE(SUBSTITUTE(UPPER($T69)," ",""),"P",""),";",REPT(" ",30)),121,30))),0)+IFERROR(VALUE(TRIM(MID(SUBSTITUTE(SUBSTITUTE(SUBSTITUTE(UPPER($T69)," ",""),"P",""),";",REPT(" ",30)),151,30))),0)+IFERROR(VALUE(TRIM(MID(SUBSTITUTE(SUBSTITUTE(SUBSTITUTE(UPPER($T69)," ",""),"P",""),";",REPT(" ",30)),181,30))),0)+IFERROR(VALUE(TRIM(MID(SUBSTITUTE(SUBSTITUTE(SUBSTITUTE(UPPER($T69)," ",""),"P",""),";",REPT(" ",30)),211,30))),0)))))</f>
        <v/>
      </c>
      <c r="W69" s="26" t="n"/>
      <c r="X69" s="13" t="n"/>
    </row>
    <row r="70">
      <c r="A70" s="6">
        <f>IF($C70="","",14)</f>
        <v/>
      </c>
      <c r="B70" s="6">
        <f>IF($C70="","","2ª Sessão")</f>
        <v/>
      </c>
      <c r="C70" s="6">
        <f>IF(Preenchimento!$B$23="","",Preenchimento!$B$23)</f>
        <v/>
      </c>
      <c r="D70" s="6">
        <f>IF($C70="","",IF(Preenchimento!$C$23="","-",Preenchimento!$C$23))</f>
        <v/>
      </c>
      <c r="E70" s="6" t="n"/>
      <c r="F70" s="6" t="n"/>
      <c r="G70" s="26" t="n"/>
      <c r="H70" s="6" t="n"/>
      <c r="I70" s="13" t="n"/>
      <c r="J70" s="27">
        <f>IF($C70="","",IF($E70="Falta","-",MAX(0,MIN(10,8+IFERROR(VALUE(TRIM(MID(SUBSTITUTE(SUBSTITUTE(SUBSTITUTE(UPPER($H70)," ",""),"D",""),";",REPT(" ",30)),1,30))),0)+IFERROR(VALUE(TRIM(MID(SUBSTITUTE(SUBSTITUTE(SUBSTITUTE(UPPER($H70)," ",""),"D",""),";",REPT(" ",30)),31,30))),0)+IFERROR(VALUE(TRIM(MID(SUBSTITUTE(SUBSTITUTE(SUBSTITUTE(UPPER($H70)," ",""),"D",""),";",REPT(" ",30)),61,30))),0)+IFERROR(VALUE(TRIM(MID(SUBSTITUTE(SUBSTITUTE(SUBSTITUTE(UPPER($H70)," ",""),"D",""),";",REPT(" ",30)),91,30))),0)+IFERROR(VALUE(TRIM(MID(SUBSTITUTE(SUBSTITUTE(SUBSTITUTE(UPPER($H70)," ",""),"D",""),";",REPT(" ",30)),121,30))),0)+IFERROR(VALUE(TRIM(MID(SUBSTITUTE(SUBSTITUTE(SUBSTITUTE(UPPER($H70)," ",""),"D",""),";",REPT(" ",30)),151,30))),0)+IFERROR(VALUE(TRIM(MID(SUBSTITUTE(SUBSTITUTE(SUBSTITUTE(UPPER($H70)," ",""),"D",""),";",REPT(" ",30)),181,30))),0)+IFERROR(VALUE(TRIM(MID(SUBSTITUTE(SUBSTITUTE(SUBSTITUTE(UPPER($H70)," ",""),"D",""),";",REPT(" ",30)),211,30))),0)))))</f>
        <v/>
      </c>
      <c r="K70" s="26" t="n"/>
      <c r="L70" s="6" t="n"/>
      <c r="M70" s="13" t="n"/>
      <c r="N70" s="27">
        <f>IF($C70="","",IF($E70="Falta","-",MAX(0,MIN(10,8+IFERROR(VALUE(TRIM(MID(SUBSTITUTE(SUBSTITUTE(SUBSTITUTE(UPPER($L70)," ",""),"F",""),";",REPT(" ",30)),1,30))),0)+IFERROR(VALUE(TRIM(MID(SUBSTITUTE(SUBSTITUTE(SUBSTITUTE(UPPER($L70)," ",""),"F",""),";",REPT(" ",30)),31,30))),0)+IFERROR(VALUE(TRIM(MID(SUBSTITUTE(SUBSTITUTE(SUBSTITUTE(UPPER($L70)," ",""),"F",""),";",REPT(" ",30)),61,30))),0)+IFERROR(VALUE(TRIM(MID(SUBSTITUTE(SUBSTITUTE(SUBSTITUTE(UPPER($L70)," ",""),"F",""),";",REPT(" ",30)),91,30))),0)+IFERROR(VALUE(TRIM(MID(SUBSTITUTE(SUBSTITUTE(SUBSTITUTE(UPPER($L70)," ",""),"F",""),";",REPT(" ",30)),121,30))),0)+IFERROR(VALUE(TRIM(MID(SUBSTITUTE(SUBSTITUTE(SUBSTITUTE(UPPER($L70)," ",""),"F",""),";",REPT(" ",30)),151,30))),0)+IFERROR(VALUE(TRIM(MID(SUBSTITUTE(SUBSTITUTE(SUBSTITUTE(UPPER($L70)," ",""),"F",""),";",REPT(" ",30)),181,30))),0)+IFERROR(VALUE(TRIM(MID(SUBSTITUTE(SUBSTITUTE(SUBSTITUTE(UPPER($L70)," ",""),"F",""),";",REPT(" ",30)),211,30))),0)))))</f>
        <v/>
      </c>
      <c r="O70" s="26" t="n"/>
      <c r="P70" s="6" t="n"/>
      <c r="Q70" s="13" t="n"/>
      <c r="R70" s="27">
        <f>IF($C70="","",IF($E70="Falta","-",MAX(0,MIN(10,5+IFERROR(VALUE(TRIM(MID(SUBSTITUTE(SUBSTITUTE(SUBSTITUTE(UPPER($P70)," ",""),"C",""),";",REPT(" ",30)),1,30))),0)+IFERROR(VALUE(TRIM(MID(SUBSTITUTE(SUBSTITUTE(SUBSTITUTE(UPPER($P70)," ",""),"C",""),";",REPT(" ",30)),31,30))),0)+IFERROR(VALUE(TRIM(MID(SUBSTITUTE(SUBSTITUTE(SUBSTITUTE(UPPER($P70)," ",""),"C",""),";",REPT(" ",30)),61,30))),0)+IFERROR(VALUE(TRIM(MID(SUBSTITUTE(SUBSTITUTE(SUBSTITUTE(UPPER($P70)," ",""),"C",""),";",REPT(" ",30)),91,30))),0)+IFERROR(VALUE(TRIM(MID(SUBSTITUTE(SUBSTITUTE(SUBSTITUTE(UPPER($P70)," ",""),"C",""),";",REPT(" ",30)),121,30))),0)+IFERROR(VALUE(TRIM(MID(SUBSTITUTE(SUBSTITUTE(SUBSTITUTE(UPPER($P70)," ",""),"C",""),";",REPT(" ",30)),151,30))),0)+IFERROR(VALUE(TRIM(MID(SUBSTITUTE(SUBSTITUTE(SUBSTITUTE(UPPER($P70)," ",""),"C",""),";",REPT(" ",30)),181,30))),0)+IFERROR(VALUE(TRIM(MID(SUBSTITUTE(SUBSTITUTE(SUBSTITUTE(UPPER($P70)," ",""),"C",""),";",REPT(" ",30)),211,30))),0)))))</f>
        <v/>
      </c>
      <c r="S70" s="26" t="n"/>
      <c r="T70" s="6" t="n"/>
      <c r="U70" s="13" t="n"/>
      <c r="V70" s="27">
        <f>IF($C70="","",IF($E70="Falta","-",MAX(0,MIN(10,5+IFERROR(VALUE(TRIM(MID(SUBSTITUTE(SUBSTITUTE(SUBSTITUTE(UPPER($T70)," ",""),"P",""),";",REPT(" ",30)),1,30))),0)+IFERROR(VALUE(TRIM(MID(SUBSTITUTE(SUBSTITUTE(SUBSTITUTE(UPPER($T70)," ",""),"P",""),";",REPT(" ",30)),31,30))),0)+IFERROR(VALUE(TRIM(MID(SUBSTITUTE(SUBSTITUTE(SUBSTITUTE(UPPER($T70)," ",""),"P",""),";",REPT(" ",30)),61,30))),0)+IFERROR(VALUE(TRIM(MID(SUBSTITUTE(SUBSTITUTE(SUBSTITUTE(UPPER($T70)," ",""),"P",""),";",REPT(" ",30)),91,30))),0)+IFERROR(VALUE(TRIM(MID(SUBSTITUTE(SUBSTITUTE(SUBSTITUTE(UPPER($T70)," ",""),"P",""),";",REPT(" ",30)),121,30))),0)+IFERROR(VALUE(TRIM(MID(SUBSTITUTE(SUBSTITUTE(SUBSTITUTE(UPPER($T70)," ",""),"P",""),";",REPT(" ",30)),151,30))),0)+IFERROR(VALUE(TRIM(MID(SUBSTITUTE(SUBSTITUTE(SUBSTITUTE(UPPER($T70)," ",""),"P",""),";",REPT(" ",30)),181,30))),0)+IFERROR(VALUE(TRIM(MID(SUBSTITUTE(SUBSTITUTE(SUBSTITUTE(UPPER($T70)," ",""),"P",""),";",REPT(" ",30)),211,30))),0)))))</f>
        <v/>
      </c>
      <c r="W70" s="26" t="n"/>
      <c r="X70" s="13" t="n"/>
    </row>
    <row r="71">
      <c r="A71" s="6">
        <f>IF($C71="","",14)</f>
        <v/>
      </c>
      <c r="B71" s="6">
        <f>IF($C71="","","3ª Sessão")</f>
        <v/>
      </c>
      <c r="C71" s="6">
        <f>IF(Preenchimento!$B$23="","",Preenchimento!$B$23)</f>
        <v/>
      </c>
      <c r="D71" s="6">
        <f>IF($C71="","",IF(Preenchimento!$C$23="","-",Preenchimento!$C$23))</f>
        <v/>
      </c>
      <c r="E71" s="6" t="n"/>
      <c r="F71" s="6" t="n"/>
      <c r="G71" s="26" t="n"/>
      <c r="H71" s="6" t="n"/>
      <c r="I71" s="13" t="n"/>
      <c r="J71" s="27">
        <f>IF($C71="","",IF($E71="Falta","-",MAX(0,MIN(10,8+IFERROR(VALUE(TRIM(MID(SUBSTITUTE(SUBSTITUTE(SUBSTITUTE(UPPER($H71)," ",""),"D",""),";",REPT(" ",30)),1,30))),0)+IFERROR(VALUE(TRIM(MID(SUBSTITUTE(SUBSTITUTE(SUBSTITUTE(UPPER($H71)," ",""),"D",""),";",REPT(" ",30)),31,30))),0)+IFERROR(VALUE(TRIM(MID(SUBSTITUTE(SUBSTITUTE(SUBSTITUTE(UPPER($H71)," ",""),"D",""),";",REPT(" ",30)),61,30))),0)+IFERROR(VALUE(TRIM(MID(SUBSTITUTE(SUBSTITUTE(SUBSTITUTE(UPPER($H71)," ",""),"D",""),";",REPT(" ",30)),91,30))),0)+IFERROR(VALUE(TRIM(MID(SUBSTITUTE(SUBSTITUTE(SUBSTITUTE(UPPER($H71)," ",""),"D",""),";",REPT(" ",30)),121,30))),0)+IFERROR(VALUE(TRIM(MID(SUBSTITUTE(SUBSTITUTE(SUBSTITUTE(UPPER($H71)," ",""),"D",""),";",REPT(" ",30)),151,30))),0)+IFERROR(VALUE(TRIM(MID(SUBSTITUTE(SUBSTITUTE(SUBSTITUTE(UPPER($H71)," ",""),"D",""),";",REPT(" ",30)),181,30))),0)+IFERROR(VALUE(TRIM(MID(SUBSTITUTE(SUBSTITUTE(SUBSTITUTE(UPPER($H71)," ",""),"D",""),";",REPT(" ",30)),211,30))),0)))))</f>
        <v/>
      </c>
      <c r="K71" s="26" t="n"/>
      <c r="L71" s="6" t="n"/>
      <c r="M71" s="13" t="n"/>
      <c r="N71" s="27">
        <f>IF($C71="","",IF($E71="Falta","-",MAX(0,MIN(10,8+IFERROR(VALUE(TRIM(MID(SUBSTITUTE(SUBSTITUTE(SUBSTITUTE(UPPER($L71)," ",""),"F",""),";",REPT(" ",30)),1,30))),0)+IFERROR(VALUE(TRIM(MID(SUBSTITUTE(SUBSTITUTE(SUBSTITUTE(UPPER($L71)," ",""),"F",""),";",REPT(" ",30)),31,30))),0)+IFERROR(VALUE(TRIM(MID(SUBSTITUTE(SUBSTITUTE(SUBSTITUTE(UPPER($L71)," ",""),"F",""),";",REPT(" ",30)),61,30))),0)+IFERROR(VALUE(TRIM(MID(SUBSTITUTE(SUBSTITUTE(SUBSTITUTE(UPPER($L71)," ",""),"F",""),";",REPT(" ",30)),91,30))),0)+IFERROR(VALUE(TRIM(MID(SUBSTITUTE(SUBSTITUTE(SUBSTITUTE(UPPER($L71)," ",""),"F",""),";",REPT(" ",30)),121,30))),0)+IFERROR(VALUE(TRIM(MID(SUBSTITUTE(SUBSTITUTE(SUBSTITUTE(UPPER($L71)," ",""),"F",""),";",REPT(" ",30)),151,30))),0)+IFERROR(VALUE(TRIM(MID(SUBSTITUTE(SUBSTITUTE(SUBSTITUTE(UPPER($L71)," ",""),"F",""),";",REPT(" ",30)),181,30))),0)+IFERROR(VALUE(TRIM(MID(SUBSTITUTE(SUBSTITUTE(SUBSTITUTE(UPPER($L71)," ",""),"F",""),";",REPT(" ",30)),211,30))),0)))))</f>
        <v/>
      </c>
      <c r="O71" s="26" t="n"/>
      <c r="P71" s="6" t="n"/>
      <c r="Q71" s="13" t="n"/>
      <c r="R71" s="27">
        <f>IF($C71="","",IF($E71="Falta","-",MAX(0,MIN(10,5+IFERROR(VALUE(TRIM(MID(SUBSTITUTE(SUBSTITUTE(SUBSTITUTE(UPPER($P71)," ",""),"C",""),";",REPT(" ",30)),1,30))),0)+IFERROR(VALUE(TRIM(MID(SUBSTITUTE(SUBSTITUTE(SUBSTITUTE(UPPER($P71)," ",""),"C",""),";",REPT(" ",30)),31,30))),0)+IFERROR(VALUE(TRIM(MID(SUBSTITUTE(SUBSTITUTE(SUBSTITUTE(UPPER($P71)," ",""),"C",""),";",REPT(" ",30)),61,30))),0)+IFERROR(VALUE(TRIM(MID(SUBSTITUTE(SUBSTITUTE(SUBSTITUTE(UPPER($P71)," ",""),"C",""),";",REPT(" ",30)),91,30))),0)+IFERROR(VALUE(TRIM(MID(SUBSTITUTE(SUBSTITUTE(SUBSTITUTE(UPPER($P71)," ",""),"C",""),";",REPT(" ",30)),121,30))),0)+IFERROR(VALUE(TRIM(MID(SUBSTITUTE(SUBSTITUTE(SUBSTITUTE(UPPER($P71)," ",""),"C",""),";",REPT(" ",30)),151,30))),0)+IFERROR(VALUE(TRIM(MID(SUBSTITUTE(SUBSTITUTE(SUBSTITUTE(UPPER($P71)," ",""),"C",""),";",REPT(" ",30)),181,30))),0)+IFERROR(VALUE(TRIM(MID(SUBSTITUTE(SUBSTITUTE(SUBSTITUTE(UPPER($P71)," ",""),"C",""),";",REPT(" ",30)),211,30))),0)))))</f>
        <v/>
      </c>
      <c r="S71" s="26" t="n"/>
      <c r="T71" s="6" t="n"/>
      <c r="U71" s="13" t="n"/>
      <c r="V71" s="27">
        <f>IF($C71="","",IF($E71="Falta","-",MAX(0,MIN(10,5+IFERROR(VALUE(TRIM(MID(SUBSTITUTE(SUBSTITUTE(SUBSTITUTE(UPPER($T71)," ",""),"P",""),";",REPT(" ",30)),1,30))),0)+IFERROR(VALUE(TRIM(MID(SUBSTITUTE(SUBSTITUTE(SUBSTITUTE(UPPER($T71)," ",""),"P",""),";",REPT(" ",30)),31,30))),0)+IFERROR(VALUE(TRIM(MID(SUBSTITUTE(SUBSTITUTE(SUBSTITUTE(UPPER($T71)," ",""),"P",""),";",REPT(" ",30)),61,30))),0)+IFERROR(VALUE(TRIM(MID(SUBSTITUTE(SUBSTITUTE(SUBSTITUTE(UPPER($T71)," ",""),"P",""),";",REPT(" ",30)),91,30))),0)+IFERROR(VALUE(TRIM(MID(SUBSTITUTE(SUBSTITUTE(SUBSTITUTE(UPPER($T71)," ",""),"P",""),";",REPT(" ",30)),121,30))),0)+IFERROR(VALUE(TRIM(MID(SUBSTITUTE(SUBSTITUTE(SUBSTITUTE(UPPER($T71)," ",""),"P",""),";",REPT(" ",30)),151,30))),0)+IFERROR(VALUE(TRIM(MID(SUBSTITUTE(SUBSTITUTE(SUBSTITUTE(UPPER($T71)," ",""),"P",""),";",REPT(" ",30)),181,30))),0)+IFERROR(VALUE(TRIM(MID(SUBSTITUTE(SUBSTITUTE(SUBSTITUTE(UPPER($T71)," ",""),"P",""),";",REPT(" ",30)),211,30))),0)))))</f>
        <v/>
      </c>
      <c r="W71" s="26" t="n"/>
      <c r="X71" s="13" t="n"/>
    </row>
    <row r="72">
      <c r="A72" s="6">
        <f>IF($C72="","",14)</f>
        <v/>
      </c>
      <c r="B72" s="6">
        <f>IF($C72="","","4ª Sessão")</f>
        <v/>
      </c>
      <c r="C72" s="6">
        <f>IF(Preenchimento!$B$23="","",Preenchimento!$B$23)</f>
        <v/>
      </c>
      <c r="D72" s="6">
        <f>IF($C72="","",IF(Preenchimento!$C$23="","-",Preenchimento!$C$23))</f>
        <v/>
      </c>
      <c r="E72" s="6" t="n"/>
      <c r="F72" s="6" t="n"/>
      <c r="G72" s="26" t="n"/>
      <c r="H72" s="6" t="n"/>
      <c r="I72" s="13" t="n"/>
      <c r="J72" s="27">
        <f>IF($C72="","",IF($E72="Falta","-",MAX(0,MIN(10,8+IFERROR(VALUE(TRIM(MID(SUBSTITUTE(SUBSTITUTE(SUBSTITUTE(UPPER($H72)," ",""),"D",""),";",REPT(" ",30)),1,30))),0)+IFERROR(VALUE(TRIM(MID(SUBSTITUTE(SUBSTITUTE(SUBSTITUTE(UPPER($H72)," ",""),"D",""),";",REPT(" ",30)),31,30))),0)+IFERROR(VALUE(TRIM(MID(SUBSTITUTE(SUBSTITUTE(SUBSTITUTE(UPPER($H72)," ",""),"D",""),";",REPT(" ",30)),61,30))),0)+IFERROR(VALUE(TRIM(MID(SUBSTITUTE(SUBSTITUTE(SUBSTITUTE(UPPER($H72)," ",""),"D",""),";",REPT(" ",30)),91,30))),0)+IFERROR(VALUE(TRIM(MID(SUBSTITUTE(SUBSTITUTE(SUBSTITUTE(UPPER($H72)," ",""),"D",""),";",REPT(" ",30)),121,30))),0)+IFERROR(VALUE(TRIM(MID(SUBSTITUTE(SUBSTITUTE(SUBSTITUTE(UPPER($H72)," ",""),"D",""),";",REPT(" ",30)),151,30))),0)+IFERROR(VALUE(TRIM(MID(SUBSTITUTE(SUBSTITUTE(SUBSTITUTE(UPPER($H72)," ",""),"D",""),";",REPT(" ",30)),181,30))),0)+IFERROR(VALUE(TRIM(MID(SUBSTITUTE(SUBSTITUTE(SUBSTITUTE(UPPER($H72)," ",""),"D",""),";",REPT(" ",30)),211,30))),0)))))</f>
        <v/>
      </c>
      <c r="K72" s="26" t="n"/>
      <c r="L72" s="6" t="n"/>
      <c r="M72" s="13" t="n"/>
      <c r="N72" s="27">
        <f>IF($C72="","",IF($E72="Falta","-",MAX(0,MIN(10,8+IFERROR(VALUE(TRIM(MID(SUBSTITUTE(SUBSTITUTE(SUBSTITUTE(UPPER($L72)," ",""),"F",""),";",REPT(" ",30)),1,30))),0)+IFERROR(VALUE(TRIM(MID(SUBSTITUTE(SUBSTITUTE(SUBSTITUTE(UPPER($L72)," ",""),"F",""),";",REPT(" ",30)),31,30))),0)+IFERROR(VALUE(TRIM(MID(SUBSTITUTE(SUBSTITUTE(SUBSTITUTE(UPPER($L72)," ",""),"F",""),";",REPT(" ",30)),61,30))),0)+IFERROR(VALUE(TRIM(MID(SUBSTITUTE(SUBSTITUTE(SUBSTITUTE(UPPER($L72)," ",""),"F",""),";",REPT(" ",30)),91,30))),0)+IFERROR(VALUE(TRIM(MID(SUBSTITUTE(SUBSTITUTE(SUBSTITUTE(UPPER($L72)," ",""),"F",""),";",REPT(" ",30)),121,30))),0)+IFERROR(VALUE(TRIM(MID(SUBSTITUTE(SUBSTITUTE(SUBSTITUTE(UPPER($L72)," ",""),"F",""),";",REPT(" ",30)),151,30))),0)+IFERROR(VALUE(TRIM(MID(SUBSTITUTE(SUBSTITUTE(SUBSTITUTE(UPPER($L72)," ",""),"F",""),";",REPT(" ",30)),181,30))),0)+IFERROR(VALUE(TRIM(MID(SUBSTITUTE(SUBSTITUTE(SUBSTITUTE(UPPER($L72)," ",""),"F",""),";",REPT(" ",30)),211,30))),0)))))</f>
        <v/>
      </c>
      <c r="O72" s="26" t="n"/>
      <c r="P72" s="6" t="n"/>
      <c r="Q72" s="13" t="n"/>
      <c r="R72" s="27">
        <f>IF($C72="","",IF($E72="Falta","-",MAX(0,MIN(10,5+IFERROR(VALUE(TRIM(MID(SUBSTITUTE(SUBSTITUTE(SUBSTITUTE(UPPER($P72)," ",""),"C",""),";",REPT(" ",30)),1,30))),0)+IFERROR(VALUE(TRIM(MID(SUBSTITUTE(SUBSTITUTE(SUBSTITUTE(UPPER($P72)," ",""),"C",""),";",REPT(" ",30)),31,30))),0)+IFERROR(VALUE(TRIM(MID(SUBSTITUTE(SUBSTITUTE(SUBSTITUTE(UPPER($P72)," ",""),"C",""),";",REPT(" ",30)),61,30))),0)+IFERROR(VALUE(TRIM(MID(SUBSTITUTE(SUBSTITUTE(SUBSTITUTE(UPPER($P72)," ",""),"C",""),";",REPT(" ",30)),91,30))),0)+IFERROR(VALUE(TRIM(MID(SUBSTITUTE(SUBSTITUTE(SUBSTITUTE(UPPER($P72)," ",""),"C",""),";",REPT(" ",30)),121,30))),0)+IFERROR(VALUE(TRIM(MID(SUBSTITUTE(SUBSTITUTE(SUBSTITUTE(UPPER($P72)," ",""),"C",""),";",REPT(" ",30)),151,30))),0)+IFERROR(VALUE(TRIM(MID(SUBSTITUTE(SUBSTITUTE(SUBSTITUTE(UPPER($P72)," ",""),"C",""),";",REPT(" ",30)),181,30))),0)+IFERROR(VALUE(TRIM(MID(SUBSTITUTE(SUBSTITUTE(SUBSTITUTE(UPPER($P72)," ",""),"C",""),";",REPT(" ",30)),211,30))),0)))))</f>
        <v/>
      </c>
      <c r="S72" s="26" t="n"/>
      <c r="T72" s="6" t="n"/>
      <c r="U72" s="13" t="n"/>
      <c r="V72" s="27">
        <f>IF($C72="","",IF($E72="Falta","-",MAX(0,MIN(10,5+IFERROR(VALUE(TRIM(MID(SUBSTITUTE(SUBSTITUTE(SUBSTITUTE(UPPER($T72)," ",""),"P",""),";",REPT(" ",30)),1,30))),0)+IFERROR(VALUE(TRIM(MID(SUBSTITUTE(SUBSTITUTE(SUBSTITUTE(UPPER($T72)," ",""),"P",""),";",REPT(" ",30)),31,30))),0)+IFERROR(VALUE(TRIM(MID(SUBSTITUTE(SUBSTITUTE(SUBSTITUTE(UPPER($T72)," ",""),"P",""),";",REPT(" ",30)),61,30))),0)+IFERROR(VALUE(TRIM(MID(SUBSTITUTE(SUBSTITUTE(SUBSTITUTE(UPPER($T72)," ",""),"P",""),";",REPT(" ",30)),91,30))),0)+IFERROR(VALUE(TRIM(MID(SUBSTITUTE(SUBSTITUTE(SUBSTITUTE(UPPER($T72)," ",""),"P",""),";",REPT(" ",30)),121,30))),0)+IFERROR(VALUE(TRIM(MID(SUBSTITUTE(SUBSTITUTE(SUBSTITUTE(UPPER($T72)," ",""),"P",""),";",REPT(" ",30)),151,30))),0)+IFERROR(VALUE(TRIM(MID(SUBSTITUTE(SUBSTITUTE(SUBSTITUTE(UPPER($T72)," ",""),"P",""),";",REPT(" ",30)),181,30))),0)+IFERROR(VALUE(TRIM(MID(SUBSTITUTE(SUBSTITUTE(SUBSTITUTE(UPPER($T72)," ",""),"P",""),";",REPT(" ",30)),211,30))),0)))))</f>
        <v/>
      </c>
      <c r="W72" s="26" t="n"/>
      <c r="X72" s="13" t="n"/>
    </row>
    <row r="73">
      <c r="A73" s="6">
        <f>IF($C73="","",14)</f>
        <v/>
      </c>
      <c r="B73" s="6">
        <f>IF($C73="","","5ª Sessão")</f>
        <v/>
      </c>
      <c r="C73" s="6">
        <f>IF(Preenchimento!$B$23="","",Preenchimento!$B$23)</f>
        <v/>
      </c>
      <c r="D73" s="6">
        <f>IF($C73="","",IF(Preenchimento!$C$23="","-",Preenchimento!$C$23))</f>
        <v/>
      </c>
      <c r="E73" s="6" t="n"/>
      <c r="F73" s="6" t="n"/>
      <c r="G73" s="26" t="n"/>
      <c r="H73" s="6" t="n"/>
      <c r="I73" s="13" t="n"/>
      <c r="J73" s="27">
        <f>IF($C73="","",IF($E73="Falta","-",MAX(0,MIN(10,8+IFERROR(VALUE(TRIM(MID(SUBSTITUTE(SUBSTITUTE(SUBSTITUTE(UPPER($H73)," ",""),"D",""),";",REPT(" ",30)),1,30))),0)+IFERROR(VALUE(TRIM(MID(SUBSTITUTE(SUBSTITUTE(SUBSTITUTE(UPPER($H73)," ",""),"D",""),";",REPT(" ",30)),31,30))),0)+IFERROR(VALUE(TRIM(MID(SUBSTITUTE(SUBSTITUTE(SUBSTITUTE(UPPER($H73)," ",""),"D",""),";",REPT(" ",30)),61,30))),0)+IFERROR(VALUE(TRIM(MID(SUBSTITUTE(SUBSTITUTE(SUBSTITUTE(UPPER($H73)," ",""),"D",""),";",REPT(" ",30)),91,30))),0)+IFERROR(VALUE(TRIM(MID(SUBSTITUTE(SUBSTITUTE(SUBSTITUTE(UPPER($H73)," ",""),"D",""),";",REPT(" ",30)),121,30))),0)+IFERROR(VALUE(TRIM(MID(SUBSTITUTE(SUBSTITUTE(SUBSTITUTE(UPPER($H73)," ",""),"D",""),";",REPT(" ",30)),151,30))),0)+IFERROR(VALUE(TRIM(MID(SUBSTITUTE(SUBSTITUTE(SUBSTITUTE(UPPER($H73)," ",""),"D",""),";",REPT(" ",30)),181,30))),0)+IFERROR(VALUE(TRIM(MID(SUBSTITUTE(SUBSTITUTE(SUBSTITUTE(UPPER($H73)," ",""),"D",""),";",REPT(" ",30)),211,30))),0)))))</f>
        <v/>
      </c>
      <c r="K73" s="26" t="n"/>
      <c r="L73" s="6" t="n"/>
      <c r="M73" s="13" t="n"/>
      <c r="N73" s="27">
        <f>IF($C73="","",IF($E73="Falta","-",MAX(0,MIN(10,8+IFERROR(VALUE(TRIM(MID(SUBSTITUTE(SUBSTITUTE(SUBSTITUTE(UPPER($L73)," ",""),"F",""),";",REPT(" ",30)),1,30))),0)+IFERROR(VALUE(TRIM(MID(SUBSTITUTE(SUBSTITUTE(SUBSTITUTE(UPPER($L73)," ",""),"F",""),";",REPT(" ",30)),31,30))),0)+IFERROR(VALUE(TRIM(MID(SUBSTITUTE(SUBSTITUTE(SUBSTITUTE(UPPER($L73)," ",""),"F",""),";",REPT(" ",30)),61,30))),0)+IFERROR(VALUE(TRIM(MID(SUBSTITUTE(SUBSTITUTE(SUBSTITUTE(UPPER($L73)," ",""),"F",""),";",REPT(" ",30)),91,30))),0)+IFERROR(VALUE(TRIM(MID(SUBSTITUTE(SUBSTITUTE(SUBSTITUTE(UPPER($L73)," ",""),"F",""),";",REPT(" ",30)),121,30))),0)+IFERROR(VALUE(TRIM(MID(SUBSTITUTE(SUBSTITUTE(SUBSTITUTE(UPPER($L73)," ",""),"F",""),";",REPT(" ",30)),151,30))),0)+IFERROR(VALUE(TRIM(MID(SUBSTITUTE(SUBSTITUTE(SUBSTITUTE(UPPER($L73)," ",""),"F",""),";",REPT(" ",30)),181,30))),0)+IFERROR(VALUE(TRIM(MID(SUBSTITUTE(SUBSTITUTE(SUBSTITUTE(UPPER($L73)," ",""),"F",""),";",REPT(" ",30)),211,30))),0)))))</f>
        <v/>
      </c>
      <c r="O73" s="26" t="n"/>
      <c r="P73" s="6" t="n"/>
      <c r="Q73" s="13" t="n"/>
      <c r="R73" s="27">
        <f>IF($C73="","",IF($E73="Falta","-",MAX(0,MIN(10,5+IFERROR(VALUE(TRIM(MID(SUBSTITUTE(SUBSTITUTE(SUBSTITUTE(UPPER($P73)," ",""),"C",""),";",REPT(" ",30)),1,30))),0)+IFERROR(VALUE(TRIM(MID(SUBSTITUTE(SUBSTITUTE(SUBSTITUTE(UPPER($P73)," ",""),"C",""),";",REPT(" ",30)),31,30))),0)+IFERROR(VALUE(TRIM(MID(SUBSTITUTE(SUBSTITUTE(SUBSTITUTE(UPPER($P73)," ",""),"C",""),";",REPT(" ",30)),61,30))),0)+IFERROR(VALUE(TRIM(MID(SUBSTITUTE(SUBSTITUTE(SUBSTITUTE(UPPER($P73)," ",""),"C",""),";",REPT(" ",30)),91,30))),0)+IFERROR(VALUE(TRIM(MID(SUBSTITUTE(SUBSTITUTE(SUBSTITUTE(UPPER($P73)," ",""),"C",""),";",REPT(" ",30)),121,30))),0)+IFERROR(VALUE(TRIM(MID(SUBSTITUTE(SUBSTITUTE(SUBSTITUTE(UPPER($P73)," ",""),"C",""),";",REPT(" ",30)),151,30))),0)+IFERROR(VALUE(TRIM(MID(SUBSTITUTE(SUBSTITUTE(SUBSTITUTE(UPPER($P73)," ",""),"C",""),";",REPT(" ",30)),181,30))),0)+IFERROR(VALUE(TRIM(MID(SUBSTITUTE(SUBSTITUTE(SUBSTITUTE(UPPER($P73)," ",""),"C",""),";",REPT(" ",30)),211,30))),0)))))</f>
        <v/>
      </c>
      <c r="S73" s="26" t="n"/>
      <c r="T73" s="6" t="n"/>
      <c r="U73" s="13" t="n"/>
      <c r="V73" s="27">
        <f>IF($C73="","",IF($E73="Falta","-",MAX(0,MIN(10,5+IFERROR(VALUE(TRIM(MID(SUBSTITUTE(SUBSTITUTE(SUBSTITUTE(UPPER($T73)," ",""),"P",""),";",REPT(" ",30)),1,30))),0)+IFERROR(VALUE(TRIM(MID(SUBSTITUTE(SUBSTITUTE(SUBSTITUTE(UPPER($T73)," ",""),"P",""),";",REPT(" ",30)),31,30))),0)+IFERROR(VALUE(TRIM(MID(SUBSTITUTE(SUBSTITUTE(SUBSTITUTE(UPPER($T73)," ",""),"P",""),";",REPT(" ",30)),61,30))),0)+IFERROR(VALUE(TRIM(MID(SUBSTITUTE(SUBSTITUTE(SUBSTITUTE(UPPER($T73)," ",""),"P",""),";",REPT(" ",30)),91,30))),0)+IFERROR(VALUE(TRIM(MID(SUBSTITUTE(SUBSTITUTE(SUBSTITUTE(UPPER($T73)," ",""),"P",""),";",REPT(" ",30)),121,30))),0)+IFERROR(VALUE(TRIM(MID(SUBSTITUTE(SUBSTITUTE(SUBSTITUTE(UPPER($T73)," ",""),"P",""),";",REPT(" ",30)),151,30))),0)+IFERROR(VALUE(TRIM(MID(SUBSTITUTE(SUBSTITUTE(SUBSTITUTE(UPPER($T73)," ",""),"P",""),";",REPT(" ",30)),181,30))),0)+IFERROR(VALUE(TRIM(MID(SUBSTITUTE(SUBSTITUTE(SUBSTITUTE(UPPER($T73)," ",""),"P",""),";",REPT(" ",30)),211,30))),0)))))</f>
        <v/>
      </c>
      <c r="W73" s="26" t="n"/>
      <c r="X73" s="13" t="n"/>
    </row>
    <row r="74">
      <c r="A74" s="8">
        <f>IF($C74="","",15)</f>
        <v/>
      </c>
      <c r="B74" s="8">
        <f>IF($C74="","","1ª Sessão")</f>
        <v/>
      </c>
      <c r="C74" s="8">
        <f>IF(Preenchimento!$B$24="","",Preenchimento!$B$24)</f>
        <v/>
      </c>
      <c r="D74" s="8">
        <f>IF($C74="","",IF(Preenchimento!$C$24="","-",Preenchimento!$C$24))</f>
        <v/>
      </c>
      <c r="E74" s="8" t="n"/>
      <c r="F74" s="8" t="n"/>
      <c r="G74" s="24" t="n"/>
      <c r="H74" s="8" t="n"/>
      <c r="I74" s="14" t="n"/>
      <c r="J74" s="25">
        <f>IF($C74="","",IF($E74="Falta","-",MAX(0,MIN(10,8+IFERROR(VALUE(TRIM(MID(SUBSTITUTE(SUBSTITUTE(SUBSTITUTE(UPPER($H74)," ",""),"D",""),";",REPT(" ",30)),1,30))),0)+IFERROR(VALUE(TRIM(MID(SUBSTITUTE(SUBSTITUTE(SUBSTITUTE(UPPER($H74)," ",""),"D",""),";",REPT(" ",30)),31,30))),0)+IFERROR(VALUE(TRIM(MID(SUBSTITUTE(SUBSTITUTE(SUBSTITUTE(UPPER($H74)," ",""),"D",""),";",REPT(" ",30)),61,30))),0)+IFERROR(VALUE(TRIM(MID(SUBSTITUTE(SUBSTITUTE(SUBSTITUTE(UPPER($H74)," ",""),"D",""),";",REPT(" ",30)),91,30))),0)+IFERROR(VALUE(TRIM(MID(SUBSTITUTE(SUBSTITUTE(SUBSTITUTE(UPPER($H74)," ",""),"D",""),";",REPT(" ",30)),121,30))),0)+IFERROR(VALUE(TRIM(MID(SUBSTITUTE(SUBSTITUTE(SUBSTITUTE(UPPER($H74)," ",""),"D",""),";",REPT(" ",30)),151,30))),0)+IFERROR(VALUE(TRIM(MID(SUBSTITUTE(SUBSTITUTE(SUBSTITUTE(UPPER($H74)," ",""),"D",""),";",REPT(" ",30)),181,30))),0)+IFERROR(VALUE(TRIM(MID(SUBSTITUTE(SUBSTITUTE(SUBSTITUTE(UPPER($H74)," ",""),"D",""),";",REPT(" ",30)),211,30))),0)))))</f>
        <v/>
      </c>
      <c r="K74" s="24" t="n"/>
      <c r="L74" s="8" t="n"/>
      <c r="M74" s="14" t="n"/>
      <c r="N74" s="25">
        <f>IF($C74="","",IF($E74="Falta","-",MAX(0,MIN(10,8+IFERROR(VALUE(TRIM(MID(SUBSTITUTE(SUBSTITUTE(SUBSTITUTE(UPPER($L74)," ",""),"F",""),";",REPT(" ",30)),1,30))),0)+IFERROR(VALUE(TRIM(MID(SUBSTITUTE(SUBSTITUTE(SUBSTITUTE(UPPER($L74)," ",""),"F",""),";",REPT(" ",30)),31,30))),0)+IFERROR(VALUE(TRIM(MID(SUBSTITUTE(SUBSTITUTE(SUBSTITUTE(UPPER($L74)," ",""),"F",""),";",REPT(" ",30)),61,30))),0)+IFERROR(VALUE(TRIM(MID(SUBSTITUTE(SUBSTITUTE(SUBSTITUTE(UPPER($L74)," ",""),"F",""),";",REPT(" ",30)),91,30))),0)+IFERROR(VALUE(TRIM(MID(SUBSTITUTE(SUBSTITUTE(SUBSTITUTE(UPPER($L74)," ",""),"F",""),";",REPT(" ",30)),121,30))),0)+IFERROR(VALUE(TRIM(MID(SUBSTITUTE(SUBSTITUTE(SUBSTITUTE(UPPER($L74)," ",""),"F",""),";",REPT(" ",30)),151,30))),0)+IFERROR(VALUE(TRIM(MID(SUBSTITUTE(SUBSTITUTE(SUBSTITUTE(UPPER($L74)," ",""),"F",""),";",REPT(" ",30)),181,30))),0)+IFERROR(VALUE(TRIM(MID(SUBSTITUTE(SUBSTITUTE(SUBSTITUTE(UPPER($L74)," ",""),"F",""),";",REPT(" ",30)),211,30))),0)))))</f>
        <v/>
      </c>
      <c r="O74" s="24" t="n"/>
      <c r="P74" s="8" t="n"/>
      <c r="Q74" s="14" t="n"/>
      <c r="R74" s="25">
        <f>IF($C74="","",IF($E74="Falta","-",MAX(0,MIN(10,5+IFERROR(VALUE(TRIM(MID(SUBSTITUTE(SUBSTITUTE(SUBSTITUTE(UPPER($P74)," ",""),"C",""),";",REPT(" ",30)),1,30))),0)+IFERROR(VALUE(TRIM(MID(SUBSTITUTE(SUBSTITUTE(SUBSTITUTE(UPPER($P74)," ",""),"C",""),";",REPT(" ",30)),31,30))),0)+IFERROR(VALUE(TRIM(MID(SUBSTITUTE(SUBSTITUTE(SUBSTITUTE(UPPER($P74)," ",""),"C",""),";",REPT(" ",30)),61,30))),0)+IFERROR(VALUE(TRIM(MID(SUBSTITUTE(SUBSTITUTE(SUBSTITUTE(UPPER($P74)," ",""),"C",""),";",REPT(" ",30)),91,30))),0)+IFERROR(VALUE(TRIM(MID(SUBSTITUTE(SUBSTITUTE(SUBSTITUTE(UPPER($P74)," ",""),"C",""),";",REPT(" ",30)),121,30))),0)+IFERROR(VALUE(TRIM(MID(SUBSTITUTE(SUBSTITUTE(SUBSTITUTE(UPPER($P74)," ",""),"C",""),";",REPT(" ",30)),151,30))),0)+IFERROR(VALUE(TRIM(MID(SUBSTITUTE(SUBSTITUTE(SUBSTITUTE(UPPER($P74)," ",""),"C",""),";",REPT(" ",30)),181,30))),0)+IFERROR(VALUE(TRIM(MID(SUBSTITUTE(SUBSTITUTE(SUBSTITUTE(UPPER($P74)," ",""),"C",""),";",REPT(" ",30)),211,30))),0)))))</f>
        <v/>
      </c>
      <c r="S74" s="24" t="n"/>
      <c r="T74" s="8" t="n"/>
      <c r="U74" s="14" t="n"/>
      <c r="V74" s="25">
        <f>IF($C74="","",IF($E74="Falta","-",MAX(0,MIN(10,5+IFERROR(VALUE(TRIM(MID(SUBSTITUTE(SUBSTITUTE(SUBSTITUTE(UPPER($T74)," ",""),"P",""),";",REPT(" ",30)),1,30))),0)+IFERROR(VALUE(TRIM(MID(SUBSTITUTE(SUBSTITUTE(SUBSTITUTE(UPPER($T74)," ",""),"P",""),";",REPT(" ",30)),31,30))),0)+IFERROR(VALUE(TRIM(MID(SUBSTITUTE(SUBSTITUTE(SUBSTITUTE(UPPER($T74)," ",""),"P",""),";",REPT(" ",30)),61,30))),0)+IFERROR(VALUE(TRIM(MID(SUBSTITUTE(SUBSTITUTE(SUBSTITUTE(UPPER($T74)," ",""),"P",""),";",REPT(" ",30)),91,30))),0)+IFERROR(VALUE(TRIM(MID(SUBSTITUTE(SUBSTITUTE(SUBSTITUTE(UPPER($T74)," ",""),"P",""),";",REPT(" ",30)),121,30))),0)+IFERROR(VALUE(TRIM(MID(SUBSTITUTE(SUBSTITUTE(SUBSTITUTE(UPPER($T74)," ",""),"P",""),";",REPT(" ",30)),151,30))),0)+IFERROR(VALUE(TRIM(MID(SUBSTITUTE(SUBSTITUTE(SUBSTITUTE(UPPER($T74)," ",""),"P",""),";",REPT(" ",30)),181,30))),0)+IFERROR(VALUE(TRIM(MID(SUBSTITUTE(SUBSTITUTE(SUBSTITUTE(UPPER($T74)," ",""),"P",""),";",REPT(" ",30)),211,30))),0)))))</f>
        <v/>
      </c>
      <c r="W74" s="24" t="n"/>
      <c r="X74" s="14" t="n"/>
    </row>
    <row r="75">
      <c r="A75" s="8">
        <f>IF($C75="","",15)</f>
        <v/>
      </c>
      <c r="B75" s="8">
        <f>IF($C75="","","2ª Sessão")</f>
        <v/>
      </c>
      <c r="C75" s="8">
        <f>IF(Preenchimento!$B$24="","",Preenchimento!$B$24)</f>
        <v/>
      </c>
      <c r="D75" s="8">
        <f>IF($C75="","",IF(Preenchimento!$C$24="","-",Preenchimento!$C$24))</f>
        <v/>
      </c>
      <c r="E75" s="8" t="n"/>
      <c r="F75" s="8" t="n"/>
      <c r="G75" s="24" t="n"/>
      <c r="H75" s="8" t="n"/>
      <c r="I75" s="14" t="n"/>
      <c r="J75" s="25">
        <f>IF($C75="","",IF($E75="Falta","-",MAX(0,MIN(10,8+IFERROR(VALUE(TRIM(MID(SUBSTITUTE(SUBSTITUTE(SUBSTITUTE(UPPER($H75)," ",""),"D",""),";",REPT(" ",30)),1,30))),0)+IFERROR(VALUE(TRIM(MID(SUBSTITUTE(SUBSTITUTE(SUBSTITUTE(UPPER($H75)," ",""),"D",""),";",REPT(" ",30)),31,30))),0)+IFERROR(VALUE(TRIM(MID(SUBSTITUTE(SUBSTITUTE(SUBSTITUTE(UPPER($H75)," ",""),"D",""),";",REPT(" ",30)),61,30))),0)+IFERROR(VALUE(TRIM(MID(SUBSTITUTE(SUBSTITUTE(SUBSTITUTE(UPPER($H75)," ",""),"D",""),";",REPT(" ",30)),91,30))),0)+IFERROR(VALUE(TRIM(MID(SUBSTITUTE(SUBSTITUTE(SUBSTITUTE(UPPER($H75)," ",""),"D",""),";",REPT(" ",30)),121,30))),0)+IFERROR(VALUE(TRIM(MID(SUBSTITUTE(SUBSTITUTE(SUBSTITUTE(UPPER($H75)," ",""),"D",""),";",REPT(" ",30)),151,30))),0)+IFERROR(VALUE(TRIM(MID(SUBSTITUTE(SUBSTITUTE(SUBSTITUTE(UPPER($H75)," ",""),"D",""),";",REPT(" ",30)),181,30))),0)+IFERROR(VALUE(TRIM(MID(SUBSTITUTE(SUBSTITUTE(SUBSTITUTE(UPPER($H75)," ",""),"D",""),";",REPT(" ",30)),211,30))),0)))))</f>
        <v/>
      </c>
      <c r="K75" s="24" t="n"/>
      <c r="L75" s="8" t="n"/>
      <c r="M75" s="14" t="n"/>
      <c r="N75" s="25">
        <f>IF($C75="","",IF($E75="Falta","-",MAX(0,MIN(10,8+IFERROR(VALUE(TRIM(MID(SUBSTITUTE(SUBSTITUTE(SUBSTITUTE(UPPER($L75)," ",""),"F",""),";",REPT(" ",30)),1,30))),0)+IFERROR(VALUE(TRIM(MID(SUBSTITUTE(SUBSTITUTE(SUBSTITUTE(UPPER($L75)," ",""),"F",""),";",REPT(" ",30)),31,30))),0)+IFERROR(VALUE(TRIM(MID(SUBSTITUTE(SUBSTITUTE(SUBSTITUTE(UPPER($L75)," ",""),"F",""),";",REPT(" ",30)),61,30))),0)+IFERROR(VALUE(TRIM(MID(SUBSTITUTE(SUBSTITUTE(SUBSTITUTE(UPPER($L75)," ",""),"F",""),";",REPT(" ",30)),91,30))),0)+IFERROR(VALUE(TRIM(MID(SUBSTITUTE(SUBSTITUTE(SUBSTITUTE(UPPER($L75)," ",""),"F",""),";",REPT(" ",30)),121,30))),0)+IFERROR(VALUE(TRIM(MID(SUBSTITUTE(SUBSTITUTE(SUBSTITUTE(UPPER($L75)," ",""),"F",""),";",REPT(" ",30)),151,30))),0)+IFERROR(VALUE(TRIM(MID(SUBSTITUTE(SUBSTITUTE(SUBSTITUTE(UPPER($L75)," ",""),"F",""),";",REPT(" ",30)),181,30))),0)+IFERROR(VALUE(TRIM(MID(SUBSTITUTE(SUBSTITUTE(SUBSTITUTE(UPPER($L75)," ",""),"F",""),";",REPT(" ",30)),211,30))),0)))))</f>
        <v/>
      </c>
      <c r="O75" s="24" t="n"/>
      <c r="P75" s="8" t="n"/>
      <c r="Q75" s="14" t="n"/>
      <c r="R75" s="25">
        <f>IF($C75="","",IF($E75="Falta","-",MAX(0,MIN(10,5+IFERROR(VALUE(TRIM(MID(SUBSTITUTE(SUBSTITUTE(SUBSTITUTE(UPPER($P75)," ",""),"C",""),";",REPT(" ",30)),1,30))),0)+IFERROR(VALUE(TRIM(MID(SUBSTITUTE(SUBSTITUTE(SUBSTITUTE(UPPER($P75)," ",""),"C",""),";",REPT(" ",30)),31,30))),0)+IFERROR(VALUE(TRIM(MID(SUBSTITUTE(SUBSTITUTE(SUBSTITUTE(UPPER($P75)," ",""),"C",""),";",REPT(" ",30)),61,30))),0)+IFERROR(VALUE(TRIM(MID(SUBSTITUTE(SUBSTITUTE(SUBSTITUTE(UPPER($P75)," ",""),"C",""),";",REPT(" ",30)),91,30))),0)+IFERROR(VALUE(TRIM(MID(SUBSTITUTE(SUBSTITUTE(SUBSTITUTE(UPPER($P75)," ",""),"C",""),";",REPT(" ",30)),121,30))),0)+IFERROR(VALUE(TRIM(MID(SUBSTITUTE(SUBSTITUTE(SUBSTITUTE(UPPER($P75)," ",""),"C",""),";",REPT(" ",30)),151,30))),0)+IFERROR(VALUE(TRIM(MID(SUBSTITUTE(SUBSTITUTE(SUBSTITUTE(UPPER($P75)," ",""),"C",""),";",REPT(" ",30)),181,30))),0)+IFERROR(VALUE(TRIM(MID(SUBSTITUTE(SUBSTITUTE(SUBSTITUTE(UPPER($P75)," ",""),"C",""),";",REPT(" ",30)),211,30))),0)))))</f>
        <v/>
      </c>
      <c r="S75" s="24" t="n"/>
      <c r="T75" s="8" t="n"/>
      <c r="U75" s="14" t="n"/>
      <c r="V75" s="25">
        <f>IF($C75="","",IF($E75="Falta","-",MAX(0,MIN(10,5+IFERROR(VALUE(TRIM(MID(SUBSTITUTE(SUBSTITUTE(SUBSTITUTE(UPPER($T75)," ",""),"P",""),";",REPT(" ",30)),1,30))),0)+IFERROR(VALUE(TRIM(MID(SUBSTITUTE(SUBSTITUTE(SUBSTITUTE(UPPER($T75)," ",""),"P",""),";",REPT(" ",30)),31,30))),0)+IFERROR(VALUE(TRIM(MID(SUBSTITUTE(SUBSTITUTE(SUBSTITUTE(UPPER($T75)," ",""),"P",""),";",REPT(" ",30)),61,30))),0)+IFERROR(VALUE(TRIM(MID(SUBSTITUTE(SUBSTITUTE(SUBSTITUTE(UPPER($T75)," ",""),"P",""),";",REPT(" ",30)),91,30))),0)+IFERROR(VALUE(TRIM(MID(SUBSTITUTE(SUBSTITUTE(SUBSTITUTE(UPPER($T75)," ",""),"P",""),";",REPT(" ",30)),121,30))),0)+IFERROR(VALUE(TRIM(MID(SUBSTITUTE(SUBSTITUTE(SUBSTITUTE(UPPER($T75)," ",""),"P",""),";",REPT(" ",30)),151,30))),0)+IFERROR(VALUE(TRIM(MID(SUBSTITUTE(SUBSTITUTE(SUBSTITUTE(UPPER($T75)," ",""),"P",""),";",REPT(" ",30)),181,30))),0)+IFERROR(VALUE(TRIM(MID(SUBSTITUTE(SUBSTITUTE(SUBSTITUTE(UPPER($T75)," ",""),"P",""),";",REPT(" ",30)),211,30))),0)))))</f>
        <v/>
      </c>
      <c r="W75" s="24" t="n"/>
      <c r="X75" s="14" t="n"/>
    </row>
    <row r="76">
      <c r="A76" s="8">
        <f>IF($C76="","",15)</f>
        <v/>
      </c>
      <c r="B76" s="8">
        <f>IF($C76="","","3ª Sessão")</f>
        <v/>
      </c>
      <c r="C76" s="8">
        <f>IF(Preenchimento!$B$24="","",Preenchimento!$B$24)</f>
        <v/>
      </c>
      <c r="D76" s="8">
        <f>IF($C76="","",IF(Preenchimento!$C$24="","-",Preenchimento!$C$24))</f>
        <v/>
      </c>
      <c r="E76" s="8" t="n"/>
      <c r="F76" s="8" t="n"/>
      <c r="G76" s="24" t="n"/>
      <c r="H76" s="8" t="n"/>
      <c r="I76" s="14" t="n"/>
      <c r="J76" s="25">
        <f>IF($C76="","",IF($E76="Falta","-",MAX(0,MIN(10,8+IFERROR(VALUE(TRIM(MID(SUBSTITUTE(SUBSTITUTE(SUBSTITUTE(UPPER($H76)," ",""),"D",""),";",REPT(" ",30)),1,30))),0)+IFERROR(VALUE(TRIM(MID(SUBSTITUTE(SUBSTITUTE(SUBSTITUTE(UPPER($H76)," ",""),"D",""),";",REPT(" ",30)),31,30))),0)+IFERROR(VALUE(TRIM(MID(SUBSTITUTE(SUBSTITUTE(SUBSTITUTE(UPPER($H76)," ",""),"D",""),";",REPT(" ",30)),61,30))),0)+IFERROR(VALUE(TRIM(MID(SUBSTITUTE(SUBSTITUTE(SUBSTITUTE(UPPER($H76)," ",""),"D",""),";",REPT(" ",30)),91,30))),0)+IFERROR(VALUE(TRIM(MID(SUBSTITUTE(SUBSTITUTE(SUBSTITUTE(UPPER($H76)," ",""),"D",""),";",REPT(" ",30)),121,30))),0)+IFERROR(VALUE(TRIM(MID(SUBSTITUTE(SUBSTITUTE(SUBSTITUTE(UPPER($H76)," ",""),"D",""),";",REPT(" ",30)),151,30))),0)+IFERROR(VALUE(TRIM(MID(SUBSTITUTE(SUBSTITUTE(SUBSTITUTE(UPPER($H76)," ",""),"D",""),";",REPT(" ",30)),181,30))),0)+IFERROR(VALUE(TRIM(MID(SUBSTITUTE(SUBSTITUTE(SUBSTITUTE(UPPER($H76)," ",""),"D",""),";",REPT(" ",30)),211,30))),0)))))</f>
        <v/>
      </c>
      <c r="K76" s="24" t="n"/>
      <c r="L76" s="8" t="n"/>
      <c r="M76" s="14" t="n"/>
      <c r="N76" s="25">
        <f>IF($C76="","",IF($E76="Falta","-",MAX(0,MIN(10,8+IFERROR(VALUE(TRIM(MID(SUBSTITUTE(SUBSTITUTE(SUBSTITUTE(UPPER($L76)," ",""),"F",""),";",REPT(" ",30)),1,30))),0)+IFERROR(VALUE(TRIM(MID(SUBSTITUTE(SUBSTITUTE(SUBSTITUTE(UPPER($L76)," ",""),"F",""),";",REPT(" ",30)),31,30))),0)+IFERROR(VALUE(TRIM(MID(SUBSTITUTE(SUBSTITUTE(SUBSTITUTE(UPPER($L76)," ",""),"F",""),";",REPT(" ",30)),61,30))),0)+IFERROR(VALUE(TRIM(MID(SUBSTITUTE(SUBSTITUTE(SUBSTITUTE(UPPER($L76)," ",""),"F",""),";",REPT(" ",30)),91,30))),0)+IFERROR(VALUE(TRIM(MID(SUBSTITUTE(SUBSTITUTE(SUBSTITUTE(UPPER($L76)," ",""),"F",""),";",REPT(" ",30)),121,30))),0)+IFERROR(VALUE(TRIM(MID(SUBSTITUTE(SUBSTITUTE(SUBSTITUTE(UPPER($L76)," ",""),"F",""),";",REPT(" ",30)),151,30))),0)+IFERROR(VALUE(TRIM(MID(SUBSTITUTE(SUBSTITUTE(SUBSTITUTE(UPPER($L76)," ",""),"F",""),";",REPT(" ",30)),181,30))),0)+IFERROR(VALUE(TRIM(MID(SUBSTITUTE(SUBSTITUTE(SUBSTITUTE(UPPER($L76)," ",""),"F",""),";",REPT(" ",30)),211,30))),0)))))</f>
        <v/>
      </c>
      <c r="O76" s="24" t="n"/>
      <c r="P76" s="8" t="n"/>
      <c r="Q76" s="14" t="n"/>
      <c r="R76" s="25">
        <f>IF($C76="","",IF($E76="Falta","-",MAX(0,MIN(10,5+IFERROR(VALUE(TRIM(MID(SUBSTITUTE(SUBSTITUTE(SUBSTITUTE(UPPER($P76)," ",""),"C",""),";",REPT(" ",30)),1,30))),0)+IFERROR(VALUE(TRIM(MID(SUBSTITUTE(SUBSTITUTE(SUBSTITUTE(UPPER($P76)," ",""),"C",""),";",REPT(" ",30)),31,30))),0)+IFERROR(VALUE(TRIM(MID(SUBSTITUTE(SUBSTITUTE(SUBSTITUTE(UPPER($P76)," ",""),"C",""),";",REPT(" ",30)),61,30))),0)+IFERROR(VALUE(TRIM(MID(SUBSTITUTE(SUBSTITUTE(SUBSTITUTE(UPPER($P76)," ",""),"C",""),";",REPT(" ",30)),91,30))),0)+IFERROR(VALUE(TRIM(MID(SUBSTITUTE(SUBSTITUTE(SUBSTITUTE(UPPER($P76)," ",""),"C",""),";",REPT(" ",30)),121,30))),0)+IFERROR(VALUE(TRIM(MID(SUBSTITUTE(SUBSTITUTE(SUBSTITUTE(UPPER($P76)," ",""),"C",""),";",REPT(" ",30)),151,30))),0)+IFERROR(VALUE(TRIM(MID(SUBSTITUTE(SUBSTITUTE(SUBSTITUTE(UPPER($P76)," ",""),"C",""),";",REPT(" ",30)),181,30))),0)+IFERROR(VALUE(TRIM(MID(SUBSTITUTE(SUBSTITUTE(SUBSTITUTE(UPPER($P76)," ",""),"C",""),";",REPT(" ",30)),211,30))),0)))))</f>
        <v/>
      </c>
      <c r="S76" s="24" t="n"/>
      <c r="T76" s="8" t="n"/>
      <c r="U76" s="14" t="n"/>
      <c r="V76" s="25">
        <f>IF($C76="","",IF($E76="Falta","-",MAX(0,MIN(10,5+IFERROR(VALUE(TRIM(MID(SUBSTITUTE(SUBSTITUTE(SUBSTITUTE(UPPER($T76)," ",""),"P",""),";",REPT(" ",30)),1,30))),0)+IFERROR(VALUE(TRIM(MID(SUBSTITUTE(SUBSTITUTE(SUBSTITUTE(UPPER($T76)," ",""),"P",""),";",REPT(" ",30)),31,30))),0)+IFERROR(VALUE(TRIM(MID(SUBSTITUTE(SUBSTITUTE(SUBSTITUTE(UPPER($T76)," ",""),"P",""),";",REPT(" ",30)),61,30))),0)+IFERROR(VALUE(TRIM(MID(SUBSTITUTE(SUBSTITUTE(SUBSTITUTE(UPPER($T76)," ",""),"P",""),";",REPT(" ",30)),91,30))),0)+IFERROR(VALUE(TRIM(MID(SUBSTITUTE(SUBSTITUTE(SUBSTITUTE(UPPER($T76)," ",""),"P",""),";",REPT(" ",30)),121,30))),0)+IFERROR(VALUE(TRIM(MID(SUBSTITUTE(SUBSTITUTE(SUBSTITUTE(UPPER($T76)," ",""),"P",""),";",REPT(" ",30)),151,30))),0)+IFERROR(VALUE(TRIM(MID(SUBSTITUTE(SUBSTITUTE(SUBSTITUTE(UPPER($T76)," ",""),"P",""),";",REPT(" ",30)),181,30))),0)+IFERROR(VALUE(TRIM(MID(SUBSTITUTE(SUBSTITUTE(SUBSTITUTE(UPPER($T76)," ",""),"P",""),";",REPT(" ",30)),211,30))),0)))))</f>
        <v/>
      </c>
      <c r="W76" s="24" t="n"/>
      <c r="X76" s="14" t="n"/>
    </row>
    <row r="77">
      <c r="A77" s="8">
        <f>IF($C77="","",15)</f>
        <v/>
      </c>
      <c r="B77" s="8">
        <f>IF($C77="","","4ª Sessão")</f>
        <v/>
      </c>
      <c r="C77" s="8">
        <f>IF(Preenchimento!$B$24="","",Preenchimento!$B$24)</f>
        <v/>
      </c>
      <c r="D77" s="8">
        <f>IF($C77="","",IF(Preenchimento!$C$24="","-",Preenchimento!$C$24))</f>
        <v/>
      </c>
      <c r="E77" s="8" t="n"/>
      <c r="F77" s="8" t="n"/>
      <c r="G77" s="24" t="n"/>
      <c r="H77" s="8" t="n"/>
      <c r="I77" s="14" t="n"/>
      <c r="J77" s="25">
        <f>IF($C77="","",IF($E77="Falta","-",MAX(0,MIN(10,8+IFERROR(VALUE(TRIM(MID(SUBSTITUTE(SUBSTITUTE(SUBSTITUTE(UPPER($H77)," ",""),"D",""),";",REPT(" ",30)),1,30))),0)+IFERROR(VALUE(TRIM(MID(SUBSTITUTE(SUBSTITUTE(SUBSTITUTE(UPPER($H77)," ",""),"D",""),";",REPT(" ",30)),31,30))),0)+IFERROR(VALUE(TRIM(MID(SUBSTITUTE(SUBSTITUTE(SUBSTITUTE(UPPER($H77)," ",""),"D",""),";",REPT(" ",30)),61,30))),0)+IFERROR(VALUE(TRIM(MID(SUBSTITUTE(SUBSTITUTE(SUBSTITUTE(UPPER($H77)," ",""),"D",""),";",REPT(" ",30)),91,30))),0)+IFERROR(VALUE(TRIM(MID(SUBSTITUTE(SUBSTITUTE(SUBSTITUTE(UPPER($H77)," ",""),"D",""),";",REPT(" ",30)),121,30))),0)+IFERROR(VALUE(TRIM(MID(SUBSTITUTE(SUBSTITUTE(SUBSTITUTE(UPPER($H77)," ",""),"D",""),";",REPT(" ",30)),151,30))),0)+IFERROR(VALUE(TRIM(MID(SUBSTITUTE(SUBSTITUTE(SUBSTITUTE(UPPER($H77)," ",""),"D",""),";",REPT(" ",30)),181,30))),0)+IFERROR(VALUE(TRIM(MID(SUBSTITUTE(SUBSTITUTE(SUBSTITUTE(UPPER($H77)," ",""),"D",""),";",REPT(" ",30)),211,30))),0)))))</f>
        <v/>
      </c>
      <c r="K77" s="24" t="n"/>
      <c r="L77" s="8" t="n"/>
      <c r="M77" s="14" t="n"/>
      <c r="N77" s="25">
        <f>IF($C77="","",IF($E77="Falta","-",MAX(0,MIN(10,8+IFERROR(VALUE(TRIM(MID(SUBSTITUTE(SUBSTITUTE(SUBSTITUTE(UPPER($L77)," ",""),"F",""),";",REPT(" ",30)),1,30))),0)+IFERROR(VALUE(TRIM(MID(SUBSTITUTE(SUBSTITUTE(SUBSTITUTE(UPPER($L77)," ",""),"F",""),";",REPT(" ",30)),31,30))),0)+IFERROR(VALUE(TRIM(MID(SUBSTITUTE(SUBSTITUTE(SUBSTITUTE(UPPER($L77)," ",""),"F",""),";",REPT(" ",30)),61,30))),0)+IFERROR(VALUE(TRIM(MID(SUBSTITUTE(SUBSTITUTE(SUBSTITUTE(UPPER($L77)," ",""),"F",""),";",REPT(" ",30)),91,30))),0)+IFERROR(VALUE(TRIM(MID(SUBSTITUTE(SUBSTITUTE(SUBSTITUTE(UPPER($L77)," ",""),"F",""),";",REPT(" ",30)),121,30))),0)+IFERROR(VALUE(TRIM(MID(SUBSTITUTE(SUBSTITUTE(SUBSTITUTE(UPPER($L77)," ",""),"F",""),";",REPT(" ",30)),151,30))),0)+IFERROR(VALUE(TRIM(MID(SUBSTITUTE(SUBSTITUTE(SUBSTITUTE(UPPER($L77)," ",""),"F",""),";",REPT(" ",30)),181,30))),0)+IFERROR(VALUE(TRIM(MID(SUBSTITUTE(SUBSTITUTE(SUBSTITUTE(UPPER($L77)," ",""),"F",""),";",REPT(" ",30)),211,30))),0)))))</f>
        <v/>
      </c>
      <c r="O77" s="24" t="n"/>
      <c r="P77" s="8" t="n"/>
      <c r="Q77" s="14" t="n"/>
      <c r="R77" s="25">
        <f>IF($C77="","",IF($E77="Falta","-",MAX(0,MIN(10,5+IFERROR(VALUE(TRIM(MID(SUBSTITUTE(SUBSTITUTE(SUBSTITUTE(UPPER($P77)," ",""),"C",""),";",REPT(" ",30)),1,30))),0)+IFERROR(VALUE(TRIM(MID(SUBSTITUTE(SUBSTITUTE(SUBSTITUTE(UPPER($P77)," ",""),"C",""),";",REPT(" ",30)),31,30))),0)+IFERROR(VALUE(TRIM(MID(SUBSTITUTE(SUBSTITUTE(SUBSTITUTE(UPPER($P77)," ",""),"C",""),";",REPT(" ",30)),61,30))),0)+IFERROR(VALUE(TRIM(MID(SUBSTITUTE(SUBSTITUTE(SUBSTITUTE(UPPER($P77)," ",""),"C",""),";",REPT(" ",30)),91,30))),0)+IFERROR(VALUE(TRIM(MID(SUBSTITUTE(SUBSTITUTE(SUBSTITUTE(UPPER($P77)," ",""),"C",""),";",REPT(" ",30)),121,30))),0)+IFERROR(VALUE(TRIM(MID(SUBSTITUTE(SUBSTITUTE(SUBSTITUTE(UPPER($P77)," ",""),"C",""),";",REPT(" ",30)),151,30))),0)+IFERROR(VALUE(TRIM(MID(SUBSTITUTE(SUBSTITUTE(SUBSTITUTE(UPPER($P77)," ",""),"C",""),";",REPT(" ",30)),181,30))),0)+IFERROR(VALUE(TRIM(MID(SUBSTITUTE(SUBSTITUTE(SUBSTITUTE(UPPER($P77)," ",""),"C",""),";",REPT(" ",30)),211,30))),0)))))</f>
        <v/>
      </c>
      <c r="S77" s="24" t="n"/>
      <c r="T77" s="8" t="n"/>
      <c r="U77" s="14" t="n"/>
      <c r="V77" s="25">
        <f>IF($C77="","",IF($E77="Falta","-",MAX(0,MIN(10,5+IFERROR(VALUE(TRIM(MID(SUBSTITUTE(SUBSTITUTE(SUBSTITUTE(UPPER($T77)," ",""),"P",""),";",REPT(" ",30)),1,30))),0)+IFERROR(VALUE(TRIM(MID(SUBSTITUTE(SUBSTITUTE(SUBSTITUTE(UPPER($T77)," ",""),"P",""),";",REPT(" ",30)),31,30))),0)+IFERROR(VALUE(TRIM(MID(SUBSTITUTE(SUBSTITUTE(SUBSTITUTE(UPPER($T77)," ",""),"P",""),";",REPT(" ",30)),61,30))),0)+IFERROR(VALUE(TRIM(MID(SUBSTITUTE(SUBSTITUTE(SUBSTITUTE(UPPER($T77)," ",""),"P",""),";",REPT(" ",30)),91,30))),0)+IFERROR(VALUE(TRIM(MID(SUBSTITUTE(SUBSTITUTE(SUBSTITUTE(UPPER($T77)," ",""),"P",""),";",REPT(" ",30)),121,30))),0)+IFERROR(VALUE(TRIM(MID(SUBSTITUTE(SUBSTITUTE(SUBSTITUTE(UPPER($T77)," ",""),"P",""),";",REPT(" ",30)),151,30))),0)+IFERROR(VALUE(TRIM(MID(SUBSTITUTE(SUBSTITUTE(SUBSTITUTE(UPPER($T77)," ",""),"P",""),";",REPT(" ",30)),181,30))),0)+IFERROR(VALUE(TRIM(MID(SUBSTITUTE(SUBSTITUTE(SUBSTITUTE(UPPER($T77)," ",""),"P",""),";",REPT(" ",30)),211,30))),0)))))</f>
        <v/>
      </c>
      <c r="W77" s="24" t="n"/>
      <c r="X77" s="14" t="n"/>
    </row>
    <row r="78">
      <c r="A78" s="8">
        <f>IF($C78="","",15)</f>
        <v/>
      </c>
      <c r="B78" s="8">
        <f>IF($C78="","","5ª Sessão")</f>
        <v/>
      </c>
      <c r="C78" s="8">
        <f>IF(Preenchimento!$B$24="","",Preenchimento!$B$24)</f>
        <v/>
      </c>
      <c r="D78" s="8">
        <f>IF($C78="","",IF(Preenchimento!$C$24="","-",Preenchimento!$C$24))</f>
        <v/>
      </c>
      <c r="E78" s="8" t="n"/>
      <c r="F78" s="8" t="n"/>
      <c r="G78" s="24" t="n"/>
      <c r="H78" s="8" t="n"/>
      <c r="I78" s="14" t="n"/>
      <c r="J78" s="25">
        <f>IF($C78="","",IF($E78="Falta","-",MAX(0,MIN(10,8+IFERROR(VALUE(TRIM(MID(SUBSTITUTE(SUBSTITUTE(SUBSTITUTE(UPPER($H78)," ",""),"D",""),";",REPT(" ",30)),1,30))),0)+IFERROR(VALUE(TRIM(MID(SUBSTITUTE(SUBSTITUTE(SUBSTITUTE(UPPER($H78)," ",""),"D",""),";",REPT(" ",30)),31,30))),0)+IFERROR(VALUE(TRIM(MID(SUBSTITUTE(SUBSTITUTE(SUBSTITUTE(UPPER($H78)," ",""),"D",""),";",REPT(" ",30)),61,30))),0)+IFERROR(VALUE(TRIM(MID(SUBSTITUTE(SUBSTITUTE(SUBSTITUTE(UPPER($H78)," ",""),"D",""),";",REPT(" ",30)),91,30))),0)+IFERROR(VALUE(TRIM(MID(SUBSTITUTE(SUBSTITUTE(SUBSTITUTE(UPPER($H78)," ",""),"D",""),";",REPT(" ",30)),121,30))),0)+IFERROR(VALUE(TRIM(MID(SUBSTITUTE(SUBSTITUTE(SUBSTITUTE(UPPER($H78)," ",""),"D",""),";",REPT(" ",30)),151,30))),0)+IFERROR(VALUE(TRIM(MID(SUBSTITUTE(SUBSTITUTE(SUBSTITUTE(UPPER($H78)," ",""),"D",""),";",REPT(" ",30)),181,30))),0)+IFERROR(VALUE(TRIM(MID(SUBSTITUTE(SUBSTITUTE(SUBSTITUTE(UPPER($H78)," ",""),"D",""),";",REPT(" ",30)),211,30))),0)))))</f>
        <v/>
      </c>
      <c r="K78" s="24" t="n"/>
      <c r="L78" s="8" t="n"/>
      <c r="M78" s="14" t="n"/>
      <c r="N78" s="25">
        <f>IF($C78="","",IF($E78="Falta","-",MAX(0,MIN(10,8+IFERROR(VALUE(TRIM(MID(SUBSTITUTE(SUBSTITUTE(SUBSTITUTE(UPPER($L78)," ",""),"F",""),";",REPT(" ",30)),1,30))),0)+IFERROR(VALUE(TRIM(MID(SUBSTITUTE(SUBSTITUTE(SUBSTITUTE(UPPER($L78)," ",""),"F",""),";",REPT(" ",30)),31,30))),0)+IFERROR(VALUE(TRIM(MID(SUBSTITUTE(SUBSTITUTE(SUBSTITUTE(UPPER($L78)," ",""),"F",""),";",REPT(" ",30)),61,30))),0)+IFERROR(VALUE(TRIM(MID(SUBSTITUTE(SUBSTITUTE(SUBSTITUTE(UPPER($L78)," ",""),"F",""),";",REPT(" ",30)),91,30))),0)+IFERROR(VALUE(TRIM(MID(SUBSTITUTE(SUBSTITUTE(SUBSTITUTE(UPPER($L78)," ",""),"F",""),";",REPT(" ",30)),121,30))),0)+IFERROR(VALUE(TRIM(MID(SUBSTITUTE(SUBSTITUTE(SUBSTITUTE(UPPER($L78)," ",""),"F",""),";",REPT(" ",30)),151,30))),0)+IFERROR(VALUE(TRIM(MID(SUBSTITUTE(SUBSTITUTE(SUBSTITUTE(UPPER($L78)," ",""),"F",""),";",REPT(" ",30)),181,30))),0)+IFERROR(VALUE(TRIM(MID(SUBSTITUTE(SUBSTITUTE(SUBSTITUTE(UPPER($L78)," ",""),"F",""),";",REPT(" ",30)),211,30))),0)))))</f>
        <v/>
      </c>
      <c r="O78" s="24" t="n"/>
      <c r="P78" s="8" t="n"/>
      <c r="Q78" s="14" t="n"/>
      <c r="R78" s="25">
        <f>IF($C78="","",IF($E78="Falta","-",MAX(0,MIN(10,5+IFERROR(VALUE(TRIM(MID(SUBSTITUTE(SUBSTITUTE(SUBSTITUTE(UPPER($P78)," ",""),"C",""),";",REPT(" ",30)),1,30))),0)+IFERROR(VALUE(TRIM(MID(SUBSTITUTE(SUBSTITUTE(SUBSTITUTE(UPPER($P78)," ",""),"C",""),";",REPT(" ",30)),31,30))),0)+IFERROR(VALUE(TRIM(MID(SUBSTITUTE(SUBSTITUTE(SUBSTITUTE(UPPER($P78)," ",""),"C",""),";",REPT(" ",30)),61,30))),0)+IFERROR(VALUE(TRIM(MID(SUBSTITUTE(SUBSTITUTE(SUBSTITUTE(UPPER($P78)," ",""),"C",""),";",REPT(" ",30)),91,30))),0)+IFERROR(VALUE(TRIM(MID(SUBSTITUTE(SUBSTITUTE(SUBSTITUTE(UPPER($P78)," ",""),"C",""),";",REPT(" ",30)),121,30))),0)+IFERROR(VALUE(TRIM(MID(SUBSTITUTE(SUBSTITUTE(SUBSTITUTE(UPPER($P78)," ",""),"C",""),";",REPT(" ",30)),151,30))),0)+IFERROR(VALUE(TRIM(MID(SUBSTITUTE(SUBSTITUTE(SUBSTITUTE(UPPER($P78)," ",""),"C",""),";",REPT(" ",30)),181,30))),0)+IFERROR(VALUE(TRIM(MID(SUBSTITUTE(SUBSTITUTE(SUBSTITUTE(UPPER($P78)," ",""),"C",""),";",REPT(" ",30)),211,30))),0)))))</f>
        <v/>
      </c>
      <c r="S78" s="24" t="n"/>
      <c r="T78" s="8" t="n"/>
      <c r="U78" s="14" t="n"/>
      <c r="V78" s="25">
        <f>IF($C78="","",IF($E78="Falta","-",MAX(0,MIN(10,5+IFERROR(VALUE(TRIM(MID(SUBSTITUTE(SUBSTITUTE(SUBSTITUTE(UPPER($T78)," ",""),"P",""),";",REPT(" ",30)),1,30))),0)+IFERROR(VALUE(TRIM(MID(SUBSTITUTE(SUBSTITUTE(SUBSTITUTE(UPPER($T78)," ",""),"P",""),";",REPT(" ",30)),31,30))),0)+IFERROR(VALUE(TRIM(MID(SUBSTITUTE(SUBSTITUTE(SUBSTITUTE(UPPER($T78)," ",""),"P",""),";",REPT(" ",30)),61,30))),0)+IFERROR(VALUE(TRIM(MID(SUBSTITUTE(SUBSTITUTE(SUBSTITUTE(UPPER($T78)," ",""),"P",""),";",REPT(" ",30)),91,30))),0)+IFERROR(VALUE(TRIM(MID(SUBSTITUTE(SUBSTITUTE(SUBSTITUTE(UPPER($T78)," ",""),"P",""),";",REPT(" ",30)),121,30))),0)+IFERROR(VALUE(TRIM(MID(SUBSTITUTE(SUBSTITUTE(SUBSTITUTE(UPPER($T78)," ",""),"P",""),";",REPT(" ",30)),151,30))),0)+IFERROR(VALUE(TRIM(MID(SUBSTITUTE(SUBSTITUTE(SUBSTITUTE(UPPER($T78)," ",""),"P",""),";",REPT(" ",30)),181,30))),0)+IFERROR(VALUE(TRIM(MID(SUBSTITUTE(SUBSTITUTE(SUBSTITUTE(UPPER($T78)," ",""),"P",""),";",REPT(" ",30)),211,30))),0)))))</f>
        <v/>
      </c>
      <c r="W78" s="24" t="n"/>
      <c r="X78" s="14" t="n"/>
    </row>
    <row r="79">
      <c r="A79" s="6">
        <f>IF($C79="","",16)</f>
        <v/>
      </c>
      <c r="B79" s="6">
        <f>IF($C79="","","1ª Sessão")</f>
        <v/>
      </c>
      <c r="C79" s="6">
        <f>IF(Preenchimento!$B$25="","",Preenchimento!$B$25)</f>
        <v/>
      </c>
      <c r="D79" s="6">
        <f>IF($C79="","",IF(Preenchimento!$C$25="","-",Preenchimento!$C$25))</f>
        <v/>
      </c>
      <c r="E79" s="6" t="n"/>
      <c r="F79" s="6" t="n"/>
      <c r="G79" s="26" t="n"/>
      <c r="H79" s="6" t="n"/>
      <c r="I79" s="13" t="n"/>
      <c r="J79" s="27">
        <f>IF($C79="","",IF($E79="Falta","-",MAX(0,MIN(10,8+IFERROR(VALUE(TRIM(MID(SUBSTITUTE(SUBSTITUTE(SUBSTITUTE(UPPER($H79)," ",""),"D",""),";",REPT(" ",30)),1,30))),0)+IFERROR(VALUE(TRIM(MID(SUBSTITUTE(SUBSTITUTE(SUBSTITUTE(UPPER($H79)," ",""),"D",""),";",REPT(" ",30)),31,30))),0)+IFERROR(VALUE(TRIM(MID(SUBSTITUTE(SUBSTITUTE(SUBSTITUTE(UPPER($H79)," ",""),"D",""),";",REPT(" ",30)),61,30))),0)+IFERROR(VALUE(TRIM(MID(SUBSTITUTE(SUBSTITUTE(SUBSTITUTE(UPPER($H79)," ",""),"D",""),";",REPT(" ",30)),91,30))),0)+IFERROR(VALUE(TRIM(MID(SUBSTITUTE(SUBSTITUTE(SUBSTITUTE(UPPER($H79)," ",""),"D",""),";",REPT(" ",30)),121,30))),0)+IFERROR(VALUE(TRIM(MID(SUBSTITUTE(SUBSTITUTE(SUBSTITUTE(UPPER($H79)," ",""),"D",""),";",REPT(" ",30)),151,30))),0)+IFERROR(VALUE(TRIM(MID(SUBSTITUTE(SUBSTITUTE(SUBSTITUTE(UPPER($H79)," ",""),"D",""),";",REPT(" ",30)),181,30))),0)+IFERROR(VALUE(TRIM(MID(SUBSTITUTE(SUBSTITUTE(SUBSTITUTE(UPPER($H79)," ",""),"D",""),";",REPT(" ",30)),211,30))),0)))))</f>
        <v/>
      </c>
      <c r="K79" s="26" t="n"/>
      <c r="L79" s="6" t="n"/>
      <c r="M79" s="13" t="n"/>
      <c r="N79" s="27">
        <f>IF($C79="","",IF($E79="Falta","-",MAX(0,MIN(10,8+IFERROR(VALUE(TRIM(MID(SUBSTITUTE(SUBSTITUTE(SUBSTITUTE(UPPER($L79)," ",""),"F",""),";",REPT(" ",30)),1,30))),0)+IFERROR(VALUE(TRIM(MID(SUBSTITUTE(SUBSTITUTE(SUBSTITUTE(UPPER($L79)," ",""),"F",""),";",REPT(" ",30)),31,30))),0)+IFERROR(VALUE(TRIM(MID(SUBSTITUTE(SUBSTITUTE(SUBSTITUTE(UPPER($L79)," ",""),"F",""),";",REPT(" ",30)),61,30))),0)+IFERROR(VALUE(TRIM(MID(SUBSTITUTE(SUBSTITUTE(SUBSTITUTE(UPPER($L79)," ",""),"F",""),";",REPT(" ",30)),91,30))),0)+IFERROR(VALUE(TRIM(MID(SUBSTITUTE(SUBSTITUTE(SUBSTITUTE(UPPER($L79)," ",""),"F",""),";",REPT(" ",30)),121,30))),0)+IFERROR(VALUE(TRIM(MID(SUBSTITUTE(SUBSTITUTE(SUBSTITUTE(UPPER($L79)," ",""),"F",""),";",REPT(" ",30)),151,30))),0)+IFERROR(VALUE(TRIM(MID(SUBSTITUTE(SUBSTITUTE(SUBSTITUTE(UPPER($L79)," ",""),"F",""),";",REPT(" ",30)),181,30))),0)+IFERROR(VALUE(TRIM(MID(SUBSTITUTE(SUBSTITUTE(SUBSTITUTE(UPPER($L79)," ",""),"F",""),";",REPT(" ",30)),211,30))),0)))))</f>
        <v/>
      </c>
      <c r="O79" s="26" t="n"/>
      <c r="P79" s="6" t="n"/>
      <c r="Q79" s="13" t="n"/>
      <c r="R79" s="27">
        <f>IF($C79="","",IF($E79="Falta","-",MAX(0,MIN(10,5+IFERROR(VALUE(TRIM(MID(SUBSTITUTE(SUBSTITUTE(SUBSTITUTE(UPPER($P79)," ",""),"C",""),";",REPT(" ",30)),1,30))),0)+IFERROR(VALUE(TRIM(MID(SUBSTITUTE(SUBSTITUTE(SUBSTITUTE(UPPER($P79)," ",""),"C",""),";",REPT(" ",30)),31,30))),0)+IFERROR(VALUE(TRIM(MID(SUBSTITUTE(SUBSTITUTE(SUBSTITUTE(UPPER($P79)," ",""),"C",""),";",REPT(" ",30)),61,30))),0)+IFERROR(VALUE(TRIM(MID(SUBSTITUTE(SUBSTITUTE(SUBSTITUTE(UPPER($P79)," ",""),"C",""),";",REPT(" ",30)),91,30))),0)+IFERROR(VALUE(TRIM(MID(SUBSTITUTE(SUBSTITUTE(SUBSTITUTE(UPPER($P79)," ",""),"C",""),";",REPT(" ",30)),121,30))),0)+IFERROR(VALUE(TRIM(MID(SUBSTITUTE(SUBSTITUTE(SUBSTITUTE(UPPER($P79)," ",""),"C",""),";",REPT(" ",30)),151,30))),0)+IFERROR(VALUE(TRIM(MID(SUBSTITUTE(SUBSTITUTE(SUBSTITUTE(UPPER($P79)," ",""),"C",""),";",REPT(" ",30)),181,30))),0)+IFERROR(VALUE(TRIM(MID(SUBSTITUTE(SUBSTITUTE(SUBSTITUTE(UPPER($P79)," ",""),"C",""),";",REPT(" ",30)),211,30))),0)))))</f>
        <v/>
      </c>
      <c r="S79" s="26" t="n"/>
      <c r="T79" s="6" t="n"/>
      <c r="U79" s="13" t="n"/>
      <c r="V79" s="27">
        <f>IF($C79="","",IF($E79="Falta","-",MAX(0,MIN(10,5+IFERROR(VALUE(TRIM(MID(SUBSTITUTE(SUBSTITUTE(SUBSTITUTE(UPPER($T79)," ",""),"P",""),";",REPT(" ",30)),1,30))),0)+IFERROR(VALUE(TRIM(MID(SUBSTITUTE(SUBSTITUTE(SUBSTITUTE(UPPER($T79)," ",""),"P",""),";",REPT(" ",30)),31,30))),0)+IFERROR(VALUE(TRIM(MID(SUBSTITUTE(SUBSTITUTE(SUBSTITUTE(UPPER($T79)," ",""),"P",""),";",REPT(" ",30)),61,30))),0)+IFERROR(VALUE(TRIM(MID(SUBSTITUTE(SUBSTITUTE(SUBSTITUTE(UPPER($T79)," ",""),"P",""),";",REPT(" ",30)),91,30))),0)+IFERROR(VALUE(TRIM(MID(SUBSTITUTE(SUBSTITUTE(SUBSTITUTE(UPPER($T79)," ",""),"P",""),";",REPT(" ",30)),121,30))),0)+IFERROR(VALUE(TRIM(MID(SUBSTITUTE(SUBSTITUTE(SUBSTITUTE(UPPER($T79)," ",""),"P",""),";",REPT(" ",30)),151,30))),0)+IFERROR(VALUE(TRIM(MID(SUBSTITUTE(SUBSTITUTE(SUBSTITUTE(UPPER($T79)," ",""),"P",""),";",REPT(" ",30)),181,30))),0)+IFERROR(VALUE(TRIM(MID(SUBSTITUTE(SUBSTITUTE(SUBSTITUTE(UPPER($T79)," ",""),"P",""),";",REPT(" ",30)),211,30))),0)))))</f>
        <v/>
      </c>
      <c r="W79" s="26" t="n"/>
      <c r="X79" s="13" t="n"/>
    </row>
    <row r="80">
      <c r="A80" s="6">
        <f>IF($C80="","",16)</f>
        <v/>
      </c>
      <c r="B80" s="6">
        <f>IF($C80="","","2ª Sessão")</f>
        <v/>
      </c>
      <c r="C80" s="6">
        <f>IF(Preenchimento!$B$25="","",Preenchimento!$B$25)</f>
        <v/>
      </c>
      <c r="D80" s="6">
        <f>IF($C80="","",IF(Preenchimento!$C$25="","-",Preenchimento!$C$25))</f>
        <v/>
      </c>
      <c r="E80" s="6" t="n"/>
      <c r="F80" s="6" t="n"/>
      <c r="G80" s="26" t="n"/>
      <c r="H80" s="6" t="n"/>
      <c r="I80" s="13" t="n"/>
      <c r="J80" s="27">
        <f>IF($C80="","",IF($E80="Falta","-",MAX(0,MIN(10,8+IFERROR(VALUE(TRIM(MID(SUBSTITUTE(SUBSTITUTE(SUBSTITUTE(UPPER($H80)," ",""),"D",""),";",REPT(" ",30)),1,30))),0)+IFERROR(VALUE(TRIM(MID(SUBSTITUTE(SUBSTITUTE(SUBSTITUTE(UPPER($H80)," ",""),"D",""),";",REPT(" ",30)),31,30))),0)+IFERROR(VALUE(TRIM(MID(SUBSTITUTE(SUBSTITUTE(SUBSTITUTE(UPPER($H80)," ",""),"D",""),";",REPT(" ",30)),61,30))),0)+IFERROR(VALUE(TRIM(MID(SUBSTITUTE(SUBSTITUTE(SUBSTITUTE(UPPER($H80)," ",""),"D",""),";",REPT(" ",30)),91,30))),0)+IFERROR(VALUE(TRIM(MID(SUBSTITUTE(SUBSTITUTE(SUBSTITUTE(UPPER($H80)," ",""),"D",""),";",REPT(" ",30)),121,30))),0)+IFERROR(VALUE(TRIM(MID(SUBSTITUTE(SUBSTITUTE(SUBSTITUTE(UPPER($H80)," ",""),"D",""),";",REPT(" ",30)),151,30))),0)+IFERROR(VALUE(TRIM(MID(SUBSTITUTE(SUBSTITUTE(SUBSTITUTE(UPPER($H80)," ",""),"D",""),";",REPT(" ",30)),181,30))),0)+IFERROR(VALUE(TRIM(MID(SUBSTITUTE(SUBSTITUTE(SUBSTITUTE(UPPER($H80)," ",""),"D",""),";",REPT(" ",30)),211,30))),0)))))</f>
        <v/>
      </c>
      <c r="K80" s="26" t="n"/>
      <c r="L80" s="6" t="n"/>
      <c r="M80" s="13" t="n"/>
      <c r="N80" s="27">
        <f>IF($C80="","",IF($E80="Falta","-",MAX(0,MIN(10,8+IFERROR(VALUE(TRIM(MID(SUBSTITUTE(SUBSTITUTE(SUBSTITUTE(UPPER($L80)," ",""),"F",""),";",REPT(" ",30)),1,30))),0)+IFERROR(VALUE(TRIM(MID(SUBSTITUTE(SUBSTITUTE(SUBSTITUTE(UPPER($L80)," ",""),"F",""),";",REPT(" ",30)),31,30))),0)+IFERROR(VALUE(TRIM(MID(SUBSTITUTE(SUBSTITUTE(SUBSTITUTE(UPPER($L80)," ",""),"F",""),";",REPT(" ",30)),61,30))),0)+IFERROR(VALUE(TRIM(MID(SUBSTITUTE(SUBSTITUTE(SUBSTITUTE(UPPER($L80)," ",""),"F",""),";",REPT(" ",30)),91,30))),0)+IFERROR(VALUE(TRIM(MID(SUBSTITUTE(SUBSTITUTE(SUBSTITUTE(UPPER($L80)," ",""),"F",""),";",REPT(" ",30)),121,30))),0)+IFERROR(VALUE(TRIM(MID(SUBSTITUTE(SUBSTITUTE(SUBSTITUTE(UPPER($L80)," ",""),"F",""),";",REPT(" ",30)),151,30))),0)+IFERROR(VALUE(TRIM(MID(SUBSTITUTE(SUBSTITUTE(SUBSTITUTE(UPPER($L80)," ",""),"F",""),";",REPT(" ",30)),181,30))),0)+IFERROR(VALUE(TRIM(MID(SUBSTITUTE(SUBSTITUTE(SUBSTITUTE(UPPER($L80)," ",""),"F",""),";",REPT(" ",30)),211,30))),0)))))</f>
        <v/>
      </c>
      <c r="O80" s="26" t="n"/>
      <c r="P80" s="6" t="n"/>
      <c r="Q80" s="13" t="n"/>
      <c r="R80" s="27">
        <f>IF($C80="","",IF($E80="Falta","-",MAX(0,MIN(10,5+IFERROR(VALUE(TRIM(MID(SUBSTITUTE(SUBSTITUTE(SUBSTITUTE(UPPER($P80)," ",""),"C",""),";",REPT(" ",30)),1,30))),0)+IFERROR(VALUE(TRIM(MID(SUBSTITUTE(SUBSTITUTE(SUBSTITUTE(UPPER($P80)," ",""),"C",""),";",REPT(" ",30)),31,30))),0)+IFERROR(VALUE(TRIM(MID(SUBSTITUTE(SUBSTITUTE(SUBSTITUTE(UPPER($P80)," ",""),"C",""),";",REPT(" ",30)),61,30))),0)+IFERROR(VALUE(TRIM(MID(SUBSTITUTE(SUBSTITUTE(SUBSTITUTE(UPPER($P80)," ",""),"C",""),";",REPT(" ",30)),91,30))),0)+IFERROR(VALUE(TRIM(MID(SUBSTITUTE(SUBSTITUTE(SUBSTITUTE(UPPER($P80)," ",""),"C",""),";",REPT(" ",30)),121,30))),0)+IFERROR(VALUE(TRIM(MID(SUBSTITUTE(SUBSTITUTE(SUBSTITUTE(UPPER($P80)," ",""),"C",""),";",REPT(" ",30)),151,30))),0)+IFERROR(VALUE(TRIM(MID(SUBSTITUTE(SUBSTITUTE(SUBSTITUTE(UPPER($P80)," ",""),"C",""),";",REPT(" ",30)),181,30))),0)+IFERROR(VALUE(TRIM(MID(SUBSTITUTE(SUBSTITUTE(SUBSTITUTE(UPPER($P80)," ",""),"C",""),";",REPT(" ",30)),211,30))),0)))))</f>
        <v/>
      </c>
      <c r="S80" s="26" t="n"/>
      <c r="T80" s="6" t="n"/>
      <c r="U80" s="13" t="n"/>
      <c r="V80" s="27">
        <f>IF($C80="","",IF($E80="Falta","-",MAX(0,MIN(10,5+IFERROR(VALUE(TRIM(MID(SUBSTITUTE(SUBSTITUTE(SUBSTITUTE(UPPER($T80)," ",""),"P",""),";",REPT(" ",30)),1,30))),0)+IFERROR(VALUE(TRIM(MID(SUBSTITUTE(SUBSTITUTE(SUBSTITUTE(UPPER($T80)," ",""),"P",""),";",REPT(" ",30)),31,30))),0)+IFERROR(VALUE(TRIM(MID(SUBSTITUTE(SUBSTITUTE(SUBSTITUTE(UPPER($T80)," ",""),"P",""),";",REPT(" ",30)),61,30))),0)+IFERROR(VALUE(TRIM(MID(SUBSTITUTE(SUBSTITUTE(SUBSTITUTE(UPPER($T80)," ",""),"P",""),";",REPT(" ",30)),91,30))),0)+IFERROR(VALUE(TRIM(MID(SUBSTITUTE(SUBSTITUTE(SUBSTITUTE(UPPER($T80)," ",""),"P",""),";",REPT(" ",30)),121,30))),0)+IFERROR(VALUE(TRIM(MID(SUBSTITUTE(SUBSTITUTE(SUBSTITUTE(UPPER($T80)," ",""),"P",""),";",REPT(" ",30)),151,30))),0)+IFERROR(VALUE(TRIM(MID(SUBSTITUTE(SUBSTITUTE(SUBSTITUTE(UPPER($T80)," ",""),"P",""),";",REPT(" ",30)),181,30))),0)+IFERROR(VALUE(TRIM(MID(SUBSTITUTE(SUBSTITUTE(SUBSTITUTE(UPPER($T80)," ",""),"P",""),";",REPT(" ",30)),211,30))),0)))))</f>
        <v/>
      </c>
      <c r="W80" s="26" t="n"/>
      <c r="X80" s="13" t="n"/>
    </row>
    <row r="81">
      <c r="A81" s="6">
        <f>IF($C81="","",16)</f>
        <v/>
      </c>
      <c r="B81" s="6">
        <f>IF($C81="","","3ª Sessão")</f>
        <v/>
      </c>
      <c r="C81" s="6">
        <f>IF(Preenchimento!$B$25="","",Preenchimento!$B$25)</f>
        <v/>
      </c>
      <c r="D81" s="6">
        <f>IF($C81="","",IF(Preenchimento!$C$25="","-",Preenchimento!$C$25))</f>
        <v/>
      </c>
      <c r="E81" s="6" t="n"/>
      <c r="F81" s="6" t="n"/>
      <c r="G81" s="26" t="n"/>
      <c r="H81" s="6" t="n"/>
      <c r="I81" s="13" t="n"/>
      <c r="J81" s="27">
        <f>IF($C81="","",IF($E81="Falta","-",MAX(0,MIN(10,8+IFERROR(VALUE(TRIM(MID(SUBSTITUTE(SUBSTITUTE(SUBSTITUTE(UPPER($H81)," ",""),"D",""),";",REPT(" ",30)),1,30))),0)+IFERROR(VALUE(TRIM(MID(SUBSTITUTE(SUBSTITUTE(SUBSTITUTE(UPPER($H81)," ",""),"D",""),";",REPT(" ",30)),31,30))),0)+IFERROR(VALUE(TRIM(MID(SUBSTITUTE(SUBSTITUTE(SUBSTITUTE(UPPER($H81)," ",""),"D",""),";",REPT(" ",30)),61,30))),0)+IFERROR(VALUE(TRIM(MID(SUBSTITUTE(SUBSTITUTE(SUBSTITUTE(UPPER($H81)," ",""),"D",""),";",REPT(" ",30)),91,30))),0)+IFERROR(VALUE(TRIM(MID(SUBSTITUTE(SUBSTITUTE(SUBSTITUTE(UPPER($H81)," ",""),"D",""),";",REPT(" ",30)),121,30))),0)+IFERROR(VALUE(TRIM(MID(SUBSTITUTE(SUBSTITUTE(SUBSTITUTE(UPPER($H81)," ",""),"D",""),";",REPT(" ",30)),151,30))),0)+IFERROR(VALUE(TRIM(MID(SUBSTITUTE(SUBSTITUTE(SUBSTITUTE(UPPER($H81)," ",""),"D",""),";",REPT(" ",30)),181,30))),0)+IFERROR(VALUE(TRIM(MID(SUBSTITUTE(SUBSTITUTE(SUBSTITUTE(UPPER($H81)," ",""),"D",""),";",REPT(" ",30)),211,30))),0)))))</f>
        <v/>
      </c>
      <c r="K81" s="26" t="n"/>
      <c r="L81" s="6" t="n"/>
      <c r="M81" s="13" t="n"/>
      <c r="N81" s="27">
        <f>IF($C81="","",IF($E81="Falta","-",MAX(0,MIN(10,8+IFERROR(VALUE(TRIM(MID(SUBSTITUTE(SUBSTITUTE(SUBSTITUTE(UPPER($L81)," ",""),"F",""),";",REPT(" ",30)),1,30))),0)+IFERROR(VALUE(TRIM(MID(SUBSTITUTE(SUBSTITUTE(SUBSTITUTE(UPPER($L81)," ",""),"F",""),";",REPT(" ",30)),31,30))),0)+IFERROR(VALUE(TRIM(MID(SUBSTITUTE(SUBSTITUTE(SUBSTITUTE(UPPER($L81)," ",""),"F",""),";",REPT(" ",30)),61,30))),0)+IFERROR(VALUE(TRIM(MID(SUBSTITUTE(SUBSTITUTE(SUBSTITUTE(UPPER($L81)," ",""),"F",""),";",REPT(" ",30)),91,30))),0)+IFERROR(VALUE(TRIM(MID(SUBSTITUTE(SUBSTITUTE(SUBSTITUTE(UPPER($L81)," ",""),"F",""),";",REPT(" ",30)),121,30))),0)+IFERROR(VALUE(TRIM(MID(SUBSTITUTE(SUBSTITUTE(SUBSTITUTE(UPPER($L81)," ",""),"F",""),";",REPT(" ",30)),151,30))),0)+IFERROR(VALUE(TRIM(MID(SUBSTITUTE(SUBSTITUTE(SUBSTITUTE(UPPER($L81)," ",""),"F",""),";",REPT(" ",30)),181,30))),0)+IFERROR(VALUE(TRIM(MID(SUBSTITUTE(SUBSTITUTE(SUBSTITUTE(UPPER($L81)," ",""),"F",""),";",REPT(" ",30)),211,30))),0)))))</f>
        <v/>
      </c>
      <c r="O81" s="26" t="n"/>
      <c r="P81" s="6" t="n"/>
      <c r="Q81" s="13" t="n"/>
      <c r="R81" s="27">
        <f>IF($C81="","",IF($E81="Falta","-",MAX(0,MIN(10,5+IFERROR(VALUE(TRIM(MID(SUBSTITUTE(SUBSTITUTE(SUBSTITUTE(UPPER($P81)," ",""),"C",""),";",REPT(" ",30)),1,30))),0)+IFERROR(VALUE(TRIM(MID(SUBSTITUTE(SUBSTITUTE(SUBSTITUTE(UPPER($P81)," ",""),"C",""),";",REPT(" ",30)),31,30))),0)+IFERROR(VALUE(TRIM(MID(SUBSTITUTE(SUBSTITUTE(SUBSTITUTE(UPPER($P81)," ",""),"C",""),";",REPT(" ",30)),61,30))),0)+IFERROR(VALUE(TRIM(MID(SUBSTITUTE(SUBSTITUTE(SUBSTITUTE(UPPER($P81)," ",""),"C",""),";",REPT(" ",30)),91,30))),0)+IFERROR(VALUE(TRIM(MID(SUBSTITUTE(SUBSTITUTE(SUBSTITUTE(UPPER($P81)," ",""),"C",""),";",REPT(" ",30)),121,30))),0)+IFERROR(VALUE(TRIM(MID(SUBSTITUTE(SUBSTITUTE(SUBSTITUTE(UPPER($P81)," ",""),"C",""),";",REPT(" ",30)),151,30))),0)+IFERROR(VALUE(TRIM(MID(SUBSTITUTE(SUBSTITUTE(SUBSTITUTE(UPPER($P81)," ",""),"C",""),";",REPT(" ",30)),181,30))),0)+IFERROR(VALUE(TRIM(MID(SUBSTITUTE(SUBSTITUTE(SUBSTITUTE(UPPER($P81)," ",""),"C",""),";",REPT(" ",30)),211,30))),0)))))</f>
        <v/>
      </c>
      <c r="S81" s="26" t="n"/>
      <c r="T81" s="6" t="n"/>
      <c r="U81" s="13" t="n"/>
      <c r="V81" s="27">
        <f>IF($C81="","",IF($E81="Falta","-",MAX(0,MIN(10,5+IFERROR(VALUE(TRIM(MID(SUBSTITUTE(SUBSTITUTE(SUBSTITUTE(UPPER($T81)," ",""),"P",""),";",REPT(" ",30)),1,30))),0)+IFERROR(VALUE(TRIM(MID(SUBSTITUTE(SUBSTITUTE(SUBSTITUTE(UPPER($T81)," ",""),"P",""),";",REPT(" ",30)),31,30))),0)+IFERROR(VALUE(TRIM(MID(SUBSTITUTE(SUBSTITUTE(SUBSTITUTE(UPPER($T81)," ",""),"P",""),";",REPT(" ",30)),61,30))),0)+IFERROR(VALUE(TRIM(MID(SUBSTITUTE(SUBSTITUTE(SUBSTITUTE(UPPER($T81)," ",""),"P",""),";",REPT(" ",30)),91,30))),0)+IFERROR(VALUE(TRIM(MID(SUBSTITUTE(SUBSTITUTE(SUBSTITUTE(UPPER($T81)," ",""),"P",""),";",REPT(" ",30)),121,30))),0)+IFERROR(VALUE(TRIM(MID(SUBSTITUTE(SUBSTITUTE(SUBSTITUTE(UPPER($T81)," ",""),"P",""),";",REPT(" ",30)),151,30))),0)+IFERROR(VALUE(TRIM(MID(SUBSTITUTE(SUBSTITUTE(SUBSTITUTE(UPPER($T81)," ",""),"P",""),";",REPT(" ",30)),181,30))),0)+IFERROR(VALUE(TRIM(MID(SUBSTITUTE(SUBSTITUTE(SUBSTITUTE(UPPER($T81)," ",""),"P",""),";",REPT(" ",30)),211,30))),0)))))</f>
        <v/>
      </c>
      <c r="W81" s="26" t="n"/>
      <c r="X81" s="13" t="n"/>
    </row>
    <row r="82">
      <c r="A82" s="6">
        <f>IF($C82="","",16)</f>
        <v/>
      </c>
      <c r="B82" s="6">
        <f>IF($C82="","","4ª Sessão")</f>
        <v/>
      </c>
      <c r="C82" s="6">
        <f>IF(Preenchimento!$B$25="","",Preenchimento!$B$25)</f>
        <v/>
      </c>
      <c r="D82" s="6">
        <f>IF($C82="","",IF(Preenchimento!$C$25="","-",Preenchimento!$C$25))</f>
        <v/>
      </c>
      <c r="E82" s="6" t="n"/>
      <c r="F82" s="6" t="n"/>
      <c r="G82" s="26" t="n"/>
      <c r="H82" s="6" t="n"/>
      <c r="I82" s="13" t="n"/>
      <c r="J82" s="27">
        <f>IF($C82="","",IF($E82="Falta","-",MAX(0,MIN(10,8+IFERROR(VALUE(TRIM(MID(SUBSTITUTE(SUBSTITUTE(SUBSTITUTE(UPPER($H82)," ",""),"D",""),";",REPT(" ",30)),1,30))),0)+IFERROR(VALUE(TRIM(MID(SUBSTITUTE(SUBSTITUTE(SUBSTITUTE(UPPER($H82)," ",""),"D",""),";",REPT(" ",30)),31,30))),0)+IFERROR(VALUE(TRIM(MID(SUBSTITUTE(SUBSTITUTE(SUBSTITUTE(UPPER($H82)," ",""),"D",""),";",REPT(" ",30)),61,30))),0)+IFERROR(VALUE(TRIM(MID(SUBSTITUTE(SUBSTITUTE(SUBSTITUTE(UPPER($H82)," ",""),"D",""),";",REPT(" ",30)),91,30))),0)+IFERROR(VALUE(TRIM(MID(SUBSTITUTE(SUBSTITUTE(SUBSTITUTE(UPPER($H82)," ",""),"D",""),";",REPT(" ",30)),121,30))),0)+IFERROR(VALUE(TRIM(MID(SUBSTITUTE(SUBSTITUTE(SUBSTITUTE(UPPER($H82)," ",""),"D",""),";",REPT(" ",30)),151,30))),0)+IFERROR(VALUE(TRIM(MID(SUBSTITUTE(SUBSTITUTE(SUBSTITUTE(UPPER($H82)," ",""),"D",""),";",REPT(" ",30)),181,30))),0)+IFERROR(VALUE(TRIM(MID(SUBSTITUTE(SUBSTITUTE(SUBSTITUTE(UPPER($H82)," ",""),"D",""),";",REPT(" ",30)),211,30))),0)))))</f>
        <v/>
      </c>
      <c r="K82" s="26" t="n"/>
      <c r="L82" s="6" t="n"/>
      <c r="M82" s="13" t="n"/>
      <c r="N82" s="27">
        <f>IF($C82="","",IF($E82="Falta","-",MAX(0,MIN(10,8+IFERROR(VALUE(TRIM(MID(SUBSTITUTE(SUBSTITUTE(SUBSTITUTE(UPPER($L82)," ",""),"F",""),";",REPT(" ",30)),1,30))),0)+IFERROR(VALUE(TRIM(MID(SUBSTITUTE(SUBSTITUTE(SUBSTITUTE(UPPER($L82)," ",""),"F",""),";",REPT(" ",30)),31,30))),0)+IFERROR(VALUE(TRIM(MID(SUBSTITUTE(SUBSTITUTE(SUBSTITUTE(UPPER($L82)," ",""),"F",""),";",REPT(" ",30)),61,30))),0)+IFERROR(VALUE(TRIM(MID(SUBSTITUTE(SUBSTITUTE(SUBSTITUTE(UPPER($L82)," ",""),"F",""),";",REPT(" ",30)),91,30))),0)+IFERROR(VALUE(TRIM(MID(SUBSTITUTE(SUBSTITUTE(SUBSTITUTE(UPPER($L82)," ",""),"F",""),";",REPT(" ",30)),121,30))),0)+IFERROR(VALUE(TRIM(MID(SUBSTITUTE(SUBSTITUTE(SUBSTITUTE(UPPER($L82)," ",""),"F",""),";",REPT(" ",30)),151,30))),0)+IFERROR(VALUE(TRIM(MID(SUBSTITUTE(SUBSTITUTE(SUBSTITUTE(UPPER($L82)," ",""),"F",""),";",REPT(" ",30)),181,30))),0)+IFERROR(VALUE(TRIM(MID(SUBSTITUTE(SUBSTITUTE(SUBSTITUTE(UPPER($L82)," ",""),"F",""),";",REPT(" ",30)),211,30))),0)))))</f>
        <v/>
      </c>
      <c r="O82" s="26" t="n"/>
      <c r="P82" s="6" t="n"/>
      <c r="Q82" s="13" t="n"/>
      <c r="R82" s="27">
        <f>IF($C82="","",IF($E82="Falta","-",MAX(0,MIN(10,5+IFERROR(VALUE(TRIM(MID(SUBSTITUTE(SUBSTITUTE(SUBSTITUTE(UPPER($P82)," ",""),"C",""),";",REPT(" ",30)),1,30))),0)+IFERROR(VALUE(TRIM(MID(SUBSTITUTE(SUBSTITUTE(SUBSTITUTE(UPPER($P82)," ",""),"C",""),";",REPT(" ",30)),31,30))),0)+IFERROR(VALUE(TRIM(MID(SUBSTITUTE(SUBSTITUTE(SUBSTITUTE(UPPER($P82)," ",""),"C",""),";",REPT(" ",30)),61,30))),0)+IFERROR(VALUE(TRIM(MID(SUBSTITUTE(SUBSTITUTE(SUBSTITUTE(UPPER($P82)," ",""),"C",""),";",REPT(" ",30)),91,30))),0)+IFERROR(VALUE(TRIM(MID(SUBSTITUTE(SUBSTITUTE(SUBSTITUTE(UPPER($P82)," ",""),"C",""),";",REPT(" ",30)),121,30))),0)+IFERROR(VALUE(TRIM(MID(SUBSTITUTE(SUBSTITUTE(SUBSTITUTE(UPPER($P82)," ",""),"C",""),";",REPT(" ",30)),151,30))),0)+IFERROR(VALUE(TRIM(MID(SUBSTITUTE(SUBSTITUTE(SUBSTITUTE(UPPER($P82)," ",""),"C",""),";",REPT(" ",30)),181,30))),0)+IFERROR(VALUE(TRIM(MID(SUBSTITUTE(SUBSTITUTE(SUBSTITUTE(UPPER($P82)," ",""),"C",""),";",REPT(" ",30)),211,30))),0)))))</f>
        <v/>
      </c>
      <c r="S82" s="26" t="n"/>
      <c r="T82" s="6" t="n"/>
      <c r="U82" s="13" t="n"/>
      <c r="V82" s="27">
        <f>IF($C82="","",IF($E82="Falta","-",MAX(0,MIN(10,5+IFERROR(VALUE(TRIM(MID(SUBSTITUTE(SUBSTITUTE(SUBSTITUTE(UPPER($T82)," ",""),"P",""),";",REPT(" ",30)),1,30))),0)+IFERROR(VALUE(TRIM(MID(SUBSTITUTE(SUBSTITUTE(SUBSTITUTE(UPPER($T82)," ",""),"P",""),";",REPT(" ",30)),31,30))),0)+IFERROR(VALUE(TRIM(MID(SUBSTITUTE(SUBSTITUTE(SUBSTITUTE(UPPER($T82)," ",""),"P",""),";",REPT(" ",30)),61,30))),0)+IFERROR(VALUE(TRIM(MID(SUBSTITUTE(SUBSTITUTE(SUBSTITUTE(UPPER($T82)," ",""),"P",""),";",REPT(" ",30)),91,30))),0)+IFERROR(VALUE(TRIM(MID(SUBSTITUTE(SUBSTITUTE(SUBSTITUTE(UPPER($T82)," ",""),"P",""),";",REPT(" ",30)),121,30))),0)+IFERROR(VALUE(TRIM(MID(SUBSTITUTE(SUBSTITUTE(SUBSTITUTE(UPPER($T82)," ",""),"P",""),";",REPT(" ",30)),151,30))),0)+IFERROR(VALUE(TRIM(MID(SUBSTITUTE(SUBSTITUTE(SUBSTITUTE(UPPER($T82)," ",""),"P",""),";",REPT(" ",30)),181,30))),0)+IFERROR(VALUE(TRIM(MID(SUBSTITUTE(SUBSTITUTE(SUBSTITUTE(UPPER($T82)," ",""),"P",""),";",REPT(" ",30)),211,30))),0)))))</f>
        <v/>
      </c>
      <c r="W82" s="26" t="n"/>
      <c r="X82" s="13" t="n"/>
    </row>
    <row r="83">
      <c r="A83" s="6">
        <f>IF($C83="","",16)</f>
        <v/>
      </c>
      <c r="B83" s="6">
        <f>IF($C83="","","5ª Sessão")</f>
        <v/>
      </c>
      <c r="C83" s="6">
        <f>IF(Preenchimento!$B$25="","",Preenchimento!$B$25)</f>
        <v/>
      </c>
      <c r="D83" s="6">
        <f>IF($C83="","",IF(Preenchimento!$C$25="","-",Preenchimento!$C$25))</f>
        <v/>
      </c>
      <c r="E83" s="6" t="n"/>
      <c r="F83" s="6" t="n"/>
      <c r="G83" s="26" t="n"/>
      <c r="H83" s="6" t="n"/>
      <c r="I83" s="13" t="n"/>
      <c r="J83" s="27">
        <f>IF($C83="","",IF($E83="Falta","-",MAX(0,MIN(10,8+IFERROR(VALUE(TRIM(MID(SUBSTITUTE(SUBSTITUTE(SUBSTITUTE(UPPER($H83)," ",""),"D",""),";",REPT(" ",30)),1,30))),0)+IFERROR(VALUE(TRIM(MID(SUBSTITUTE(SUBSTITUTE(SUBSTITUTE(UPPER($H83)," ",""),"D",""),";",REPT(" ",30)),31,30))),0)+IFERROR(VALUE(TRIM(MID(SUBSTITUTE(SUBSTITUTE(SUBSTITUTE(UPPER($H83)," ",""),"D",""),";",REPT(" ",30)),61,30))),0)+IFERROR(VALUE(TRIM(MID(SUBSTITUTE(SUBSTITUTE(SUBSTITUTE(UPPER($H83)," ",""),"D",""),";",REPT(" ",30)),91,30))),0)+IFERROR(VALUE(TRIM(MID(SUBSTITUTE(SUBSTITUTE(SUBSTITUTE(UPPER($H83)," ",""),"D",""),";",REPT(" ",30)),121,30))),0)+IFERROR(VALUE(TRIM(MID(SUBSTITUTE(SUBSTITUTE(SUBSTITUTE(UPPER($H83)," ",""),"D",""),";",REPT(" ",30)),151,30))),0)+IFERROR(VALUE(TRIM(MID(SUBSTITUTE(SUBSTITUTE(SUBSTITUTE(UPPER($H83)," ",""),"D",""),";",REPT(" ",30)),181,30))),0)+IFERROR(VALUE(TRIM(MID(SUBSTITUTE(SUBSTITUTE(SUBSTITUTE(UPPER($H83)," ",""),"D",""),";",REPT(" ",30)),211,30))),0)))))</f>
        <v/>
      </c>
      <c r="K83" s="26" t="n"/>
      <c r="L83" s="6" t="n"/>
      <c r="M83" s="13" t="n"/>
      <c r="N83" s="27">
        <f>IF($C83="","",IF($E83="Falta","-",MAX(0,MIN(10,8+IFERROR(VALUE(TRIM(MID(SUBSTITUTE(SUBSTITUTE(SUBSTITUTE(UPPER($L83)," ",""),"F",""),";",REPT(" ",30)),1,30))),0)+IFERROR(VALUE(TRIM(MID(SUBSTITUTE(SUBSTITUTE(SUBSTITUTE(UPPER($L83)," ",""),"F",""),";",REPT(" ",30)),31,30))),0)+IFERROR(VALUE(TRIM(MID(SUBSTITUTE(SUBSTITUTE(SUBSTITUTE(UPPER($L83)," ",""),"F",""),";",REPT(" ",30)),61,30))),0)+IFERROR(VALUE(TRIM(MID(SUBSTITUTE(SUBSTITUTE(SUBSTITUTE(UPPER($L83)," ",""),"F",""),";",REPT(" ",30)),91,30))),0)+IFERROR(VALUE(TRIM(MID(SUBSTITUTE(SUBSTITUTE(SUBSTITUTE(UPPER($L83)," ",""),"F",""),";",REPT(" ",30)),121,30))),0)+IFERROR(VALUE(TRIM(MID(SUBSTITUTE(SUBSTITUTE(SUBSTITUTE(UPPER($L83)," ",""),"F",""),";",REPT(" ",30)),151,30))),0)+IFERROR(VALUE(TRIM(MID(SUBSTITUTE(SUBSTITUTE(SUBSTITUTE(UPPER($L83)," ",""),"F",""),";",REPT(" ",30)),181,30))),0)+IFERROR(VALUE(TRIM(MID(SUBSTITUTE(SUBSTITUTE(SUBSTITUTE(UPPER($L83)," ",""),"F",""),";",REPT(" ",30)),211,30))),0)))))</f>
        <v/>
      </c>
      <c r="O83" s="26" t="n"/>
      <c r="P83" s="6" t="n"/>
      <c r="Q83" s="13" t="n"/>
      <c r="R83" s="27">
        <f>IF($C83="","",IF($E83="Falta","-",MAX(0,MIN(10,5+IFERROR(VALUE(TRIM(MID(SUBSTITUTE(SUBSTITUTE(SUBSTITUTE(UPPER($P83)," ",""),"C",""),";",REPT(" ",30)),1,30))),0)+IFERROR(VALUE(TRIM(MID(SUBSTITUTE(SUBSTITUTE(SUBSTITUTE(UPPER($P83)," ",""),"C",""),";",REPT(" ",30)),31,30))),0)+IFERROR(VALUE(TRIM(MID(SUBSTITUTE(SUBSTITUTE(SUBSTITUTE(UPPER($P83)," ",""),"C",""),";",REPT(" ",30)),61,30))),0)+IFERROR(VALUE(TRIM(MID(SUBSTITUTE(SUBSTITUTE(SUBSTITUTE(UPPER($P83)," ",""),"C",""),";",REPT(" ",30)),91,30))),0)+IFERROR(VALUE(TRIM(MID(SUBSTITUTE(SUBSTITUTE(SUBSTITUTE(UPPER($P83)," ",""),"C",""),";",REPT(" ",30)),121,30))),0)+IFERROR(VALUE(TRIM(MID(SUBSTITUTE(SUBSTITUTE(SUBSTITUTE(UPPER($P83)," ",""),"C",""),";",REPT(" ",30)),151,30))),0)+IFERROR(VALUE(TRIM(MID(SUBSTITUTE(SUBSTITUTE(SUBSTITUTE(UPPER($P83)," ",""),"C",""),";",REPT(" ",30)),181,30))),0)+IFERROR(VALUE(TRIM(MID(SUBSTITUTE(SUBSTITUTE(SUBSTITUTE(UPPER($P83)," ",""),"C",""),";",REPT(" ",30)),211,30))),0)))))</f>
        <v/>
      </c>
      <c r="S83" s="26" t="n"/>
      <c r="T83" s="6" t="n"/>
      <c r="U83" s="13" t="n"/>
      <c r="V83" s="27">
        <f>IF($C83="","",IF($E83="Falta","-",MAX(0,MIN(10,5+IFERROR(VALUE(TRIM(MID(SUBSTITUTE(SUBSTITUTE(SUBSTITUTE(UPPER($T83)," ",""),"P",""),";",REPT(" ",30)),1,30))),0)+IFERROR(VALUE(TRIM(MID(SUBSTITUTE(SUBSTITUTE(SUBSTITUTE(UPPER($T83)," ",""),"P",""),";",REPT(" ",30)),31,30))),0)+IFERROR(VALUE(TRIM(MID(SUBSTITUTE(SUBSTITUTE(SUBSTITUTE(UPPER($T83)," ",""),"P",""),";",REPT(" ",30)),61,30))),0)+IFERROR(VALUE(TRIM(MID(SUBSTITUTE(SUBSTITUTE(SUBSTITUTE(UPPER($T83)," ",""),"P",""),";",REPT(" ",30)),91,30))),0)+IFERROR(VALUE(TRIM(MID(SUBSTITUTE(SUBSTITUTE(SUBSTITUTE(UPPER($T83)," ",""),"P",""),";",REPT(" ",30)),121,30))),0)+IFERROR(VALUE(TRIM(MID(SUBSTITUTE(SUBSTITUTE(SUBSTITUTE(UPPER($T83)," ",""),"P",""),";",REPT(" ",30)),151,30))),0)+IFERROR(VALUE(TRIM(MID(SUBSTITUTE(SUBSTITUTE(SUBSTITUTE(UPPER($T83)," ",""),"P",""),";",REPT(" ",30)),181,30))),0)+IFERROR(VALUE(TRIM(MID(SUBSTITUTE(SUBSTITUTE(SUBSTITUTE(UPPER($T83)," ",""),"P",""),";",REPT(" ",30)),211,30))),0)))))</f>
        <v/>
      </c>
      <c r="W83" s="26" t="n"/>
      <c r="X83" s="13" t="n"/>
    </row>
    <row r="84">
      <c r="A84" s="8">
        <f>IF($C84="","",17)</f>
        <v/>
      </c>
      <c r="B84" s="8">
        <f>IF($C84="","","1ª Sessão")</f>
        <v/>
      </c>
      <c r="C84" s="8">
        <f>IF(Preenchimento!$B$26="","",Preenchimento!$B$26)</f>
        <v/>
      </c>
      <c r="D84" s="8">
        <f>IF($C84="","",IF(Preenchimento!$C$26="","-",Preenchimento!$C$26))</f>
        <v/>
      </c>
      <c r="E84" s="8" t="n"/>
      <c r="F84" s="8" t="n"/>
      <c r="G84" s="24" t="n"/>
      <c r="H84" s="8" t="n"/>
      <c r="I84" s="14" t="n"/>
      <c r="J84" s="25">
        <f>IF($C84="","",IF($E84="Falta","-",MAX(0,MIN(10,8+IFERROR(VALUE(TRIM(MID(SUBSTITUTE(SUBSTITUTE(SUBSTITUTE(UPPER($H84)," ",""),"D",""),";",REPT(" ",30)),1,30))),0)+IFERROR(VALUE(TRIM(MID(SUBSTITUTE(SUBSTITUTE(SUBSTITUTE(UPPER($H84)," ",""),"D",""),";",REPT(" ",30)),31,30))),0)+IFERROR(VALUE(TRIM(MID(SUBSTITUTE(SUBSTITUTE(SUBSTITUTE(UPPER($H84)," ",""),"D",""),";",REPT(" ",30)),61,30))),0)+IFERROR(VALUE(TRIM(MID(SUBSTITUTE(SUBSTITUTE(SUBSTITUTE(UPPER($H84)," ",""),"D",""),";",REPT(" ",30)),91,30))),0)+IFERROR(VALUE(TRIM(MID(SUBSTITUTE(SUBSTITUTE(SUBSTITUTE(UPPER($H84)," ",""),"D",""),";",REPT(" ",30)),121,30))),0)+IFERROR(VALUE(TRIM(MID(SUBSTITUTE(SUBSTITUTE(SUBSTITUTE(UPPER($H84)," ",""),"D",""),";",REPT(" ",30)),151,30))),0)+IFERROR(VALUE(TRIM(MID(SUBSTITUTE(SUBSTITUTE(SUBSTITUTE(UPPER($H84)," ",""),"D",""),";",REPT(" ",30)),181,30))),0)+IFERROR(VALUE(TRIM(MID(SUBSTITUTE(SUBSTITUTE(SUBSTITUTE(UPPER($H84)," ",""),"D",""),";",REPT(" ",30)),211,30))),0)))))</f>
        <v/>
      </c>
      <c r="K84" s="24" t="n"/>
      <c r="L84" s="8" t="n"/>
      <c r="M84" s="14" t="n"/>
      <c r="N84" s="25">
        <f>IF($C84="","",IF($E84="Falta","-",MAX(0,MIN(10,8+IFERROR(VALUE(TRIM(MID(SUBSTITUTE(SUBSTITUTE(SUBSTITUTE(UPPER($L84)," ",""),"F",""),";",REPT(" ",30)),1,30))),0)+IFERROR(VALUE(TRIM(MID(SUBSTITUTE(SUBSTITUTE(SUBSTITUTE(UPPER($L84)," ",""),"F",""),";",REPT(" ",30)),31,30))),0)+IFERROR(VALUE(TRIM(MID(SUBSTITUTE(SUBSTITUTE(SUBSTITUTE(UPPER($L84)," ",""),"F",""),";",REPT(" ",30)),61,30))),0)+IFERROR(VALUE(TRIM(MID(SUBSTITUTE(SUBSTITUTE(SUBSTITUTE(UPPER($L84)," ",""),"F",""),";",REPT(" ",30)),91,30))),0)+IFERROR(VALUE(TRIM(MID(SUBSTITUTE(SUBSTITUTE(SUBSTITUTE(UPPER($L84)," ",""),"F",""),";",REPT(" ",30)),121,30))),0)+IFERROR(VALUE(TRIM(MID(SUBSTITUTE(SUBSTITUTE(SUBSTITUTE(UPPER($L84)," ",""),"F",""),";",REPT(" ",30)),151,30))),0)+IFERROR(VALUE(TRIM(MID(SUBSTITUTE(SUBSTITUTE(SUBSTITUTE(UPPER($L84)," ",""),"F",""),";",REPT(" ",30)),181,30))),0)+IFERROR(VALUE(TRIM(MID(SUBSTITUTE(SUBSTITUTE(SUBSTITUTE(UPPER($L84)," ",""),"F",""),";",REPT(" ",30)),211,30))),0)))))</f>
        <v/>
      </c>
      <c r="O84" s="24" t="n"/>
      <c r="P84" s="8" t="n"/>
      <c r="Q84" s="14" t="n"/>
      <c r="R84" s="25">
        <f>IF($C84="","",IF($E84="Falta","-",MAX(0,MIN(10,5+IFERROR(VALUE(TRIM(MID(SUBSTITUTE(SUBSTITUTE(SUBSTITUTE(UPPER($P84)," ",""),"C",""),";",REPT(" ",30)),1,30))),0)+IFERROR(VALUE(TRIM(MID(SUBSTITUTE(SUBSTITUTE(SUBSTITUTE(UPPER($P84)," ",""),"C",""),";",REPT(" ",30)),31,30))),0)+IFERROR(VALUE(TRIM(MID(SUBSTITUTE(SUBSTITUTE(SUBSTITUTE(UPPER($P84)," ",""),"C",""),";",REPT(" ",30)),61,30))),0)+IFERROR(VALUE(TRIM(MID(SUBSTITUTE(SUBSTITUTE(SUBSTITUTE(UPPER($P84)," ",""),"C",""),";",REPT(" ",30)),91,30))),0)+IFERROR(VALUE(TRIM(MID(SUBSTITUTE(SUBSTITUTE(SUBSTITUTE(UPPER($P84)," ",""),"C",""),";",REPT(" ",30)),121,30))),0)+IFERROR(VALUE(TRIM(MID(SUBSTITUTE(SUBSTITUTE(SUBSTITUTE(UPPER($P84)," ",""),"C",""),";",REPT(" ",30)),151,30))),0)+IFERROR(VALUE(TRIM(MID(SUBSTITUTE(SUBSTITUTE(SUBSTITUTE(UPPER($P84)," ",""),"C",""),";",REPT(" ",30)),181,30))),0)+IFERROR(VALUE(TRIM(MID(SUBSTITUTE(SUBSTITUTE(SUBSTITUTE(UPPER($P84)," ",""),"C",""),";",REPT(" ",30)),211,30))),0)))))</f>
        <v/>
      </c>
      <c r="S84" s="24" t="n"/>
      <c r="T84" s="8" t="n"/>
      <c r="U84" s="14" t="n"/>
      <c r="V84" s="25">
        <f>IF($C84="","",IF($E84="Falta","-",MAX(0,MIN(10,5+IFERROR(VALUE(TRIM(MID(SUBSTITUTE(SUBSTITUTE(SUBSTITUTE(UPPER($T84)," ",""),"P",""),";",REPT(" ",30)),1,30))),0)+IFERROR(VALUE(TRIM(MID(SUBSTITUTE(SUBSTITUTE(SUBSTITUTE(UPPER($T84)," ",""),"P",""),";",REPT(" ",30)),31,30))),0)+IFERROR(VALUE(TRIM(MID(SUBSTITUTE(SUBSTITUTE(SUBSTITUTE(UPPER($T84)," ",""),"P",""),";",REPT(" ",30)),61,30))),0)+IFERROR(VALUE(TRIM(MID(SUBSTITUTE(SUBSTITUTE(SUBSTITUTE(UPPER($T84)," ",""),"P",""),";",REPT(" ",30)),91,30))),0)+IFERROR(VALUE(TRIM(MID(SUBSTITUTE(SUBSTITUTE(SUBSTITUTE(UPPER($T84)," ",""),"P",""),";",REPT(" ",30)),121,30))),0)+IFERROR(VALUE(TRIM(MID(SUBSTITUTE(SUBSTITUTE(SUBSTITUTE(UPPER($T84)," ",""),"P",""),";",REPT(" ",30)),151,30))),0)+IFERROR(VALUE(TRIM(MID(SUBSTITUTE(SUBSTITUTE(SUBSTITUTE(UPPER($T84)," ",""),"P",""),";",REPT(" ",30)),181,30))),0)+IFERROR(VALUE(TRIM(MID(SUBSTITUTE(SUBSTITUTE(SUBSTITUTE(UPPER($T84)," ",""),"P",""),";",REPT(" ",30)),211,30))),0)))))</f>
        <v/>
      </c>
      <c r="W84" s="24" t="n"/>
      <c r="X84" s="14" t="n"/>
    </row>
    <row r="85">
      <c r="A85" s="8">
        <f>IF($C85="","",17)</f>
        <v/>
      </c>
      <c r="B85" s="8">
        <f>IF($C85="","","2ª Sessão")</f>
        <v/>
      </c>
      <c r="C85" s="8">
        <f>IF(Preenchimento!$B$26="","",Preenchimento!$B$26)</f>
        <v/>
      </c>
      <c r="D85" s="8">
        <f>IF($C85="","",IF(Preenchimento!$C$26="","-",Preenchimento!$C$26))</f>
        <v/>
      </c>
      <c r="E85" s="8" t="n"/>
      <c r="F85" s="8" t="n"/>
      <c r="G85" s="24" t="n"/>
      <c r="H85" s="8" t="n"/>
      <c r="I85" s="14" t="n"/>
      <c r="J85" s="25">
        <f>IF($C85="","",IF($E85="Falta","-",MAX(0,MIN(10,8+IFERROR(VALUE(TRIM(MID(SUBSTITUTE(SUBSTITUTE(SUBSTITUTE(UPPER($H85)," ",""),"D",""),";",REPT(" ",30)),1,30))),0)+IFERROR(VALUE(TRIM(MID(SUBSTITUTE(SUBSTITUTE(SUBSTITUTE(UPPER($H85)," ",""),"D",""),";",REPT(" ",30)),31,30))),0)+IFERROR(VALUE(TRIM(MID(SUBSTITUTE(SUBSTITUTE(SUBSTITUTE(UPPER($H85)," ",""),"D",""),";",REPT(" ",30)),61,30))),0)+IFERROR(VALUE(TRIM(MID(SUBSTITUTE(SUBSTITUTE(SUBSTITUTE(UPPER($H85)," ",""),"D",""),";",REPT(" ",30)),91,30))),0)+IFERROR(VALUE(TRIM(MID(SUBSTITUTE(SUBSTITUTE(SUBSTITUTE(UPPER($H85)," ",""),"D",""),";",REPT(" ",30)),121,30))),0)+IFERROR(VALUE(TRIM(MID(SUBSTITUTE(SUBSTITUTE(SUBSTITUTE(UPPER($H85)," ",""),"D",""),";",REPT(" ",30)),151,30))),0)+IFERROR(VALUE(TRIM(MID(SUBSTITUTE(SUBSTITUTE(SUBSTITUTE(UPPER($H85)," ",""),"D",""),";",REPT(" ",30)),181,30))),0)+IFERROR(VALUE(TRIM(MID(SUBSTITUTE(SUBSTITUTE(SUBSTITUTE(UPPER($H85)," ",""),"D",""),";",REPT(" ",30)),211,30))),0)))))</f>
        <v/>
      </c>
      <c r="K85" s="24" t="n"/>
      <c r="L85" s="8" t="n"/>
      <c r="M85" s="14" t="n"/>
      <c r="N85" s="25">
        <f>IF($C85="","",IF($E85="Falta","-",MAX(0,MIN(10,8+IFERROR(VALUE(TRIM(MID(SUBSTITUTE(SUBSTITUTE(SUBSTITUTE(UPPER($L85)," ",""),"F",""),";",REPT(" ",30)),1,30))),0)+IFERROR(VALUE(TRIM(MID(SUBSTITUTE(SUBSTITUTE(SUBSTITUTE(UPPER($L85)," ",""),"F",""),";",REPT(" ",30)),31,30))),0)+IFERROR(VALUE(TRIM(MID(SUBSTITUTE(SUBSTITUTE(SUBSTITUTE(UPPER($L85)," ",""),"F",""),";",REPT(" ",30)),61,30))),0)+IFERROR(VALUE(TRIM(MID(SUBSTITUTE(SUBSTITUTE(SUBSTITUTE(UPPER($L85)," ",""),"F",""),";",REPT(" ",30)),91,30))),0)+IFERROR(VALUE(TRIM(MID(SUBSTITUTE(SUBSTITUTE(SUBSTITUTE(UPPER($L85)," ",""),"F",""),";",REPT(" ",30)),121,30))),0)+IFERROR(VALUE(TRIM(MID(SUBSTITUTE(SUBSTITUTE(SUBSTITUTE(UPPER($L85)," ",""),"F",""),";",REPT(" ",30)),151,30))),0)+IFERROR(VALUE(TRIM(MID(SUBSTITUTE(SUBSTITUTE(SUBSTITUTE(UPPER($L85)," ",""),"F",""),";",REPT(" ",30)),181,30))),0)+IFERROR(VALUE(TRIM(MID(SUBSTITUTE(SUBSTITUTE(SUBSTITUTE(UPPER($L85)," ",""),"F",""),";",REPT(" ",30)),211,30))),0)))))</f>
        <v/>
      </c>
      <c r="O85" s="24" t="n"/>
      <c r="P85" s="8" t="n"/>
      <c r="Q85" s="14" t="n"/>
      <c r="R85" s="25">
        <f>IF($C85="","",IF($E85="Falta","-",MAX(0,MIN(10,5+IFERROR(VALUE(TRIM(MID(SUBSTITUTE(SUBSTITUTE(SUBSTITUTE(UPPER($P85)," ",""),"C",""),";",REPT(" ",30)),1,30))),0)+IFERROR(VALUE(TRIM(MID(SUBSTITUTE(SUBSTITUTE(SUBSTITUTE(UPPER($P85)," ",""),"C",""),";",REPT(" ",30)),31,30))),0)+IFERROR(VALUE(TRIM(MID(SUBSTITUTE(SUBSTITUTE(SUBSTITUTE(UPPER($P85)," ",""),"C",""),";",REPT(" ",30)),61,30))),0)+IFERROR(VALUE(TRIM(MID(SUBSTITUTE(SUBSTITUTE(SUBSTITUTE(UPPER($P85)," ",""),"C",""),";",REPT(" ",30)),91,30))),0)+IFERROR(VALUE(TRIM(MID(SUBSTITUTE(SUBSTITUTE(SUBSTITUTE(UPPER($P85)," ",""),"C",""),";",REPT(" ",30)),121,30))),0)+IFERROR(VALUE(TRIM(MID(SUBSTITUTE(SUBSTITUTE(SUBSTITUTE(UPPER($P85)," ",""),"C",""),";",REPT(" ",30)),151,30))),0)+IFERROR(VALUE(TRIM(MID(SUBSTITUTE(SUBSTITUTE(SUBSTITUTE(UPPER($P85)," ",""),"C",""),";",REPT(" ",30)),181,30))),0)+IFERROR(VALUE(TRIM(MID(SUBSTITUTE(SUBSTITUTE(SUBSTITUTE(UPPER($P85)," ",""),"C",""),";",REPT(" ",30)),211,30))),0)))))</f>
        <v/>
      </c>
      <c r="S85" s="24" t="n"/>
      <c r="T85" s="8" t="n"/>
      <c r="U85" s="14" t="n"/>
      <c r="V85" s="25">
        <f>IF($C85="","",IF($E85="Falta","-",MAX(0,MIN(10,5+IFERROR(VALUE(TRIM(MID(SUBSTITUTE(SUBSTITUTE(SUBSTITUTE(UPPER($T85)," ",""),"P",""),";",REPT(" ",30)),1,30))),0)+IFERROR(VALUE(TRIM(MID(SUBSTITUTE(SUBSTITUTE(SUBSTITUTE(UPPER($T85)," ",""),"P",""),";",REPT(" ",30)),31,30))),0)+IFERROR(VALUE(TRIM(MID(SUBSTITUTE(SUBSTITUTE(SUBSTITUTE(UPPER($T85)," ",""),"P",""),";",REPT(" ",30)),61,30))),0)+IFERROR(VALUE(TRIM(MID(SUBSTITUTE(SUBSTITUTE(SUBSTITUTE(UPPER($T85)," ",""),"P",""),";",REPT(" ",30)),91,30))),0)+IFERROR(VALUE(TRIM(MID(SUBSTITUTE(SUBSTITUTE(SUBSTITUTE(UPPER($T85)," ",""),"P",""),";",REPT(" ",30)),121,30))),0)+IFERROR(VALUE(TRIM(MID(SUBSTITUTE(SUBSTITUTE(SUBSTITUTE(UPPER($T85)," ",""),"P",""),";",REPT(" ",30)),151,30))),0)+IFERROR(VALUE(TRIM(MID(SUBSTITUTE(SUBSTITUTE(SUBSTITUTE(UPPER($T85)," ",""),"P",""),";",REPT(" ",30)),181,30))),0)+IFERROR(VALUE(TRIM(MID(SUBSTITUTE(SUBSTITUTE(SUBSTITUTE(UPPER($T85)," ",""),"P",""),";",REPT(" ",30)),211,30))),0)))))</f>
        <v/>
      </c>
      <c r="W85" s="24" t="n"/>
      <c r="X85" s="14" t="n"/>
    </row>
    <row r="86">
      <c r="A86" s="8">
        <f>IF($C86="","",17)</f>
        <v/>
      </c>
      <c r="B86" s="8">
        <f>IF($C86="","","3ª Sessão")</f>
        <v/>
      </c>
      <c r="C86" s="8">
        <f>IF(Preenchimento!$B$26="","",Preenchimento!$B$26)</f>
        <v/>
      </c>
      <c r="D86" s="8">
        <f>IF($C86="","",IF(Preenchimento!$C$26="","-",Preenchimento!$C$26))</f>
        <v/>
      </c>
      <c r="E86" s="8" t="n"/>
      <c r="F86" s="8" t="n"/>
      <c r="G86" s="24" t="n"/>
      <c r="H86" s="8" t="n"/>
      <c r="I86" s="14" t="n"/>
      <c r="J86" s="25">
        <f>IF($C86="","",IF($E86="Falta","-",MAX(0,MIN(10,8+IFERROR(VALUE(TRIM(MID(SUBSTITUTE(SUBSTITUTE(SUBSTITUTE(UPPER($H86)," ",""),"D",""),";",REPT(" ",30)),1,30))),0)+IFERROR(VALUE(TRIM(MID(SUBSTITUTE(SUBSTITUTE(SUBSTITUTE(UPPER($H86)," ",""),"D",""),";",REPT(" ",30)),31,30))),0)+IFERROR(VALUE(TRIM(MID(SUBSTITUTE(SUBSTITUTE(SUBSTITUTE(UPPER($H86)," ",""),"D",""),";",REPT(" ",30)),61,30))),0)+IFERROR(VALUE(TRIM(MID(SUBSTITUTE(SUBSTITUTE(SUBSTITUTE(UPPER($H86)," ",""),"D",""),";",REPT(" ",30)),91,30))),0)+IFERROR(VALUE(TRIM(MID(SUBSTITUTE(SUBSTITUTE(SUBSTITUTE(UPPER($H86)," ",""),"D",""),";",REPT(" ",30)),121,30))),0)+IFERROR(VALUE(TRIM(MID(SUBSTITUTE(SUBSTITUTE(SUBSTITUTE(UPPER($H86)," ",""),"D",""),";",REPT(" ",30)),151,30))),0)+IFERROR(VALUE(TRIM(MID(SUBSTITUTE(SUBSTITUTE(SUBSTITUTE(UPPER($H86)," ",""),"D",""),";",REPT(" ",30)),181,30))),0)+IFERROR(VALUE(TRIM(MID(SUBSTITUTE(SUBSTITUTE(SUBSTITUTE(UPPER($H86)," ",""),"D",""),";",REPT(" ",30)),211,30))),0)))))</f>
        <v/>
      </c>
      <c r="K86" s="24" t="n"/>
      <c r="L86" s="8" t="n"/>
      <c r="M86" s="14" t="n"/>
      <c r="N86" s="25">
        <f>IF($C86="","",IF($E86="Falta","-",MAX(0,MIN(10,8+IFERROR(VALUE(TRIM(MID(SUBSTITUTE(SUBSTITUTE(SUBSTITUTE(UPPER($L86)," ",""),"F",""),";",REPT(" ",30)),1,30))),0)+IFERROR(VALUE(TRIM(MID(SUBSTITUTE(SUBSTITUTE(SUBSTITUTE(UPPER($L86)," ",""),"F",""),";",REPT(" ",30)),31,30))),0)+IFERROR(VALUE(TRIM(MID(SUBSTITUTE(SUBSTITUTE(SUBSTITUTE(UPPER($L86)," ",""),"F",""),";",REPT(" ",30)),61,30))),0)+IFERROR(VALUE(TRIM(MID(SUBSTITUTE(SUBSTITUTE(SUBSTITUTE(UPPER($L86)," ",""),"F",""),";",REPT(" ",30)),91,30))),0)+IFERROR(VALUE(TRIM(MID(SUBSTITUTE(SUBSTITUTE(SUBSTITUTE(UPPER($L86)," ",""),"F",""),";",REPT(" ",30)),121,30))),0)+IFERROR(VALUE(TRIM(MID(SUBSTITUTE(SUBSTITUTE(SUBSTITUTE(UPPER($L86)," ",""),"F",""),";",REPT(" ",30)),151,30))),0)+IFERROR(VALUE(TRIM(MID(SUBSTITUTE(SUBSTITUTE(SUBSTITUTE(UPPER($L86)," ",""),"F",""),";",REPT(" ",30)),181,30))),0)+IFERROR(VALUE(TRIM(MID(SUBSTITUTE(SUBSTITUTE(SUBSTITUTE(UPPER($L86)," ",""),"F",""),";",REPT(" ",30)),211,30))),0)))))</f>
        <v/>
      </c>
      <c r="O86" s="24" t="n"/>
      <c r="P86" s="8" t="n"/>
      <c r="Q86" s="14" t="n"/>
      <c r="R86" s="25">
        <f>IF($C86="","",IF($E86="Falta","-",MAX(0,MIN(10,5+IFERROR(VALUE(TRIM(MID(SUBSTITUTE(SUBSTITUTE(SUBSTITUTE(UPPER($P86)," ",""),"C",""),";",REPT(" ",30)),1,30))),0)+IFERROR(VALUE(TRIM(MID(SUBSTITUTE(SUBSTITUTE(SUBSTITUTE(UPPER($P86)," ",""),"C",""),";",REPT(" ",30)),31,30))),0)+IFERROR(VALUE(TRIM(MID(SUBSTITUTE(SUBSTITUTE(SUBSTITUTE(UPPER($P86)," ",""),"C",""),";",REPT(" ",30)),61,30))),0)+IFERROR(VALUE(TRIM(MID(SUBSTITUTE(SUBSTITUTE(SUBSTITUTE(UPPER($P86)," ",""),"C",""),";",REPT(" ",30)),91,30))),0)+IFERROR(VALUE(TRIM(MID(SUBSTITUTE(SUBSTITUTE(SUBSTITUTE(UPPER($P86)," ",""),"C",""),";",REPT(" ",30)),121,30))),0)+IFERROR(VALUE(TRIM(MID(SUBSTITUTE(SUBSTITUTE(SUBSTITUTE(UPPER($P86)," ",""),"C",""),";",REPT(" ",30)),151,30))),0)+IFERROR(VALUE(TRIM(MID(SUBSTITUTE(SUBSTITUTE(SUBSTITUTE(UPPER($P86)," ",""),"C",""),";",REPT(" ",30)),181,30))),0)+IFERROR(VALUE(TRIM(MID(SUBSTITUTE(SUBSTITUTE(SUBSTITUTE(UPPER($P86)," ",""),"C",""),";",REPT(" ",30)),211,30))),0)))))</f>
        <v/>
      </c>
      <c r="S86" s="24" t="n"/>
      <c r="T86" s="8" t="n"/>
      <c r="U86" s="14" t="n"/>
      <c r="V86" s="25">
        <f>IF($C86="","",IF($E86="Falta","-",MAX(0,MIN(10,5+IFERROR(VALUE(TRIM(MID(SUBSTITUTE(SUBSTITUTE(SUBSTITUTE(UPPER($T86)," ",""),"P",""),";",REPT(" ",30)),1,30))),0)+IFERROR(VALUE(TRIM(MID(SUBSTITUTE(SUBSTITUTE(SUBSTITUTE(UPPER($T86)," ",""),"P",""),";",REPT(" ",30)),31,30))),0)+IFERROR(VALUE(TRIM(MID(SUBSTITUTE(SUBSTITUTE(SUBSTITUTE(UPPER($T86)," ",""),"P",""),";",REPT(" ",30)),61,30))),0)+IFERROR(VALUE(TRIM(MID(SUBSTITUTE(SUBSTITUTE(SUBSTITUTE(UPPER($T86)," ",""),"P",""),";",REPT(" ",30)),91,30))),0)+IFERROR(VALUE(TRIM(MID(SUBSTITUTE(SUBSTITUTE(SUBSTITUTE(UPPER($T86)," ",""),"P",""),";",REPT(" ",30)),121,30))),0)+IFERROR(VALUE(TRIM(MID(SUBSTITUTE(SUBSTITUTE(SUBSTITUTE(UPPER($T86)," ",""),"P",""),";",REPT(" ",30)),151,30))),0)+IFERROR(VALUE(TRIM(MID(SUBSTITUTE(SUBSTITUTE(SUBSTITUTE(UPPER($T86)," ",""),"P",""),";",REPT(" ",30)),181,30))),0)+IFERROR(VALUE(TRIM(MID(SUBSTITUTE(SUBSTITUTE(SUBSTITUTE(UPPER($T86)," ",""),"P",""),";",REPT(" ",30)),211,30))),0)))))</f>
        <v/>
      </c>
      <c r="W86" s="24" t="n"/>
      <c r="X86" s="14" t="n"/>
    </row>
    <row r="87">
      <c r="A87" s="8">
        <f>IF($C87="","",17)</f>
        <v/>
      </c>
      <c r="B87" s="8">
        <f>IF($C87="","","4ª Sessão")</f>
        <v/>
      </c>
      <c r="C87" s="8">
        <f>IF(Preenchimento!$B$26="","",Preenchimento!$B$26)</f>
        <v/>
      </c>
      <c r="D87" s="8">
        <f>IF($C87="","",IF(Preenchimento!$C$26="","-",Preenchimento!$C$26))</f>
        <v/>
      </c>
      <c r="E87" s="8" t="n"/>
      <c r="F87" s="8" t="n"/>
      <c r="G87" s="24" t="n"/>
      <c r="H87" s="8" t="n"/>
      <c r="I87" s="14" t="n"/>
      <c r="J87" s="25">
        <f>IF($C87="","",IF($E87="Falta","-",MAX(0,MIN(10,8+IFERROR(VALUE(TRIM(MID(SUBSTITUTE(SUBSTITUTE(SUBSTITUTE(UPPER($H87)," ",""),"D",""),";",REPT(" ",30)),1,30))),0)+IFERROR(VALUE(TRIM(MID(SUBSTITUTE(SUBSTITUTE(SUBSTITUTE(UPPER($H87)," ",""),"D",""),";",REPT(" ",30)),31,30))),0)+IFERROR(VALUE(TRIM(MID(SUBSTITUTE(SUBSTITUTE(SUBSTITUTE(UPPER($H87)," ",""),"D",""),";",REPT(" ",30)),61,30))),0)+IFERROR(VALUE(TRIM(MID(SUBSTITUTE(SUBSTITUTE(SUBSTITUTE(UPPER($H87)," ",""),"D",""),";",REPT(" ",30)),91,30))),0)+IFERROR(VALUE(TRIM(MID(SUBSTITUTE(SUBSTITUTE(SUBSTITUTE(UPPER($H87)," ",""),"D",""),";",REPT(" ",30)),121,30))),0)+IFERROR(VALUE(TRIM(MID(SUBSTITUTE(SUBSTITUTE(SUBSTITUTE(UPPER($H87)," ",""),"D",""),";",REPT(" ",30)),151,30))),0)+IFERROR(VALUE(TRIM(MID(SUBSTITUTE(SUBSTITUTE(SUBSTITUTE(UPPER($H87)," ",""),"D",""),";",REPT(" ",30)),181,30))),0)+IFERROR(VALUE(TRIM(MID(SUBSTITUTE(SUBSTITUTE(SUBSTITUTE(UPPER($H87)," ",""),"D",""),";",REPT(" ",30)),211,30))),0)))))</f>
        <v/>
      </c>
      <c r="K87" s="24" t="n"/>
      <c r="L87" s="8" t="n"/>
      <c r="M87" s="14" t="n"/>
      <c r="N87" s="25">
        <f>IF($C87="","",IF($E87="Falta","-",MAX(0,MIN(10,8+IFERROR(VALUE(TRIM(MID(SUBSTITUTE(SUBSTITUTE(SUBSTITUTE(UPPER($L87)," ",""),"F",""),";",REPT(" ",30)),1,30))),0)+IFERROR(VALUE(TRIM(MID(SUBSTITUTE(SUBSTITUTE(SUBSTITUTE(UPPER($L87)," ",""),"F",""),";",REPT(" ",30)),31,30))),0)+IFERROR(VALUE(TRIM(MID(SUBSTITUTE(SUBSTITUTE(SUBSTITUTE(UPPER($L87)," ",""),"F",""),";",REPT(" ",30)),61,30))),0)+IFERROR(VALUE(TRIM(MID(SUBSTITUTE(SUBSTITUTE(SUBSTITUTE(UPPER($L87)," ",""),"F",""),";",REPT(" ",30)),91,30))),0)+IFERROR(VALUE(TRIM(MID(SUBSTITUTE(SUBSTITUTE(SUBSTITUTE(UPPER($L87)," ",""),"F",""),";",REPT(" ",30)),121,30))),0)+IFERROR(VALUE(TRIM(MID(SUBSTITUTE(SUBSTITUTE(SUBSTITUTE(UPPER($L87)," ",""),"F",""),";",REPT(" ",30)),151,30))),0)+IFERROR(VALUE(TRIM(MID(SUBSTITUTE(SUBSTITUTE(SUBSTITUTE(UPPER($L87)," ",""),"F",""),";",REPT(" ",30)),181,30))),0)+IFERROR(VALUE(TRIM(MID(SUBSTITUTE(SUBSTITUTE(SUBSTITUTE(UPPER($L87)," ",""),"F",""),";",REPT(" ",30)),211,30))),0)))))</f>
        <v/>
      </c>
      <c r="O87" s="24" t="n"/>
      <c r="P87" s="8" t="n"/>
      <c r="Q87" s="14" t="n"/>
      <c r="R87" s="25">
        <f>IF($C87="","",IF($E87="Falta","-",MAX(0,MIN(10,5+IFERROR(VALUE(TRIM(MID(SUBSTITUTE(SUBSTITUTE(SUBSTITUTE(UPPER($P87)," ",""),"C",""),";",REPT(" ",30)),1,30))),0)+IFERROR(VALUE(TRIM(MID(SUBSTITUTE(SUBSTITUTE(SUBSTITUTE(UPPER($P87)," ",""),"C",""),";",REPT(" ",30)),31,30))),0)+IFERROR(VALUE(TRIM(MID(SUBSTITUTE(SUBSTITUTE(SUBSTITUTE(UPPER($P87)," ",""),"C",""),";",REPT(" ",30)),61,30))),0)+IFERROR(VALUE(TRIM(MID(SUBSTITUTE(SUBSTITUTE(SUBSTITUTE(UPPER($P87)," ",""),"C",""),";",REPT(" ",30)),91,30))),0)+IFERROR(VALUE(TRIM(MID(SUBSTITUTE(SUBSTITUTE(SUBSTITUTE(UPPER($P87)," ",""),"C",""),";",REPT(" ",30)),121,30))),0)+IFERROR(VALUE(TRIM(MID(SUBSTITUTE(SUBSTITUTE(SUBSTITUTE(UPPER($P87)," ",""),"C",""),";",REPT(" ",30)),151,30))),0)+IFERROR(VALUE(TRIM(MID(SUBSTITUTE(SUBSTITUTE(SUBSTITUTE(UPPER($P87)," ",""),"C",""),";",REPT(" ",30)),181,30))),0)+IFERROR(VALUE(TRIM(MID(SUBSTITUTE(SUBSTITUTE(SUBSTITUTE(UPPER($P87)," ",""),"C",""),";",REPT(" ",30)),211,30))),0)))))</f>
        <v/>
      </c>
      <c r="S87" s="24" t="n"/>
      <c r="T87" s="8" t="n"/>
      <c r="U87" s="14" t="n"/>
      <c r="V87" s="25">
        <f>IF($C87="","",IF($E87="Falta","-",MAX(0,MIN(10,5+IFERROR(VALUE(TRIM(MID(SUBSTITUTE(SUBSTITUTE(SUBSTITUTE(UPPER($T87)," ",""),"P",""),";",REPT(" ",30)),1,30))),0)+IFERROR(VALUE(TRIM(MID(SUBSTITUTE(SUBSTITUTE(SUBSTITUTE(UPPER($T87)," ",""),"P",""),";",REPT(" ",30)),31,30))),0)+IFERROR(VALUE(TRIM(MID(SUBSTITUTE(SUBSTITUTE(SUBSTITUTE(UPPER($T87)," ",""),"P",""),";",REPT(" ",30)),61,30))),0)+IFERROR(VALUE(TRIM(MID(SUBSTITUTE(SUBSTITUTE(SUBSTITUTE(UPPER($T87)," ",""),"P",""),";",REPT(" ",30)),91,30))),0)+IFERROR(VALUE(TRIM(MID(SUBSTITUTE(SUBSTITUTE(SUBSTITUTE(UPPER($T87)," ",""),"P",""),";",REPT(" ",30)),121,30))),0)+IFERROR(VALUE(TRIM(MID(SUBSTITUTE(SUBSTITUTE(SUBSTITUTE(UPPER($T87)," ",""),"P",""),";",REPT(" ",30)),151,30))),0)+IFERROR(VALUE(TRIM(MID(SUBSTITUTE(SUBSTITUTE(SUBSTITUTE(UPPER($T87)," ",""),"P",""),";",REPT(" ",30)),181,30))),0)+IFERROR(VALUE(TRIM(MID(SUBSTITUTE(SUBSTITUTE(SUBSTITUTE(UPPER($T87)," ",""),"P",""),";",REPT(" ",30)),211,30))),0)))))</f>
        <v/>
      </c>
      <c r="W87" s="24" t="n"/>
      <c r="X87" s="14" t="n"/>
    </row>
    <row r="88">
      <c r="A88" s="8">
        <f>IF($C88="","",17)</f>
        <v/>
      </c>
      <c r="B88" s="8">
        <f>IF($C88="","","5ª Sessão")</f>
        <v/>
      </c>
      <c r="C88" s="8">
        <f>IF(Preenchimento!$B$26="","",Preenchimento!$B$26)</f>
        <v/>
      </c>
      <c r="D88" s="8">
        <f>IF($C88="","",IF(Preenchimento!$C$26="","-",Preenchimento!$C$26))</f>
        <v/>
      </c>
      <c r="E88" s="8" t="n"/>
      <c r="F88" s="8" t="n"/>
      <c r="G88" s="24" t="n"/>
      <c r="H88" s="8" t="n"/>
      <c r="I88" s="14" t="n"/>
      <c r="J88" s="25">
        <f>IF($C88="","",IF($E88="Falta","-",MAX(0,MIN(10,8+IFERROR(VALUE(TRIM(MID(SUBSTITUTE(SUBSTITUTE(SUBSTITUTE(UPPER($H88)," ",""),"D",""),";",REPT(" ",30)),1,30))),0)+IFERROR(VALUE(TRIM(MID(SUBSTITUTE(SUBSTITUTE(SUBSTITUTE(UPPER($H88)," ",""),"D",""),";",REPT(" ",30)),31,30))),0)+IFERROR(VALUE(TRIM(MID(SUBSTITUTE(SUBSTITUTE(SUBSTITUTE(UPPER($H88)," ",""),"D",""),";",REPT(" ",30)),61,30))),0)+IFERROR(VALUE(TRIM(MID(SUBSTITUTE(SUBSTITUTE(SUBSTITUTE(UPPER($H88)," ",""),"D",""),";",REPT(" ",30)),91,30))),0)+IFERROR(VALUE(TRIM(MID(SUBSTITUTE(SUBSTITUTE(SUBSTITUTE(UPPER($H88)," ",""),"D",""),";",REPT(" ",30)),121,30))),0)+IFERROR(VALUE(TRIM(MID(SUBSTITUTE(SUBSTITUTE(SUBSTITUTE(UPPER($H88)," ",""),"D",""),";",REPT(" ",30)),151,30))),0)+IFERROR(VALUE(TRIM(MID(SUBSTITUTE(SUBSTITUTE(SUBSTITUTE(UPPER($H88)," ",""),"D",""),";",REPT(" ",30)),181,30))),0)+IFERROR(VALUE(TRIM(MID(SUBSTITUTE(SUBSTITUTE(SUBSTITUTE(UPPER($H88)," ",""),"D",""),";",REPT(" ",30)),211,30))),0)))))</f>
        <v/>
      </c>
      <c r="K88" s="24" t="n"/>
      <c r="L88" s="8" t="n"/>
      <c r="M88" s="14" t="n"/>
      <c r="N88" s="25">
        <f>IF($C88="","",IF($E88="Falta","-",MAX(0,MIN(10,8+IFERROR(VALUE(TRIM(MID(SUBSTITUTE(SUBSTITUTE(SUBSTITUTE(UPPER($L88)," ",""),"F",""),";",REPT(" ",30)),1,30))),0)+IFERROR(VALUE(TRIM(MID(SUBSTITUTE(SUBSTITUTE(SUBSTITUTE(UPPER($L88)," ",""),"F",""),";",REPT(" ",30)),31,30))),0)+IFERROR(VALUE(TRIM(MID(SUBSTITUTE(SUBSTITUTE(SUBSTITUTE(UPPER($L88)," ",""),"F",""),";",REPT(" ",30)),61,30))),0)+IFERROR(VALUE(TRIM(MID(SUBSTITUTE(SUBSTITUTE(SUBSTITUTE(UPPER($L88)," ",""),"F",""),";",REPT(" ",30)),91,30))),0)+IFERROR(VALUE(TRIM(MID(SUBSTITUTE(SUBSTITUTE(SUBSTITUTE(UPPER($L88)," ",""),"F",""),";",REPT(" ",30)),121,30))),0)+IFERROR(VALUE(TRIM(MID(SUBSTITUTE(SUBSTITUTE(SUBSTITUTE(UPPER($L88)," ",""),"F",""),";",REPT(" ",30)),151,30))),0)+IFERROR(VALUE(TRIM(MID(SUBSTITUTE(SUBSTITUTE(SUBSTITUTE(UPPER($L88)," ",""),"F",""),";",REPT(" ",30)),181,30))),0)+IFERROR(VALUE(TRIM(MID(SUBSTITUTE(SUBSTITUTE(SUBSTITUTE(UPPER($L88)," ",""),"F",""),";",REPT(" ",30)),211,30))),0)))))</f>
        <v/>
      </c>
      <c r="O88" s="24" t="n"/>
      <c r="P88" s="8" t="n"/>
      <c r="Q88" s="14" t="n"/>
      <c r="R88" s="25">
        <f>IF($C88="","",IF($E88="Falta","-",MAX(0,MIN(10,5+IFERROR(VALUE(TRIM(MID(SUBSTITUTE(SUBSTITUTE(SUBSTITUTE(UPPER($P88)," ",""),"C",""),";",REPT(" ",30)),1,30))),0)+IFERROR(VALUE(TRIM(MID(SUBSTITUTE(SUBSTITUTE(SUBSTITUTE(UPPER($P88)," ",""),"C",""),";",REPT(" ",30)),31,30))),0)+IFERROR(VALUE(TRIM(MID(SUBSTITUTE(SUBSTITUTE(SUBSTITUTE(UPPER($P88)," ",""),"C",""),";",REPT(" ",30)),61,30))),0)+IFERROR(VALUE(TRIM(MID(SUBSTITUTE(SUBSTITUTE(SUBSTITUTE(UPPER($P88)," ",""),"C",""),";",REPT(" ",30)),91,30))),0)+IFERROR(VALUE(TRIM(MID(SUBSTITUTE(SUBSTITUTE(SUBSTITUTE(UPPER($P88)," ",""),"C",""),";",REPT(" ",30)),121,30))),0)+IFERROR(VALUE(TRIM(MID(SUBSTITUTE(SUBSTITUTE(SUBSTITUTE(UPPER($P88)," ",""),"C",""),";",REPT(" ",30)),151,30))),0)+IFERROR(VALUE(TRIM(MID(SUBSTITUTE(SUBSTITUTE(SUBSTITUTE(UPPER($P88)," ",""),"C",""),";",REPT(" ",30)),181,30))),0)+IFERROR(VALUE(TRIM(MID(SUBSTITUTE(SUBSTITUTE(SUBSTITUTE(UPPER($P88)," ",""),"C",""),";",REPT(" ",30)),211,30))),0)))))</f>
        <v/>
      </c>
      <c r="S88" s="24" t="n"/>
      <c r="T88" s="8" t="n"/>
      <c r="U88" s="14" t="n"/>
      <c r="V88" s="25">
        <f>IF($C88="","",IF($E88="Falta","-",MAX(0,MIN(10,5+IFERROR(VALUE(TRIM(MID(SUBSTITUTE(SUBSTITUTE(SUBSTITUTE(UPPER($T88)," ",""),"P",""),";",REPT(" ",30)),1,30))),0)+IFERROR(VALUE(TRIM(MID(SUBSTITUTE(SUBSTITUTE(SUBSTITUTE(UPPER($T88)," ",""),"P",""),";",REPT(" ",30)),31,30))),0)+IFERROR(VALUE(TRIM(MID(SUBSTITUTE(SUBSTITUTE(SUBSTITUTE(UPPER($T88)," ",""),"P",""),";",REPT(" ",30)),61,30))),0)+IFERROR(VALUE(TRIM(MID(SUBSTITUTE(SUBSTITUTE(SUBSTITUTE(UPPER($T88)," ",""),"P",""),";",REPT(" ",30)),91,30))),0)+IFERROR(VALUE(TRIM(MID(SUBSTITUTE(SUBSTITUTE(SUBSTITUTE(UPPER($T88)," ",""),"P",""),";",REPT(" ",30)),121,30))),0)+IFERROR(VALUE(TRIM(MID(SUBSTITUTE(SUBSTITUTE(SUBSTITUTE(UPPER($T88)," ",""),"P",""),";",REPT(" ",30)),151,30))),0)+IFERROR(VALUE(TRIM(MID(SUBSTITUTE(SUBSTITUTE(SUBSTITUTE(UPPER($T88)," ",""),"P",""),";",REPT(" ",30)),181,30))),0)+IFERROR(VALUE(TRIM(MID(SUBSTITUTE(SUBSTITUTE(SUBSTITUTE(UPPER($T88)," ",""),"P",""),";",REPT(" ",30)),211,30))),0)))))</f>
        <v/>
      </c>
      <c r="W88" s="24" t="n"/>
      <c r="X88" s="14" t="n"/>
    </row>
    <row r="89">
      <c r="A89" s="6">
        <f>IF($C89="","",18)</f>
        <v/>
      </c>
      <c r="B89" s="6">
        <f>IF($C89="","","1ª Sessão")</f>
        <v/>
      </c>
      <c r="C89" s="6">
        <f>IF(Preenchimento!$B$27="","",Preenchimento!$B$27)</f>
        <v/>
      </c>
      <c r="D89" s="6">
        <f>IF($C89="","",IF(Preenchimento!$C$27="","-",Preenchimento!$C$27))</f>
        <v/>
      </c>
      <c r="E89" s="6" t="n"/>
      <c r="F89" s="6" t="n"/>
      <c r="G89" s="26" t="n"/>
      <c r="H89" s="6" t="n"/>
      <c r="I89" s="13" t="n"/>
      <c r="J89" s="27">
        <f>IF($C89="","",IF($E89="Falta","-",MAX(0,MIN(10,8+IFERROR(VALUE(TRIM(MID(SUBSTITUTE(SUBSTITUTE(SUBSTITUTE(UPPER($H89)," ",""),"D",""),";",REPT(" ",30)),1,30))),0)+IFERROR(VALUE(TRIM(MID(SUBSTITUTE(SUBSTITUTE(SUBSTITUTE(UPPER($H89)," ",""),"D",""),";",REPT(" ",30)),31,30))),0)+IFERROR(VALUE(TRIM(MID(SUBSTITUTE(SUBSTITUTE(SUBSTITUTE(UPPER($H89)," ",""),"D",""),";",REPT(" ",30)),61,30))),0)+IFERROR(VALUE(TRIM(MID(SUBSTITUTE(SUBSTITUTE(SUBSTITUTE(UPPER($H89)," ",""),"D",""),";",REPT(" ",30)),91,30))),0)+IFERROR(VALUE(TRIM(MID(SUBSTITUTE(SUBSTITUTE(SUBSTITUTE(UPPER($H89)," ",""),"D",""),";",REPT(" ",30)),121,30))),0)+IFERROR(VALUE(TRIM(MID(SUBSTITUTE(SUBSTITUTE(SUBSTITUTE(UPPER($H89)," ",""),"D",""),";",REPT(" ",30)),151,30))),0)+IFERROR(VALUE(TRIM(MID(SUBSTITUTE(SUBSTITUTE(SUBSTITUTE(UPPER($H89)," ",""),"D",""),";",REPT(" ",30)),181,30))),0)+IFERROR(VALUE(TRIM(MID(SUBSTITUTE(SUBSTITUTE(SUBSTITUTE(UPPER($H89)," ",""),"D",""),";",REPT(" ",30)),211,30))),0)))))</f>
        <v/>
      </c>
      <c r="K89" s="26" t="n"/>
      <c r="L89" s="6" t="n"/>
      <c r="M89" s="13" t="n"/>
      <c r="N89" s="27">
        <f>IF($C89="","",IF($E89="Falta","-",MAX(0,MIN(10,8+IFERROR(VALUE(TRIM(MID(SUBSTITUTE(SUBSTITUTE(SUBSTITUTE(UPPER($L89)," ",""),"F",""),";",REPT(" ",30)),1,30))),0)+IFERROR(VALUE(TRIM(MID(SUBSTITUTE(SUBSTITUTE(SUBSTITUTE(UPPER($L89)," ",""),"F",""),";",REPT(" ",30)),31,30))),0)+IFERROR(VALUE(TRIM(MID(SUBSTITUTE(SUBSTITUTE(SUBSTITUTE(UPPER($L89)," ",""),"F",""),";",REPT(" ",30)),61,30))),0)+IFERROR(VALUE(TRIM(MID(SUBSTITUTE(SUBSTITUTE(SUBSTITUTE(UPPER($L89)," ",""),"F",""),";",REPT(" ",30)),91,30))),0)+IFERROR(VALUE(TRIM(MID(SUBSTITUTE(SUBSTITUTE(SUBSTITUTE(UPPER($L89)," ",""),"F",""),";",REPT(" ",30)),121,30))),0)+IFERROR(VALUE(TRIM(MID(SUBSTITUTE(SUBSTITUTE(SUBSTITUTE(UPPER($L89)," ",""),"F",""),";",REPT(" ",30)),151,30))),0)+IFERROR(VALUE(TRIM(MID(SUBSTITUTE(SUBSTITUTE(SUBSTITUTE(UPPER($L89)," ",""),"F",""),";",REPT(" ",30)),181,30))),0)+IFERROR(VALUE(TRIM(MID(SUBSTITUTE(SUBSTITUTE(SUBSTITUTE(UPPER($L89)," ",""),"F",""),";",REPT(" ",30)),211,30))),0)))))</f>
        <v/>
      </c>
      <c r="O89" s="26" t="n"/>
      <c r="P89" s="6" t="n"/>
      <c r="Q89" s="13" t="n"/>
      <c r="R89" s="27">
        <f>IF($C89="","",IF($E89="Falta","-",MAX(0,MIN(10,5+IFERROR(VALUE(TRIM(MID(SUBSTITUTE(SUBSTITUTE(SUBSTITUTE(UPPER($P89)," ",""),"C",""),";",REPT(" ",30)),1,30))),0)+IFERROR(VALUE(TRIM(MID(SUBSTITUTE(SUBSTITUTE(SUBSTITUTE(UPPER($P89)," ",""),"C",""),";",REPT(" ",30)),31,30))),0)+IFERROR(VALUE(TRIM(MID(SUBSTITUTE(SUBSTITUTE(SUBSTITUTE(UPPER($P89)," ",""),"C",""),";",REPT(" ",30)),61,30))),0)+IFERROR(VALUE(TRIM(MID(SUBSTITUTE(SUBSTITUTE(SUBSTITUTE(UPPER($P89)," ",""),"C",""),";",REPT(" ",30)),91,30))),0)+IFERROR(VALUE(TRIM(MID(SUBSTITUTE(SUBSTITUTE(SUBSTITUTE(UPPER($P89)," ",""),"C",""),";",REPT(" ",30)),121,30))),0)+IFERROR(VALUE(TRIM(MID(SUBSTITUTE(SUBSTITUTE(SUBSTITUTE(UPPER($P89)," ",""),"C",""),";",REPT(" ",30)),151,30))),0)+IFERROR(VALUE(TRIM(MID(SUBSTITUTE(SUBSTITUTE(SUBSTITUTE(UPPER($P89)," ",""),"C",""),";",REPT(" ",30)),181,30))),0)+IFERROR(VALUE(TRIM(MID(SUBSTITUTE(SUBSTITUTE(SUBSTITUTE(UPPER($P89)," ",""),"C",""),";",REPT(" ",30)),211,30))),0)))))</f>
        <v/>
      </c>
      <c r="S89" s="26" t="n"/>
      <c r="T89" s="6" t="n"/>
      <c r="U89" s="13" t="n"/>
      <c r="V89" s="27">
        <f>IF($C89="","",IF($E89="Falta","-",MAX(0,MIN(10,5+IFERROR(VALUE(TRIM(MID(SUBSTITUTE(SUBSTITUTE(SUBSTITUTE(UPPER($T89)," ",""),"P",""),";",REPT(" ",30)),1,30))),0)+IFERROR(VALUE(TRIM(MID(SUBSTITUTE(SUBSTITUTE(SUBSTITUTE(UPPER($T89)," ",""),"P",""),";",REPT(" ",30)),31,30))),0)+IFERROR(VALUE(TRIM(MID(SUBSTITUTE(SUBSTITUTE(SUBSTITUTE(UPPER($T89)," ",""),"P",""),";",REPT(" ",30)),61,30))),0)+IFERROR(VALUE(TRIM(MID(SUBSTITUTE(SUBSTITUTE(SUBSTITUTE(UPPER($T89)," ",""),"P",""),";",REPT(" ",30)),91,30))),0)+IFERROR(VALUE(TRIM(MID(SUBSTITUTE(SUBSTITUTE(SUBSTITUTE(UPPER($T89)," ",""),"P",""),";",REPT(" ",30)),121,30))),0)+IFERROR(VALUE(TRIM(MID(SUBSTITUTE(SUBSTITUTE(SUBSTITUTE(UPPER($T89)," ",""),"P",""),";",REPT(" ",30)),151,30))),0)+IFERROR(VALUE(TRIM(MID(SUBSTITUTE(SUBSTITUTE(SUBSTITUTE(UPPER($T89)," ",""),"P",""),";",REPT(" ",30)),181,30))),0)+IFERROR(VALUE(TRIM(MID(SUBSTITUTE(SUBSTITUTE(SUBSTITUTE(UPPER($T89)," ",""),"P",""),";",REPT(" ",30)),211,30))),0)))))</f>
        <v/>
      </c>
      <c r="W89" s="26" t="n"/>
      <c r="X89" s="13" t="n"/>
    </row>
    <row r="90">
      <c r="A90" s="6">
        <f>IF($C90="","",18)</f>
        <v/>
      </c>
      <c r="B90" s="6">
        <f>IF($C90="","","2ª Sessão")</f>
        <v/>
      </c>
      <c r="C90" s="6">
        <f>IF(Preenchimento!$B$27="","",Preenchimento!$B$27)</f>
        <v/>
      </c>
      <c r="D90" s="6">
        <f>IF($C90="","",IF(Preenchimento!$C$27="","-",Preenchimento!$C$27))</f>
        <v/>
      </c>
      <c r="E90" s="6" t="n"/>
      <c r="F90" s="6" t="n"/>
      <c r="G90" s="26" t="n"/>
      <c r="H90" s="6" t="n"/>
      <c r="I90" s="13" t="n"/>
      <c r="J90" s="27">
        <f>IF($C90="","",IF($E90="Falta","-",MAX(0,MIN(10,8+IFERROR(VALUE(TRIM(MID(SUBSTITUTE(SUBSTITUTE(SUBSTITUTE(UPPER($H90)," ",""),"D",""),";",REPT(" ",30)),1,30))),0)+IFERROR(VALUE(TRIM(MID(SUBSTITUTE(SUBSTITUTE(SUBSTITUTE(UPPER($H90)," ",""),"D",""),";",REPT(" ",30)),31,30))),0)+IFERROR(VALUE(TRIM(MID(SUBSTITUTE(SUBSTITUTE(SUBSTITUTE(UPPER($H90)," ",""),"D",""),";",REPT(" ",30)),61,30))),0)+IFERROR(VALUE(TRIM(MID(SUBSTITUTE(SUBSTITUTE(SUBSTITUTE(UPPER($H90)," ",""),"D",""),";",REPT(" ",30)),91,30))),0)+IFERROR(VALUE(TRIM(MID(SUBSTITUTE(SUBSTITUTE(SUBSTITUTE(UPPER($H90)," ",""),"D",""),";",REPT(" ",30)),121,30))),0)+IFERROR(VALUE(TRIM(MID(SUBSTITUTE(SUBSTITUTE(SUBSTITUTE(UPPER($H90)," ",""),"D",""),";",REPT(" ",30)),151,30))),0)+IFERROR(VALUE(TRIM(MID(SUBSTITUTE(SUBSTITUTE(SUBSTITUTE(UPPER($H90)," ",""),"D",""),";",REPT(" ",30)),181,30))),0)+IFERROR(VALUE(TRIM(MID(SUBSTITUTE(SUBSTITUTE(SUBSTITUTE(UPPER($H90)," ",""),"D",""),";",REPT(" ",30)),211,30))),0)))))</f>
        <v/>
      </c>
      <c r="K90" s="26" t="n"/>
      <c r="L90" s="6" t="n"/>
      <c r="M90" s="13" t="n"/>
      <c r="N90" s="27">
        <f>IF($C90="","",IF($E90="Falta","-",MAX(0,MIN(10,8+IFERROR(VALUE(TRIM(MID(SUBSTITUTE(SUBSTITUTE(SUBSTITUTE(UPPER($L90)," ",""),"F",""),";",REPT(" ",30)),1,30))),0)+IFERROR(VALUE(TRIM(MID(SUBSTITUTE(SUBSTITUTE(SUBSTITUTE(UPPER($L90)," ",""),"F",""),";",REPT(" ",30)),31,30))),0)+IFERROR(VALUE(TRIM(MID(SUBSTITUTE(SUBSTITUTE(SUBSTITUTE(UPPER($L90)," ",""),"F",""),";",REPT(" ",30)),61,30))),0)+IFERROR(VALUE(TRIM(MID(SUBSTITUTE(SUBSTITUTE(SUBSTITUTE(UPPER($L90)," ",""),"F",""),";",REPT(" ",30)),91,30))),0)+IFERROR(VALUE(TRIM(MID(SUBSTITUTE(SUBSTITUTE(SUBSTITUTE(UPPER($L90)," ",""),"F",""),";",REPT(" ",30)),121,30))),0)+IFERROR(VALUE(TRIM(MID(SUBSTITUTE(SUBSTITUTE(SUBSTITUTE(UPPER($L90)," ",""),"F",""),";",REPT(" ",30)),151,30))),0)+IFERROR(VALUE(TRIM(MID(SUBSTITUTE(SUBSTITUTE(SUBSTITUTE(UPPER($L90)," ",""),"F",""),";",REPT(" ",30)),181,30))),0)+IFERROR(VALUE(TRIM(MID(SUBSTITUTE(SUBSTITUTE(SUBSTITUTE(UPPER($L90)," ",""),"F",""),";",REPT(" ",30)),211,30))),0)))))</f>
        <v/>
      </c>
      <c r="O90" s="26" t="n"/>
      <c r="P90" s="6" t="n"/>
      <c r="Q90" s="13" t="n"/>
      <c r="R90" s="27">
        <f>IF($C90="","",IF($E90="Falta","-",MAX(0,MIN(10,5+IFERROR(VALUE(TRIM(MID(SUBSTITUTE(SUBSTITUTE(SUBSTITUTE(UPPER($P90)," ",""),"C",""),";",REPT(" ",30)),1,30))),0)+IFERROR(VALUE(TRIM(MID(SUBSTITUTE(SUBSTITUTE(SUBSTITUTE(UPPER($P90)," ",""),"C",""),";",REPT(" ",30)),31,30))),0)+IFERROR(VALUE(TRIM(MID(SUBSTITUTE(SUBSTITUTE(SUBSTITUTE(UPPER($P90)," ",""),"C",""),";",REPT(" ",30)),61,30))),0)+IFERROR(VALUE(TRIM(MID(SUBSTITUTE(SUBSTITUTE(SUBSTITUTE(UPPER($P90)," ",""),"C",""),";",REPT(" ",30)),91,30))),0)+IFERROR(VALUE(TRIM(MID(SUBSTITUTE(SUBSTITUTE(SUBSTITUTE(UPPER($P90)," ",""),"C",""),";",REPT(" ",30)),121,30))),0)+IFERROR(VALUE(TRIM(MID(SUBSTITUTE(SUBSTITUTE(SUBSTITUTE(UPPER($P90)," ",""),"C",""),";",REPT(" ",30)),151,30))),0)+IFERROR(VALUE(TRIM(MID(SUBSTITUTE(SUBSTITUTE(SUBSTITUTE(UPPER($P90)," ",""),"C",""),";",REPT(" ",30)),181,30))),0)+IFERROR(VALUE(TRIM(MID(SUBSTITUTE(SUBSTITUTE(SUBSTITUTE(UPPER($P90)," ",""),"C",""),";",REPT(" ",30)),211,30))),0)))))</f>
        <v/>
      </c>
      <c r="S90" s="26" t="n"/>
      <c r="T90" s="6" t="n"/>
      <c r="U90" s="13" t="n"/>
      <c r="V90" s="27">
        <f>IF($C90="","",IF($E90="Falta","-",MAX(0,MIN(10,5+IFERROR(VALUE(TRIM(MID(SUBSTITUTE(SUBSTITUTE(SUBSTITUTE(UPPER($T90)," ",""),"P",""),";",REPT(" ",30)),1,30))),0)+IFERROR(VALUE(TRIM(MID(SUBSTITUTE(SUBSTITUTE(SUBSTITUTE(UPPER($T90)," ",""),"P",""),";",REPT(" ",30)),31,30))),0)+IFERROR(VALUE(TRIM(MID(SUBSTITUTE(SUBSTITUTE(SUBSTITUTE(UPPER($T90)," ",""),"P",""),";",REPT(" ",30)),61,30))),0)+IFERROR(VALUE(TRIM(MID(SUBSTITUTE(SUBSTITUTE(SUBSTITUTE(UPPER($T90)," ",""),"P",""),";",REPT(" ",30)),91,30))),0)+IFERROR(VALUE(TRIM(MID(SUBSTITUTE(SUBSTITUTE(SUBSTITUTE(UPPER($T90)," ",""),"P",""),";",REPT(" ",30)),121,30))),0)+IFERROR(VALUE(TRIM(MID(SUBSTITUTE(SUBSTITUTE(SUBSTITUTE(UPPER($T90)," ",""),"P",""),";",REPT(" ",30)),151,30))),0)+IFERROR(VALUE(TRIM(MID(SUBSTITUTE(SUBSTITUTE(SUBSTITUTE(UPPER($T90)," ",""),"P",""),";",REPT(" ",30)),181,30))),0)+IFERROR(VALUE(TRIM(MID(SUBSTITUTE(SUBSTITUTE(SUBSTITUTE(UPPER($T90)," ",""),"P",""),";",REPT(" ",30)),211,30))),0)))))</f>
        <v/>
      </c>
      <c r="W90" s="26" t="n"/>
      <c r="X90" s="13" t="n"/>
    </row>
    <row r="91">
      <c r="A91" s="6">
        <f>IF($C91="","",18)</f>
        <v/>
      </c>
      <c r="B91" s="6">
        <f>IF($C91="","","3ª Sessão")</f>
        <v/>
      </c>
      <c r="C91" s="6">
        <f>IF(Preenchimento!$B$27="","",Preenchimento!$B$27)</f>
        <v/>
      </c>
      <c r="D91" s="6">
        <f>IF($C91="","",IF(Preenchimento!$C$27="","-",Preenchimento!$C$27))</f>
        <v/>
      </c>
      <c r="E91" s="6" t="n"/>
      <c r="F91" s="6" t="n"/>
      <c r="G91" s="26" t="n"/>
      <c r="H91" s="6" t="n"/>
      <c r="I91" s="13" t="n"/>
      <c r="J91" s="27">
        <f>IF($C91="","",IF($E91="Falta","-",MAX(0,MIN(10,8+IFERROR(VALUE(TRIM(MID(SUBSTITUTE(SUBSTITUTE(SUBSTITUTE(UPPER($H91)," ",""),"D",""),";",REPT(" ",30)),1,30))),0)+IFERROR(VALUE(TRIM(MID(SUBSTITUTE(SUBSTITUTE(SUBSTITUTE(UPPER($H91)," ",""),"D",""),";",REPT(" ",30)),31,30))),0)+IFERROR(VALUE(TRIM(MID(SUBSTITUTE(SUBSTITUTE(SUBSTITUTE(UPPER($H91)," ",""),"D",""),";",REPT(" ",30)),61,30))),0)+IFERROR(VALUE(TRIM(MID(SUBSTITUTE(SUBSTITUTE(SUBSTITUTE(UPPER($H91)," ",""),"D",""),";",REPT(" ",30)),91,30))),0)+IFERROR(VALUE(TRIM(MID(SUBSTITUTE(SUBSTITUTE(SUBSTITUTE(UPPER($H91)," ",""),"D",""),";",REPT(" ",30)),121,30))),0)+IFERROR(VALUE(TRIM(MID(SUBSTITUTE(SUBSTITUTE(SUBSTITUTE(UPPER($H91)," ",""),"D",""),";",REPT(" ",30)),151,30))),0)+IFERROR(VALUE(TRIM(MID(SUBSTITUTE(SUBSTITUTE(SUBSTITUTE(UPPER($H91)," ",""),"D",""),";",REPT(" ",30)),181,30))),0)+IFERROR(VALUE(TRIM(MID(SUBSTITUTE(SUBSTITUTE(SUBSTITUTE(UPPER($H91)," ",""),"D",""),";",REPT(" ",30)),211,30))),0)))))</f>
        <v/>
      </c>
      <c r="K91" s="26" t="n"/>
      <c r="L91" s="6" t="n"/>
      <c r="M91" s="13" t="n"/>
      <c r="N91" s="27">
        <f>IF($C91="","",IF($E91="Falta","-",MAX(0,MIN(10,8+IFERROR(VALUE(TRIM(MID(SUBSTITUTE(SUBSTITUTE(SUBSTITUTE(UPPER($L91)," ",""),"F",""),";",REPT(" ",30)),1,30))),0)+IFERROR(VALUE(TRIM(MID(SUBSTITUTE(SUBSTITUTE(SUBSTITUTE(UPPER($L91)," ",""),"F",""),";",REPT(" ",30)),31,30))),0)+IFERROR(VALUE(TRIM(MID(SUBSTITUTE(SUBSTITUTE(SUBSTITUTE(UPPER($L91)," ",""),"F",""),";",REPT(" ",30)),61,30))),0)+IFERROR(VALUE(TRIM(MID(SUBSTITUTE(SUBSTITUTE(SUBSTITUTE(UPPER($L91)," ",""),"F",""),";",REPT(" ",30)),91,30))),0)+IFERROR(VALUE(TRIM(MID(SUBSTITUTE(SUBSTITUTE(SUBSTITUTE(UPPER($L91)," ",""),"F",""),";",REPT(" ",30)),121,30))),0)+IFERROR(VALUE(TRIM(MID(SUBSTITUTE(SUBSTITUTE(SUBSTITUTE(UPPER($L91)," ",""),"F",""),";",REPT(" ",30)),151,30))),0)+IFERROR(VALUE(TRIM(MID(SUBSTITUTE(SUBSTITUTE(SUBSTITUTE(UPPER($L91)," ",""),"F",""),";",REPT(" ",30)),181,30))),0)+IFERROR(VALUE(TRIM(MID(SUBSTITUTE(SUBSTITUTE(SUBSTITUTE(UPPER($L91)," ",""),"F",""),";",REPT(" ",30)),211,30))),0)))))</f>
        <v/>
      </c>
      <c r="O91" s="26" t="n"/>
      <c r="P91" s="6" t="n"/>
      <c r="Q91" s="13" t="n"/>
      <c r="R91" s="27">
        <f>IF($C91="","",IF($E91="Falta","-",MAX(0,MIN(10,5+IFERROR(VALUE(TRIM(MID(SUBSTITUTE(SUBSTITUTE(SUBSTITUTE(UPPER($P91)," ",""),"C",""),";",REPT(" ",30)),1,30))),0)+IFERROR(VALUE(TRIM(MID(SUBSTITUTE(SUBSTITUTE(SUBSTITUTE(UPPER($P91)," ",""),"C",""),";",REPT(" ",30)),31,30))),0)+IFERROR(VALUE(TRIM(MID(SUBSTITUTE(SUBSTITUTE(SUBSTITUTE(UPPER($P91)," ",""),"C",""),";",REPT(" ",30)),61,30))),0)+IFERROR(VALUE(TRIM(MID(SUBSTITUTE(SUBSTITUTE(SUBSTITUTE(UPPER($P91)," ",""),"C",""),";",REPT(" ",30)),91,30))),0)+IFERROR(VALUE(TRIM(MID(SUBSTITUTE(SUBSTITUTE(SUBSTITUTE(UPPER($P91)," ",""),"C",""),";",REPT(" ",30)),121,30))),0)+IFERROR(VALUE(TRIM(MID(SUBSTITUTE(SUBSTITUTE(SUBSTITUTE(UPPER($P91)," ",""),"C",""),";",REPT(" ",30)),151,30))),0)+IFERROR(VALUE(TRIM(MID(SUBSTITUTE(SUBSTITUTE(SUBSTITUTE(UPPER($P91)," ",""),"C",""),";",REPT(" ",30)),181,30))),0)+IFERROR(VALUE(TRIM(MID(SUBSTITUTE(SUBSTITUTE(SUBSTITUTE(UPPER($P91)," ",""),"C",""),";",REPT(" ",30)),211,30))),0)))))</f>
        <v/>
      </c>
      <c r="S91" s="26" t="n"/>
      <c r="T91" s="6" t="n"/>
      <c r="U91" s="13" t="n"/>
      <c r="V91" s="27">
        <f>IF($C91="","",IF($E91="Falta","-",MAX(0,MIN(10,5+IFERROR(VALUE(TRIM(MID(SUBSTITUTE(SUBSTITUTE(SUBSTITUTE(UPPER($T91)," ",""),"P",""),";",REPT(" ",30)),1,30))),0)+IFERROR(VALUE(TRIM(MID(SUBSTITUTE(SUBSTITUTE(SUBSTITUTE(UPPER($T91)," ",""),"P",""),";",REPT(" ",30)),31,30))),0)+IFERROR(VALUE(TRIM(MID(SUBSTITUTE(SUBSTITUTE(SUBSTITUTE(UPPER($T91)," ",""),"P",""),";",REPT(" ",30)),61,30))),0)+IFERROR(VALUE(TRIM(MID(SUBSTITUTE(SUBSTITUTE(SUBSTITUTE(UPPER($T91)," ",""),"P",""),";",REPT(" ",30)),91,30))),0)+IFERROR(VALUE(TRIM(MID(SUBSTITUTE(SUBSTITUTE(SUBSTITUTE(UPPER($T91)," ",""),"P",""),";",REPT(" ",30)),121,30))),0)+IFERROR(VALUE(TRIM(MID(SUBSTITUTE(SUBSTITUTE(SUBSTITUTE(UPPER($T91)," ",""),"P",""),";",REPT(" ",30)),151,30))),0)+IFERROR(VALUE(TRIM(MID(SUBSTITUTE(SUBSTITUTE(SUBSTITUTE(UPPER($T91)," ",""),"P",""),";",REPT(" ",30)),181,30))),0)+IFERROR(VALUE(TRIM(MID(SUBSTITUTE(SUBSTITUTE(SUBSTITUTE(UPPER($T91)," ",""),"P",""),";",REPT(" ",30)),211,30))),0)))))</f>
        <v/>
      </c>
      <c r="W91" s="26" t="n"/>
      <c r="X91" s="13" t="n"/>
    </row>
    <row r="92">
      <c r="A92" s="6">
        <f>IF($C92="","",18)</f>
        <v/>
      </c>
      <c r="B92" s="6">
        <f>IF($C92="","","4ª Sessão")</f>
        <v/>
      </c>
      <c r="C92" s="6">
        <f>IF(Preenchimento!$B$27="","",Preenchimento!$B$27)</f>
        <v/>
      </c>
      <c r="D92" s="6">
        <f>IF($C92="","",IF(Preenchimento!$C$27="","-",Preenchimento!$C$27))</f>
        <v/>
      </c>
      <c r="E92" s="6" t="n"/>
      <c r="F92" s="6" t="n"/>
      <c r="G92" s="26" t="n"/>
      <c r="H92" s="6" t="n"/>
      <c r="I92" s="13" t="n"/>
      <c r="J92" s="27">
        <f>IF($C92="","",IF($E92="Falta","-",MAX(0,MIN(10,8+IFERROR(VALUE(TRIM(MID(SUBSTITUTE(SUBSTITUTE(SUBSTITUTE(UPPER($H92)," ",""),"D",""),";",REPT(" ",30)),1,30))),0)+IFERROR(VALUE(TRIM(MID(SUBSTITUTE(SUBSTITUTE(SUBSTITUTE(UPPER($H92)," ",""),"D",""),";",REPT(" ",30)),31,30))),0)+IFERROR(VALUE(TRIM(MID(SUBSTITUTE(SUBSTITUTE(SUBSTITUTE(UPPER($H92)," ",""),"D",""),";",REPT(" ",30)),61,30))),0)+IFERROR(VALUE(TRIM(MID(SUBSTITUTE(SUBSTITUTE(SUBSTITUTE(UPPER($H92)," ",""),"D",""),";",REPT(" ",30)),91,30))),0)+IFERROR(VALUE(TRIM(MID(SUBSTITUTE(SUBSTITUTE(SUBSTITUTE(UPPER($H92)," ",""),"D",""),";",REPT(" ",30)),121,30))),0)+IFERROR(VALUE(TRIM(MID(SUBSTITUTE(SUBSTITUTE(SUBSTITUTE(UPPER($H92)," ",""),"D",""),";",REPT(" ",30)),151,30))),0)+IFERROR(VALUE(TRIM(MID(SUBSTITUTE(SUBSTITUTE(SUBSTITUTE(UPPER($H92)," ",""),"D",""),";",REPT(" ",30)),181,30))),0)+IFERROR(VALUE(TRIM(MID(SUBSTITUTE(SUBSTITUTE(SUBSTITUTE(UPPER($H92)," ",""),"D",""),";",REPT(" ",30)),211,30))),0)))))</f>
        <v/>
      </c>
      <c r="K92" s="26" t="n"/>
      <c r="L92" s="6" t="n"/>
      <c r="M92" s="13" t="n"/>
      <c r="N92" s="27">
        <f>IF($C92="","",IF($E92="Falta","-",MAX(0,MIN(10,8+IFERROR(VALUE(TRIM(MID(SUBSTITUTE(SUBSTITUTE(SUBSTITUTE(UPPER($L92)," ",""),"F",""),";",REPT(" ",30)),1,30))),0)+IFERROR(VALUE(TRIM(MID(SUBSTITUTE(SUBSTITUTE(SUBSTITUTE(UPPER($L92)," ",""),"F",""),";",REPT(" ",30)),31,30))),0)+IFERROR(VALUE(TRIM(MID(SUBSTITUTE(SUBSTITUTE(SUBSTITUTE(UPPER($L92)," ",""),"F",""),";",REPT(" ",30)),61,30))),0)+IFERROR(VALUE(TRIM(MID(SUBSTITUTE(SUBSTITUTE(SUBSTITUTE(UPPER($L92)," ",""),"F",""),";",REPT(" ",30)),91,30))),0)+IFERROR(VALUE(TRIM(MID(SUBSTITUTE(SUBSTITUTE(SUBSTITUTE(UPPER($L92)," ",""),"F",""),";",REPT(" ",30)),121,30))),0)+IFERROR(VALUE(TRIM(MID(SUBSTITUTE(SUBSTITUTE(SUBSTITUTE(UPPER($L92)," ",""),"F",""),";",REPT(" ",30)),151,30))),0)+IFERROR(VALUE(TRIM(MID(SUBSTITUTE(SUBSTITUTE(SUBSTITUTE(UPPER($L92)," ",""),"F",""),";",REPT(" ",30)),181,30))),0)+IFERROR(VALUE(TRIM(MID(SUBSTITUTE(SUBSTITUTE(SUBSTITUTE(UPPER($L92)," ",""),"F",""),";",REPT(" ",30)),211,30))),0)))))</f>
        <v/>
      </c>
      <c r="O92" s="26" t="n"/>
      <c r="P92" s="6" t="n"/>
      <c r="Q92" s="13" t="n"/>
      <c r="R92" s="27">
        <f>IF($C92="","",IF($E92="Falta","-",MAX(0,MIN(10,5+IFERROR(VALUE(TRIM(MID(SUBSTITUTE(SUBSTITUTE(SUBSTITUTE(UPPER($P92)," ",""),"C",""),";",REPT(" ",30)),1,30))),0)+IFERROR(VALUE(TRIM(MID(SUBSTITUTE(SUBSTITUTE(SUBSTITUTE(UPPER($P92)," ",""),"C",""),";",REPT(" ",30)),31,30))),0)+IFERROR(VALUE(TRIM(MID(SUBSTITUTE(SUBSTITUTE(SUBSTITUTE(UPPER($P92)," ",""),"C",""),";",REPT(" ",30)),61,30))),0)+IFERROR(VALUE(TRIM(MID(SUBSTITUTE(SUBSTITUTE(SUBSTITUTE(UPPER($P92)," ",""),"C",""),";",REPT(" ",30)),91,30))),0)+IFERROR(VALUE(TRIM(MID(SUBSTITUTE(SUBSTITUTE(SUBSTITUTE(UPPER($P92)," ",""),"C",""),";",REPT(" ",30)),121,30))),0)+IFERROR(VALUE(TRIM(MID(SUBSTITUTE(SUBSTITUTE(SUBSTITUTE(UPPER($P92)," ",""),"C",""),";",REPT(" ",30)),151,30))),0)+IFERROR(VALUE(TRIM(MID(SUBSTITUTE(SUBSTITUTE(SUBSTITUTE(UPPER($P92)," ",""),"C",""),";",REPT(" ",30)),181,30))),0)+IFERROR(VALUE(TRIM(MID(SUBSTITUTE(SUBSTITUTE(SUBSTITUTE(UPPER($P92)," ",""),"C",""),";",REPT(" ",30)),211,30))),0)))))</f>
        <v/>
      </c>
      <c r="S92" s="26" t="n"/>
      <c r="T92" s="6" t="n"/>
      <c r="U92" s="13" t="n"/>
      <c r="V92" s="27">
        <f>IF($C92="","",IF($E92="Falta","-",MAX(0,MIN(10,5+IFERROR(VALUE(TRIM(MID(SUBSTITUTE(SUBSTITUTE(SUBSTITUTE(UPPER($T92)," ",""),"P",""),";",REPT(" ",30)),1,30))),0)+IFERROR(VALUE(TRIM(MID(SUBSTITUTE(SUBSTITUTE(SUBSTITUTE(UPPER($T92)," ",""),"P",""),";",REPT(" ",30)),31,30))),0)+IFERROR(VALUE(TRIM(MID(SUBSTITUTE(SUBSTITUTE(SUBSTITUTE(UPPER($T92)," ",""),"P",""),";",REPT(" ",30)),61,30))),0)+IFERROR(VALUE(TRIM(MID(SUBSTITUTE(SUBSTITUTE(SUBSTITUTE(UPPER($T92)," ",""),"P",""),";",REPT(" ",30)),91,30))),0)+IFERROR(VALUE(TRIM(MID(SUBSTITUTE(SUBSTITUTE(SUBSTITUTE(UPPER($T92)," ",""),"P",""),";",REPT(" ",30)),121,30))),0)+IFERROR(VALUE(TRIM(MID(SUBSTITUTE(SUBSTITUTE(SUBSTITUTE(UPPER($T92)," ",""),"P",""),";",REPT(" ",30)),151,30))),0)+IFERROR(VALUE(TRIM(MID(SUBSTITUTE(SUBSTITUTE(SUBSTITUTE(UPPER($T92)," ",""),"P",""),";",REPT(" ",30)),181,30))),0)+IFERROR(VALUE(TRIM(MID(SUBSTITUTE(SUBSTITUTE(SUBSTITUTE(UPPER($T92)," ",""),"P",""),";",REPT(" ",30)),211,30))),0)))))</f>
        <v/>
      </c>
      <c r="W92" s="26" t="n"/>
      <c r="X92" s="13" t="n"/>
    </row>
    <row r="93">
      <c r="A93" s="6">
        <f>IF($C93="","",18)</f>
        <v/>
      </c>
      <c r="B93" s="6">
        <f>IF($C93="","","5ª Sessão")</f>
        <v/>
      </c>
      <c r="C93" s="6">
        <f>IF(Preenchimento!$B$27="","",Preenchimento!$B$27)</f>
        <v/>
      </c>
      <c r="D93" s="6">
        <f>IF($C93="","",IF(Preenchimento!$C$27="","-",Preenchimento!$C$27))</f>
        <v/>
      </c>
      <c r="E93" s="6" t="n"/>
      <c r="F93" s="6" t="n"/>
      <c r="G93" s="26" t="n"/>
      <c r="H93" s="6" t="n"/>
      <c r="I93" s="13" t="n"/>
      <c r="J93" s="27">
        <f>IF($C93="","",IF($E93="Falta","-",MAX(0,MIN(10,8+IFERROR(VALUE(TRIM(MID(SUBSTITUTE(SUBSTITUTE(SUBSTITUTE(UPPER($H93)," ",""),"D",""),";",REPT(" ",30)),1,30))),0)+IFERROR(VALUE(TRIM(MID(SUBSTITUTE(SUBSTITUTE(SUBSTITUTE(UPPER($H93)," ",""),"D",""),";",REPT(" ",30)),31,30))),0)+IFERROR(VALUE(TRIM(MID(SUBSTITUTE(SUBSTITUTE(SUBSTITUTE(UPPER($H93)," ",""),"D",""),";",REPT(" ",30)),61,30))),0)+IFERROR(VALUE(TRIM(MID(SUBSTITUTE(SUBSTITUTE(SUBSTITUTE(UPPER($H93)," ",""),"D",""),";",REPT(" ",30)),91,30))),0)+IFERROR(VALUE(TRIM(MID(SUBSTITUTE(SUBSTITUTE(SUBSTITUTE(UPPER($H93)," ",""),"D",""),";",REPT(" ",30)),121,30))),0)+IFERROR(VALUE(TRIM(MID(SUBSTITUTE(SUBSTITUTE(SUBSTITUTE(UPPER($H93)," ",""),"D",""),";",REPT(" ",30)),151,30))),0)+IFERROR(VALUE(TRIM(MID(SUBSTITUTE(SUBSTITUTE(SUBSTITUTE(UPPER($H93)," ",""),"D",""),";",REPT(" ",30)),181,30))),0)+IFERROR(VALUE(TRIM(MID(SUBSTITUTE(SUBSTITUTE(SUBSTITUTE(UPPER($H93)," ",""),"D",""),";",REPT(" ",30)),211,30))),0)))))</f>
        <v/>
      </c>
      <c r="K93" s="26" t="n"/>
      <c r="L93" s="6" t="n"/>
      <c r="M93" s="13" t="n"/>
      <c r="N93" s="27">
        <f>IF($C93="","",IF($E93="Falta","-",MAX(0,MIN(10,8+IFERROR(VALUE(TRIM(MID(SUBSTITUTE(SUBSTITUTE(SUBSTITUTE(UPPER($L93)," ",""),"F",""),";",REPT(" ",30)),1,30))),0)+IFERROR(VALUE(TRIM(MID(SUBSTITUTE(SUBSTITUTE(SUBSTITUTE(UPPER($L93)," ",""),"F",""),";",REPT(" ",30)),31,30))),0)+IFERROR(VALUE(TRIM(MID(SUBSTITUTE(SUBSTITUTE(SUBSTITUTE(UPPER($L93)," ",""),"F",""),";",REPT(" ",30)),61,30))),0)+IFERROR(VALUE(TRIM(MID(SUBSTITUTE(SUBSTITUTE(SUBSTITUTE(UPPER($L93)," ",""),"F",""),";",REPT(" ",30)),91,30))),0)+IFERROR(VALUE(TRIM(MID(SUBSTITUTE(SUBSTITUTE(SUBSTITUTE(UPPER($L93)," ",""),"F",""),";",REPT(" ",30)),121,30))),0)+IFERROR(VALUE(TRIM(MID(SUBSTITUTE(SUBSTITUTE(SUBSTITUTE(UPPER($L93)," ",""),"F",""),";",REPT(" ",30)),151,30))),0)+IFERROR(VALUE(TRIM(MID(SUBSTITUTE(SUBSTITUTE(SUBSTITUTE(UPPER($L93)," ",""),"F",""),";",REPT(" ",30)),181,30))),0)+IFERROR(VALUE(TRIM(MID(SUBSTITUTE(SUBSTITUTE(SUBSTITUTE(UPPER($L93)," ",""),"F",""),";",REPT(" ",30)),211,30))),0)))))</f>
        <v/>
      </c>
      <c r="O93" s="26" t="n"/>
      <c r="P93" s="6" t="n"/>
      <c r="Q93" s="13" t="n"/>
      <c r="R93" s="27">
        <f>IF($C93="","",IF($E93="Falta","-",MAX(0,MIN(10,5+IFERROR(VALUE(TRIM(MID(SUBSTITUTE(SUBSTITUTE(SUBSTITUTE(UPPER($P93)," ",""),"C",""),";",REPT(" ",30)),1,30))),0)+IFERROR(VALUE(TRIM(MID(SUBSTITUTE(SUBSTITUTE(SUBSTITUTE(UPPER($P93)," ",""),"C",""),";",REPT(" ",30)),31,30))),0)+IFERROR(VALUE(TRIM(MID(SUBSTITUTE(SUBSTITUTE(SUBSTITUTE(UPPER($P93)," ",""),"C",""),";",REPT(" ",30)),61,30))),0)+IFERROR(VALUE(TRIM(MID(SUBSTITUTE(SUBSTITUTE(SUBSTITUTE(UPPER($P93)," ",""),"C",""),";",REPT(" ",30)),91,30))),0)+IFERROR(VALUE(TRIM(MID(SUBSTITUTE(SUBSTITUTE(SUBSTITUTE(UPPER($P93)," ",""),"C",""),";",REPT(" ",30)),121,30))),0)+IFERROR(VALUE(TRIM(MID(SUBSTITUTE(SUBSTITUTE(SUBSTITUTE(UPPER($P93)," ",""),"C",""),";",REPT(" ",30)),151,30))),0)+IFERROR(VALUE(TRIM(MID(SUBSTITUTE(SUBSTITUTE(SUBSTITUTE(UPPER($P93)," ",""),"C",""),";",REPT(" ",30)),181,30))),0)+IFERROR(VALUE(TRIM(MID(SUBSTITUTE(SUBSTITUTE(SUBSTITUTE(UPPER($P93)," ",""),"C",""),";",REPT(" ",30)),211,30))),0)))))</f>
        <v/>
      </c>
      <c r="S93" s="26" t="n"/>
      <c r="T93" s="6" t="n"/>
      <c r="U93" s="13" t="n"/>
      <c r="V93" s="27">
        <f>IF($C93="","",IF($E93="Falta","-",MAX(0,MIN(10,5+IFERROR(VALUE(TRIM(MID(SUBSTITUTE(SUBSTITUTE(SUBSTITUTE(UPPER($T93)," ",""),"P",""),";",REPT(" ",30)),1,30))),0)+IFERROR(VALUE(TRIM(MID(SUBSTITUTE(SUBSTITUTE(SUBSTITUTE(UPPER($T93)," ",""),"P",""),";",REPT(" ",30)),31,30))),0)+IFERROR(VALUE(TRIM(MID(SUBSTITUTE(SUBSTITUTE(SUBSTITUTE(UPPER($T93)," ",""),"P",""),";",REPT(" ",30)),61,30))),0)+IFERROR(VALUE(TRIM(MID(SUBSTITUTE(SUBSTITUTE(SUBSTITUTE(UPPER($T93)," ",""),"P",""),";",REPT(" ",30)),91,30))),0)+IFERROR(VALUE(TRIM(MID(SUBSTITUTE(SUBSTITUTE(SUBSTITUTE(UPPER($T93)," ",""),"P",""),";",REPT(" ",30)),121,30))),0)+IFERROR(VALUE(TRIM(MID(SUBSTITUTE(SUBSTITUTE(SUBSTITUTE(UPPER($T93)," ",""),"P",""),";",REPT(" ",30)),151,30))),0)+IFERROR(VALUE(TRIM(MID(SUBSTITUTE(SUBSTITUTE(SUBSTITUTE(UPPER($T93)," ",""),"P",""),";",REPT(" ",30)),181,30))),0)+IFERROR(VALUE(TRIM(MID(SUBSTITUTE(SUBSTITUTE(SUBSTITUTE(UPPER($T93)," ",""),"P",""),";",REPT(" ",30)),211,30))),0)))))</f>
        <v/>
      </c>
      <c r="W93" s="26" t="n"/>
      <c r="X93" s="13" t="n"/>
    </row>
    <row r="94">
      <c r="A94" s="8">
        <f>IF($C94="","",19)</f>
        <v/>
      </c>
      <c r="B94" s="8">
        <f>IF($C94="","","1ª Sessão")</f>
        <v/>
      </c>
      <c r="C94" s="8">
        <f>IF(Preenchimento!$B$28="","",Preenchimento!$B$28)</f>
        <v/>
      </c>
      <c r="D94" s="8">
        <f>IF($C94="","",IF(Preenchimento!$C$28="","-",Preenchimento!$C$28))</f>
        <v/>
      </c>
      <c r="E94" s="8" t="n"/>
      <c r="F94" s="8" t="n"/>
      <c r="G94" s="24" t="n"/>
      <c r="H94" s="8" t="n"/>
      <c r="I94" s="14" t="n"/>
      <c r="J94" s="25">
        <f>IF($C94="","",IF($E94="Falta","-",MAX(0,MIN(10,8+IFERROR(VALUE(TRIM(MID(SUBSTITUTE(SUBSTITUTE(SUBSTITUTE(UPPER($H94)," ",""),"D",""),";",REPT(" ",30)),1,30))),0)+IFERROR(VALUE(TRIM(MID(SUBSTITUTE(SUBSTITUTE(SUBSTITUTE(UPPER($H94)," ",""),"D",""),";",REPT(" ",30)),31,30))),0)+IFERROR(VALUE(TRIM(MID(SUBSTITUTE(SUBSTITUTE(SUBSTITUTE(UPPER($H94)," ",""),"D",""),";",REPT(" ",30)),61,30))),0)+IFERROR(VALUE(TRIM(MID(SUBSTITUTE(SUBSTITUTE(SUBSTITUTE(UPPER($H94)," ",""),"D",""),";",REPT(" ",30)),91,30))),0)+IFERROR(VALUE(TRIM(MID(SUBSTITUTE(SUBSTITUTE(SUBSTITUTE(UPPER($H94)," ",""),"D",""),";",REPT(" ",30)),121,30))),0)+IFERROR(VALUE(TRIM(MID(SUBSTITUTE(SUBSTITUTE(SUBSTITUTE(UPPER($H94)," ",""),"D",""),";",REPT(" ",30)),151,30))),0)+IFERROR(VALUE(TRIM(MID(SUBSTITUTE(SUBSTITUTE(SUBSTITUTE(UPPER($H94)," ",""),"D",""),";",REPT(" ",30)),181,30))),0)+IFERROR(VALUE(TRIM(MID(SUBSTITUTE(SUBSTITUTE(SUBSTITUTE(UPPER($H94)," ",""),"D",""),";",REPT(" ",30)),211,30))),0)))))</f>
        <v/>
      </c>
      <c r="K94" s="24" t="n"/>
      <c r="L94" s="8" t="n"/>
      <c r="M94" s="14" t="n"/>
      <c r="N94" s="25">
        <f>IF($C94="","",IF($E94="Falta","-",MAX(0,MIN(10,8+IFERROR(VALUE(TRIM(MID(SUBSTITUTE(SUBSTITUTE(SUBSTITUTE(UPPER($L94)," ",""),"F",""),";",REPT(" ",30)),1,30))),0)+IFERROR(VALUE(TRIM(MID(SUBSTITUTE(SUBSTITUTE(SUBSTITUTE(UPPER($L94)," ",""),"F",""),";",REPT(" ",30)),31,30))),0)+IFERROR(VALUE(TRIM(MID(SUBSTITUTE(SUBSTITUTE(SUBSTITUTE(UPPER($L94)," ",""),"F",""),";",REPT(" ",30)),61,30))),0)+IFERROR(VALUE(TRIM(MID(SUBSTITUTE(SUBSTITUTE(SUBSTITUTE(UPPER($L94)," ",""),"F",""),";",REPT(" ",30)),91,30))),0)+IFERROR(VALUE(TRIM(MID(SUBSTITUTE(SUBSTITUTE(SUBSTITUTE(UPPER($L94)," ",""),"F",""),";",REPT(" ",30)),121,30))),0)+IFERROR(VALUE(TRIM(MID(SUBSTITUTE(SUBSTITUTE(SUBSTITUTE(UPPER($L94)," ",""),"F",""),";",REPT(" ",30)),151,30))),0)+IFERROR(VALUE(TRIM(MID(SUBSTITUTE(SUBSTITUTE(SUBSTITUTE(UPPER($L94)," ",""),"F",""),";",REPT(" ",30)),181,30))),0)+IFERROR(VALUE(TRIM(MID(SUBSTITUTE(SUBSTITUTE(SUBSTITUTE(UPPER($L94)," ",""),"F",""),";",REPT(" ",30)),211,30))),0)))))</f>
        <v/>
      </c>
      <c r="O94" s="24" t="n"/>
      <c r="P94" s="8" t="n"/>
      <c r="Q94" s="14" t="n"/>
      <c r="R94" s="25">
        <f>IF($C94="","",IF($E94="Falta","-",MAX(0,MIN(10,5+IFERROR(VALUE(TRIM(MID(SUBSTITUTE(SUBSTITUTE(SUBSTITUTE(UPPER($P94)," ",""),"C",""),";",REPT(" ",30)),1,30))),0)+IFERROR(VALUE(TRIM(MID(SUBSTITUTE(SUBSTITUTE(SUBSTITUTE(UPPER($P94)," ",""),"C",""),";",REPT(" ",30)),31,30))),0)+IFERROR(VALUE(TRIM(MID(SUBSTITUTE(SUBSTITUTE(SUBSTITUTE(UPPER($P94)," ",""),"C",""),";",REPT(" ",30)),61,30))),0)+IFERROR(VALUE(TRIM(MID(SUBSTITUTE(SUBSTITUTE(SUBSTITUTE(UPPER($P94)," ",""),"C",""),";",REPT(" ",30)),91,30))),0)+IFERROR(VALUE(TRIM(MID(SUBSTITUTE(SUBSTITUTE(SUBSTITUTE(UPPER($P94)," ",""),"C",""),";",REPT(" ",30)),121,30))),0)+IFERROR(VALUE(TRIM(MID(SUBSTITUTE(SUBSTITUTE(SUBSTITUTE(UPPER($P94)," ",""),"C",""),";",REPT(" ",30)),151,30))),0)+IFERROR(VALUE(TRIM(MID(SUBSTITUTE(SUBSTITUTE(SUBSTITUTE(UPPER($P94)," ",""),"C",""),";",REPT(" ",30)),181,30))),0)+IFERROR(VALUE(TRIM(MID(SUBSTITUTE(SUBSTITUTE(SUBSTITUTE(UPPER($P94)," ",""),"C",""),";",REPT(" ",30)),211,30))),0)))))</f>
        <v/>
      </c>
      <c r="S94" s="24" t="n"/>
      <c r="T94" s="8" t="n"/>
      <c r="U94" s="14" t="n"/>
      <c r="V94" s="25">
        <f>IF($C94="","",IF($E94="Falta","-",MAX(0,MIN(10,5+IFERROR(VALUE(TRIM(MID(SUBSTITUTE(SUBSTITUTE(SUBSTITUTE(UPPER($T94)," ",""),"P",""),";",REPT(" ",30)),1,30))),0)+IFERROR(VALUE(TRIM(MID(SUBSTITUTE(SUBSTITUTE(SUBSTITUTE(UPPER($T94)," ",""),"P",""),";",REPT(" ",30)),31,30))),0)+IFERROR(VALUE(TRIM(MID(SUBSTITUTE(SUBSTITUTE(SUBSTITUTE(UPPER($T94)," ",""),"P",""),";",REPT(" ",30)),61,30))),0)+IFERROR(VALUE(TRIM(MID(SUBSTITUTE(SUBSTITUTE(SUBSTITUTE(UPPER($T94)," ",""),"P",""),";",REPT(" ",30)),91,30))),0)+IFERROR(VALUE(TRIM(MID(SUBSTITUTE(SUBSTITUTE(SUBSTITUTE(UPPER($T94)," ",""),"P",""),";",REPT(" ",30)),121,30))),0)+IFERROR(VALUE(TRIM(MID(SUBSTITUTE(SUBSTITUTE(SUBSTITUTE(UPPER($T94)," ",""),"P",""),";",REPT(" ",30)),151,30))),0)+IFERROR(VALUE(TRIM(MID(SUBSTITUTE(SUBSTITUTE(SUBSTITUTE(UPPER($T94)," ",""),"P",""),";",REPT(" ",30)),181,30))),0)+IFERROR(VALUE(TRIM(MID(SUBSTITUTE(SUBSTITUTE(SUBSTITUTE(UPPER($T94)," ",""),"P",""),";",REPT(" ",30)),211,30))),0)))))</f>
        <v/>
      </c>
      <c r="W94" s="24" t="n"/>
      <c r="X94" s="14" t="n"/>
    </row>
    <row r="95">
      <c r="A95" s="8">
        <f>IF($C95="","",19)</f>
        <v/>
      </c>
      <c r="B95" s="8">
        <f>IF($C95="","","2ª Sessão")</f>
        <v/>
      </c>
      <c r="C95" s="8">
        <f>IF(Preenchimento!$B$28="","",Preenchimento!$B$28)</f>
        <v/>
      </c>
      <c r="D95" s="8">
        <f>IF($C95="","",IF(Preenchimento!$C$28="","-",Preenchimento!$C$28))</f>
        <v/>
      </c>
      <c r="E95" s="8" t="n"/>
      <c r="F95" s="8" t="n"/>
      <c r="G95" s="24" t="n"/>
      <c r="H95" s="8" t="n"/>
      <c r="I95" s="14" t="n"/>
      <c r="J95" s="25">
        <f>IF($C95="","",IF($E95="Falta","-",MAX(0,MIN(10,8+IFERROR(VALUE(TRIM(MID(SUBSTITUTE(SUBSTITUTE(SUBSTITUTE(UPPER($H95)," ",""),"D",""),";",REPT(" ",30)),1,30))),0)+IFERROR(VALUE(TRIM(MID(SUBSTITUTE(SUBSTITUTE(SUBSTITUTE(UPPER($H95)," ",""),"D",""),";",REPT(" ",30)),31,30))),0)+IFERROR(VALUE(TRIM(MID(SUBSTITUTE(SUBSTITUTE(SUBSTITUTE(UPPER($H95)," ",""),"D",""),";",REPT(" ",30)),61,30))),0)+IFERROR(VALUE(TRIM(MID(SUBSTITUTE(SUBSTITUTE(SUBSTITUTE(UPPER($H95)," ",""),"D",""),";",REPT(" ",30)),91,30))),0)+IFERROR(VALUE(TRIM(MID(SUBSTITUTE(SUBSTITUTE(SUBSTITUTE(UPPER($H95)," ",""),"D",""),";",REPT(" ",30)),121,30))),0)+IFERROR(VALUE(TRIM(MID(SUBSTITUTE(SUBSTITUTE(SUBSTITUTE(UPPER($H95)," ",""),"D",""),";",REPT(" ",30)),151,30))),0)+IFERROR(VALUE(TRIM(MID(SUBSTITUTE(SUBSTITUTE(SUBSTITUTE(UPPER($H95)," ",""),"D",""),";",REPT(" ",30)),181,30))),0)+IFERROR(VALUE(TRIM(MID(SUBSTITUTE(SUBSTITUTE(SUBSTITUTE(UPPER($H95)," ",""),"D",""),";",REPT(" ",30)),211,30))),0)))))</f>
        <v/>
      </c>
      <c r="K95" s="24" t="n"/>
      <c r="L95" s="8" t="n"/>
      <c r="M95" s="14" t="n"/>
      <c r="N95" s="25">
        <f>IF($C95="","",IF($E95="Falta","-",MAX(0,MIN(10,8+IFERROR(VALUE(TRIM(MID(SUBSTITUTE(SUBSTITUTE(SUBSTITUTE(UPPER($L95)," ",""),"F",""),";",REPT(" ",30)),1,30))),0)+IFERROR(VALUE(TRIM(MID(SUBSTITUTE(SUBSTITUTE(SUBSTITUTE(UPPER($L95)," ",""),"F",""),";",REPT(" ",30)),31,30))),0)+IFERROR(VALUE(TRIM(MID(SUBSTITUTE(SUBSTITUTE(SUBSTITUTE(UPPER($L95)," ",""),"F",""),";",REPT(" ",30)),61,30))),0)+IFERROR(VALUE(TRIM(MID(SUBSTITUTE(SUBSTITUTE(SUBSTITUTE(UPPER($L95)," ",""),"F",""),";",REPT(" ",30)),91,30))),0)+IFERROR(VALUE(TRIM(MID(SUBSTITUTE(SUBSTITUTE(SUBSTITUTE(UPPER($L95)," ",""),"F",""),";",REPT(" ",30)),121,30))),0)+IFERROR(VALUE(TRIM(MID(SUBSTITUTE(SUBSTITUTE(SUBSTITUTE(UPPER($L95)," ",""),"F",""),";",REPT(" ",30)),151,30))),0)+IFERROR(VALUE(TRIM(MID(SUBSTITUTE(SUBSTITUTE(SUBSTITUTE(UPPER($L95)," ",""),"F",""),";",REPT(" ",30)),181,30))),0)+IFERROR(VALUE(TRIM(MID(SUBSTITUTE(SUBSTITUTE(SUBSTITUTE(UPPER($L95)," ",""),"F",""),";",REPT(" ",30)),211,30))),0)))))</f>
        <v/>
      </c>
      <c r="O95" s="24" t="n"/>
      <c r="P95" s="8" t="n"/>
      <c r="Q95" s="14" t="n"/>
      <c r="R95" s="25">
        <f>IF($C95="","",IF($E95="Falta","-",MAX(0,MIN(10,5+IFERROR(VALUE(TRIM(MID(SUBSTITUTE(SUBSTITUTE(SUBSTITUTE(UPPER($P95)," ",""),"C",""),";",REPT(" ",30)),1,30))),0)+IFERROR(VALUE(TRIM(MID(SUBSTITUTE(SUBSTITUTE(SUBSTITUTE(UPPER($P95)," ",""),"C",""),";",REPT(" ",30)),31,30))),0)+IFERROR(VALUE(TRIM(MID(SUBSTITUTE(SUBSTITUTE(SUBSTITUTE(UPPER($P95)," ",""),"C",""),";",REPT(" ",30)),61,30))),0)+IFERROR(VALUE(TRIM(MID(SUBSTITUTE(SUBSTITUTE(SUBSTITUTE(UPPER($P95)," ",""),"C",""),";",REPT(" ",30)),91,30))),0)+IFERROR(VALUE(TRIM(MID(SUBSTITUTE(SUBSTITUTE(SUBSTITUTE(UPPER($P95)," ",""),"C",""),";",REPT(" ",30)),121,30))),0)+IFERROR(VALUE(TRIM(MID(SUBSTITUTE(SUBSTITUTE(SUBSTITUTE(UPPER($P95)," ",""),"C",""),";",REPT(" ",30)),151,30))),0)+IFERROR(VALUE(TRIM(MID(SUBSTITUTE(SUBSTITUTE(SUBSTITUTE(UPPER($P95)," ",""),"C",""),";",REPT(" ",30)),181,30))),0)+IFERROR(VALUE(TRIM(MID(SUBSTITUTE(SUBSTITUTE(SUBSTITUTE(UPPER($P95)," ",""),"C",""),";",REPT(" ",30)),211,30))),0)))))</f>
        <v/>
      </c>
      <c r="S95" s="24" t="n"/>
      <c r="T95" s="8" t="n"/>
      <c r="U95" s="14" t="n"/>
      <c r="V95" s="25">
        <f>IF($C95="","",IF($E95="Falta","-",MAX(0,MIN(10,5+IFERROR(VALUE(TRIM(MID(SUBSTITUTE(SUBSTITUTE(SUBSTITUTE(UPPER($T95)," ",""),"P",""),";",REPT(" ",30)),1,30))),0)+IFERROR(VALUE(TRIM(MID(SUBSTITUTE(SUBSTITUTE(SUBSTITUTE(UPPER($T95)," ",""),"P",""),";",REPT(" ",30)),31,30))),0)+IFERROR(VALUE(TRIM(MID(SUBSTITUTE(SUBSTITUTE(SUBSTITUTE(UPPER($T95)," ",""),"P",""),";",REPT(" ",30)),61,30))),0)+IFERROR(VALUE(TRIM(MID(SUBSTITUTE(SUBSTITUTE(SUBSTITUTE(UPPER($T95)," ",""),"P",""),";",REPT(" ",30)),91,30))),0)+IFERROR(VALUE(TRIM(MID(SUBSTITUTE(SUBSTITUTE(SUBSTITUTE(UPPER($T95)," ",""),"P",""),";",REPT(" ",30)),121,30))),0)+IFERROR(VALUE(TRIM(MID(SUBSTITUTE(SUBSTITUTE(SUBSTITUTE(UPPER($T95)," ",""),"P",""),";",REPT(" ",30)),151,30))),0)+IFERROR(VALUE(TRIM(MID(SUBSTITUTE(SUBSTITUTE(SUBSTITUTE(UPPER($T95)," ",""),"P",""),";",REPT(" ",30)),181,30))),0)+IFERROR(VALUE(TRIM(MID(SUBSTITUTE(SUBSTITUTE(SUBSTITUTE(UPPER($T95)," ",""),"P",""),";",REPT(" ",30)),211,30))),0)))))</f>
        <v/>
      </c>
      <c r="W95" s="24" t="n"/>
      <c r="X95" s="14" t="n"/>
    </row>
    <row r="96">
      <c r="A96" s="8">
        <f>IF($C96="","",19)</f>
        <v/>
      </c>
      <c r="B96" s="8">
        <f>IF($C96="","","3ª Sessão")</f>
        <v/>
      </c>
      <c r="C96" s="8">
        <f>IF(Preenchimento!$B$28="","",Preenchimento!$B$28)</f>
        <v/>
      </c>
      <c r="D96" s="8">
        <f>IF($C96="","",IF(Preenchimento!$C$28="","-",Preenchimento!$C$28))</f>
        <v/>
      </c>
      <c r="E96" s="8" t="n"/>
      <c r="F96" s="8" t="n"/>
      <c r="G96" s="24" t="n"/>
      <c r="H96" s="8" t="n"/>
      <c r="I96" s="14" t="n"/>
      <c r="J96" s="25">
        <f>IF($C96="","",IF($E96="Falta","-",MAX(0,MIN(10,8+IFERROR(VALUE(TRIM(MID(SUBSTITUTE(SUBSTITUTE(SUBSTITUTE(UPPER($H96)," ",""),"D",""),";",REPT(" ",30)),1,30))),0)+IFERROR(VALUE(TRIM(MID(SUBSTITUTE(SUBSTITUTE(SUBSTITUTE(UPPER($H96)," ",""),"D",""),";",REPT(" ",30)),31,30))),0)+IFERROR(VALUE(TRIM(MID(SUBSTITUTE(SUBSTITUTE(SUBSTITUTE(UPPER($H96)," ",""),"D",""),";",REPT(" ",30)),61,30))),0)+IFERROR(VALUE(TRIM(MID(SUBSTITUTE(SUBSTITUTE(SUBSTITUTE(UPPER($H96)," ",""),"D",""),";",REPT(" ",30)),91,30))),0)+IFERROR(VALUE(TRIM(MID(SUBSTITUTE(SUBSTITUTE(SUBSTITUTE(UPPER($H96)," ",""),"D",""),";",REPT(" ",30)),121,30))),0)+IFERROR(VALUE(TRIM(MID(SUBSTITUTE(SUBSTITUTE(SUBSTITUTE(UPPER($H96)," ",""),"D",""),";",REPT(" ",30)),151,30))),0)+IFERROR(VALUE(TRIM(MID(SUBSTITUTE(SUBSTITUTE(SUBSTITUTE(UPPER($H96)," ",""),"D",""),";",REPT(" ",30)),181,30))),0)+IFERROR(VALUE(TRIM(MID(SUBSTITUTE(SUBSTITUTE(SUBSTITUTE(UPPER($H96)," ",""),"D",""),";",REPT(" ",30)),211,30))),0)))))</f>
        <v/>
      </c>
      <c r="K96" s="24" t="n"/>
      <c r="L96" s="8" t="n"/>
      <c r="M96" s="14" t="n"/>
      <c r="N96" s="25">
        <f>IF($C96="","",IF($E96="Falta","-",MAX(0,MIN(10,8+IFERROR(VALUE(TRIM(MID(SUBSTITUTE(SUBSTITUTE(SUBSTITUTE(UPPER($L96)," ",""),"F",""),";",REPT(" ",30)),1,30))),0)+IFERROR(VALUE(TRIM(MID(SUBSTITUTE(SUBSTITUTE(SUBSTITUTE(UPPER($L96)," ",""),"F",""),";",REPT(" ",30)),31,30))),0)+IFERROR(VALUE(TRIM(MID(SUBSTITUTE(SUBSTITUTE(SUBSTITUTE(UPPER($L96)," ",""),"F",""),";",REPT(" ",30)),61,30))),0)+IFERROR(VALUE(TRIM(MID(SUBSTITUTE(SUBSTITUTE(SUBSTITUTE(UPPER($L96)," ",""),"F",""),";",REPT(" ",30)),91,30))),0)+IFERROR(VALUE(TRIM(MID(SUBSTITUTE(SUBSTITUTE(SUBSTITUTE(UPPER($L96)," ",""),"F",""),";",REPT(" ",30)),121,30))),0)+IFERROR(VALUE(TRIM(MID(SUBSTITUTE(SUBSTITUTE(SUBSTITUTE(UPPER($L96)," ",""),"F",""),";",REPT(" ",30)),151,30))),0)+IFERROR(VALUE(TRIM(MID(SUBSTITUTE(SUBSTITUTE(SUBSTITUTE(UPPER($L96)," ",""),"F",""),";",REPT(" ",30)),181,30))),0)+IFERROR(VALUE(TRIM(MID(SUBSTITUTE(SUBSTITUTE(SUBSTITUTE(UPPER($L96)," ",""),"F",""),";",REPT(" ",30)),211,30))),0)))))</f>
        <v/>
      </c>
      <c r="O96" s="24" t="n"/>
      <c r="P96" s="8" t="n"/>
      <c r="Q96" s="14" t="n"/>
      <c r="R96" s="25">
        <f>IF($C96="","",IF($E96="Falta","-",MAX(0,MIN(10,5+IFERROR(VALUE(TRIM(MID(SUBSTITUTE(SUBSTITUTE(SUBSTITUTE(UPPER($P96)," ",""),"C",""),";",REPT(" ",30)),1,30))),0)+IFERROR(VALUE(TRIM(MID(SUBSTITUTE(SUBSTITUTE(SUBSTITUTE(UPPER($P96)," ",""),"C",""),";",REPT(" ",30)),31,30))),0)+IFERROR(VALUE(TRIM(MID(SUBSTITUTE(SUBSTITUTE(SUBSTITUTE(UPPER($P96)," ",""),"C",""),";",REPT(" ",30)),61,30))),0)+IFERROR(VALUE(TRIM(MID(SUBSTITUTE(SUBSTITUTE(SUBSTITUTE(UPPER($P96)," ",""),"C",""),";",REPT(" ",30)),91,30))),0)+IFERROR(VALUE(TRIM(MID(SUBSTITUTE(SUBSTITUTE(SUBSTITUTE(UPPER($P96)," ",""),"C",""),";",REPT(" ",30)),121,30))),0)+IFERROR(VALUE(TRIM(MID(SUBSTITUTE(SUBSTITUTE(SUBSTITUTE(UPPER($P96)," ",""),"C",""),";",REPT(" ",30)),151,30))),0)+IFERROR(VALUE(TRIM(MID(SUBSTITUTE(SUBSTITUTE(SUBSTITUTE(UPPER($P96)," ",""),"C",""),";",REPT(" ",30)),181,30))),0)+IFERROR(VALUE(TRIM(MID(SUBSTITUTE(SUBSTITUTE(SUBSTITUTE(UPPER($P96)," ",""),"C",""),";",REPT(" ",30)),211,30))),0)))))</f>
        <v/>
      </c>
      <c r="S96" s="24" t="n"/>
      <c r="T96" s="8" t="n"/>
      <c r="U96" s="14" t="n"/>
      <c r="V96" s="25">
        <f>IF($C96="","",IF($E96="Falta","-",MAX(0,MIN(10,5+IFERROR(VALUE(TRIM(MID(SUBSTITUTE(SUBSTITUTE(SUBSTITUTE(UPPER($T96)," ",""),"P",""),";",REPT(" ",30)),1,30))),0)+IFERROR(VALUE(TRIM(MID(SUBSTITUTE(SUBSTITUTE(SUBSTITUTE(UPPER($T96)," ",""),"P",""),";",REPT(" ",30)),31,30))),0)+IFERROR(VALUE(TRIM(MID(SUBSTITUTE(SUBSTITUTE(SUBSTITUTE(UPPER($T96)," ",""),"P",""),";",REPT(" ",30)),61,30))),0)+IFERROR(VALUE(TRIM(MID(SUBSTITUTE(SUBSTITUTE(SUBSTITUTE(UPPER($T96)," ",""),"P",""),";",REPT(" ",30)),91,30))),0)+IFERROR(VALUE(TRIM(MID(SUBSTITUTE(SUBSTITUTE(SUBSTITUTE(UPPER($T96)," ",""),"P",""),";",REPT(" ",30)),121,30))),0)+IFERROR(VALUE(TRIM(MID(SUBSTITUTE(SUBSTITUTE(SUBSTITUTE(UPPER($T96)," ",""),"P",""),";",REPT(" ",30)),151,30))),0)+IFERROR(VALUE(TRIM(MID(SUBSTITUTE(SUBSTITUTE(SUBSTITUTE(UPPER($T96)," ",""),"P",""),";",REPT(" ",30)),181,30))),0)+IFERROR(VALUE(TRIM(MID(SUBSTITUTE(SUBSTITUTE(SUBSTITUTE(UPPER($T96)," ",""),"P",""),";",REPT(" ",30)),211,30))),0)))))</f>
        <v/>
      </c>
      <c r="W96" s="24" t="n"/>
      <c r="X96" s="14" t="n"/>
    </row>
    <row r="97">
      <c r="A97" s="8">
        <f>IF($C97="","",19)</f>
        <v/>
      </c>
      <c r="B97" s="8">
        <f>IF($C97="","","4ª Sessão")</f>
        <v/>
      </c>
      <c r="C97" s="8">
        <f>IF(Preenchimento!$B$28="","",Preenchimento!$B$28)</f>
        <v/>
      </c>
      <c r="D97" s="8">
        <f>IF($C97="","",IF(Preenchimento!$C$28="","-",Preenchimento!$C$28))</f>
        <v/>
      </c>
      <c r="E97" s="8" t="n"/>
      <c r="F97" s="8" t="n"/>
      <c r="G97" s="24" t="n"/>
      <c r="H97" s="8" t="n"/>
      <c r="I97" s="14" t="n"/>
      <c r="J97" s="25">
        <f>IF($C97="","",IF($E97="Falta","-",MAX(0,MIN(10,8+IFERROR(VALUE(TRIM(MID(SUBSTITUTE(SUBSTITUTE(SUBSTITUTE(UPPER($H97)," ",""),"D",""),";",REPT(" ",30)),1,30))),0)+IFERROR(VALUE(TRIM(MID(SUBSTITUTE(SUBSTITUTE(SUBSTITUTE(UPPER($H97)," ",""),"D",""),";",REPT(" ",30)),31,30))),0)+IFERROR(VALUE(TRIM(MID(SUBSTITUTE(SUBSTITUTE(SUBSTITUTE(UPPER($H97)," ",""),"D",""),";",REPT(" ",30)),61,30))),0)+IFERROR(VALUE(TRIM(MID(SUBSTITUTE(SUBSTITUTE(SUBSTITUTE(UPPER($H97)," ",""),"D",""),";",REPT(" ",30)),91,30))),0)+IFERROR(VALUE(TRIM(MID(SUBSTITUTE(SUBSTITUTE(SUBSTITUTE(UPPER($H97)," ",""),"D",""),";",REPT(" ",30)),121,30))),0)+IFERROR(VALUE(TRIM(MID(SUBSTITUTE(SUBSTITUTE(SUBSTITUTE(UPPER($H97)," ",""),"D",""),";",REPT(" ",30)),151,30))),0)+IFERROR(VALUE(TRIM(MID(SUBSTITUTE(SUBSTITUTE(SUBSTITUTE(UPPER($H97)," ",""),"D",""),";",REPT(" ",30)),181,30))),0)+IFERROR(VALUE(TRIM(MID(SUBSTITUTE(SUBSTITUTE(SUBSTITUTE(UPPER($H97)," ",""),"D",""),";",REPT(" ",30)),211,30))),0)))))</f>
        <v/>
      </c>
      <c r="K97" s="24" t="n"/>
      <c r="L97" s="8" t="n"/>
      <c r="M97" s="14" t="n"/>
      <c r="N97" s="25">
        <f>IF($C97="","",IF($E97="Falta","-",MAX(0,MIN(10,8+IFERROR(VALUE(TRIM(MID(SUBSTITUTE(SUBSTITUTE(SUBSTITUTE(UPPER($L97)," ",""),"F",""),";",REPT(" ",30)),1,30))),0)+IFERROR(VALUE(TRIM(MID(SUBSTITUTE(SUBSTITUTE(SUBSTITUTE(UPPER($L97)," ",""),"F",""),";",REPT(" ",30)),31,30))),0)+IFERROR(VALUE(TRIM(MID(SUBSTITUTE(SUBSTITUTE(SUBSTITUTE(UPPER($L97)," ",""),"F",""),";",REPT(" ",30)),61,30))),0)+IFERROR(VALUE(TRIM(MID(SUBSTITUTE(SUBSTITUTE(SUBSTITUTE(UPPER($L97)," ",""),"F",""),";",REPT(" ",30)),91,30))),0)+IFERROR(VALUE(TRIM(MID(SUBSTITUTE(SUBSTITUTE(SUBSTITUTE(UPPER($L97)," ",""),"F",""),";",REPT(" ",30)),121,30))),0)+IFERROR(VALUE(TRIM(MID(SUBSTITUTE(SUBSTITUTE(SUBSTITUTE(UPPER($L97)," ",""),"F",""),";",REPT(" ",30)),151,30))),0)+IFERROR(VALUE(TRIM(MID(SUBSTITUTE(SUBSTITUTE(SUBSTITUTE(UPPER($L97)," ",""),"F",""),";",REPT(" ",30)),181,30))),0)+IFERROR(VALUE(TRIM(MID(SUBSTITUTE(SUBSTITUTE(SUBSTITUTE(UPPER($L97)," ",""),"F",""),";",REPT(" ",30)),211,30))),0)))))</f>
        <v/>
      </c>
      <c r="O97" s="24" t="n"/>
      <c r="P97" s="8" t="n"/>
      <c r="Q97" s="14" t="n"/>
      <c r="R97" s="25">
        <f>IF($C97="","",IF($E97="Falta","-",MAX(0,MIN(10,5+IFERROR(VALUE(TRIM(MID(SUBSTITUTE(SUBSTITUTE(SUBSTITUTE(UPPER($P97)," ",""),"C",""),";",REPT(" ",30)),1,30))),0)+IFERROR(VALUE(TRIM(MID(SUBSTITUTE(SUBSTITUTE(SUBSTITUTE(UPPER($P97)," ",""),"C",""),";",REPT(" ",30)),31,30))),0)+IFERROR(VALUE(TRIM(MID(SUBSTITUTE(SUBSTITUTE(SUBSTITUTE(UPPER($P97)," ",""),"C",""),";",REPT(" ",30)),61,30))),0)+IFERROR(VALUE(TRIM(MID(SUBSTITUTE(SUBSTITUTE(SUBSTITUTE(UPPER($P97)," ",""),"C",""),";",REPT(" ",30)),91,30))),0)+IFERROR(VALUE(TRIM(MID(SUBSTITUTE(SUBSTITUTE(SUBSTITUTE(UPPER($P97)," ",""),"C",""),";",REPT(" ",30)),121,30))),0)+IFERROR(VALUE(TRIM(MID(SUBSTITUTE(SUBSTITUTE(SUBSTITUTE(UPPER($P97)," ",""),"C",""),";",REPT(" ",30)),151,30))),0)+IFERROR(VALUE(TRIM(MID(SUBSTITUTE(SUBSTITUTE(SUBSTITUTE(UPPER($P97)," ",""),"C",""),";",REPT(" ",30)),181,30))),0)+IFERROR(VALUE(TRIM(MID(SUBSTITUTE(SUBSTITUTE(SUBSTITUTE(UPPER($P97)," ",""),"C",""),";",REPT(" ",30)),211,30))),0)))))</f>
        <v/>
      </c>
      <c r="S97" s="24" t="n"/>
      <c r="T97" s="8" t="n"/>
      <c r="U97" s="14" t="n"/>
      <c r="V97" s="25">
        <f>IF($C97="","",IF($E97="Falta","-",MAX(0,MIN(10,5+IFERROR(VALUE(TRIM(MID(SUBSTITUTE(SUBSTITUTE(SUBSTITUTE(UPPER($T97)," ",""),"P",""),";",REPT(" ",30)),1,30))),0)+IFERROR(VALUE(TRIM(MID(SUBSTITUTE(SUBSTITUTE(SUBSTITUTE(UPPER($T97)," ",""),"P",""),";",REPT(" ",30)),31,30))),0)+IFERROR(VALUE(TRIM(MID(SUBSTITUTE(SUBSTITUTE(SUBSTITUTE(UPPER($T97)," ",""),"P",""),";",REPT(" ",30)),61,30))),0)+IFERROR(VALUE(TRIM(MID(SUBSTITUTE(SUBSTITUTE(SUBSTITUTE(UPPER($T97)," ",""),"P",""),";",REPT(" ",30)),91,30))),0)+IFERROR(VALUE(TRIM(MID(SUBSTITUTE(SUBSTITUTE(SUBSTITUTE(UPPER($T97)," ",""),"P",""),";",REPT(" ",30)),121,30))),0)+IFERROR(VALUE(TRIM(MID(SUBSTITUTE(SUBSTITUTE(SUBSTITUTE(UPPER($T97)," ",""),"P",""),";",REPT(" ",30)),151,30))),0)+IFERROR(VALUE(TRIM(MID(SUBSTITUTE(SUBSTITUTE(SUBSTITUTE(UPPER($T97)," ",""),"P",""),";",REPT(" ",30)),181,30))),0)+IFERROR(VALUE(TRIM(MID(SUBSTITUTE(SUBSTITUTE(SUBSTITUTE(UPPER($T97)," ",""),"P",""),";",REPT(" ",30)),211,30))),0)))))</f>
        <v/>
      </c>
      <c r="W97" s="24" t="n"/>
      <c r="X97" s="14" t="n"/>
    </row>
    <row r="98">
      <c r="A98" s="8">
        <f>IF($C98="","",19)</f>
        <v/>
      </c>
      <c r="B98" s="8">
        <f>IF($C98="","","5ª Sessão")</f>
        <v/>
      </c>
      <c r="C98" s="8">
        <f>IF(Preenchimento!$B$28="","",Preenchimento!$B$28)</f>
        <v/>
      </c>
      <c r="D98" s="8">
        <f>IF($C98="","",IF(Preenchimento!$C$28="","-",Preenchimento!$C$28))</f>
        <v/>
      </c>
      <c r="E98" s="8" t="n"/>
      <c r="F98" s="8" t="n"/>
      <c r="G98" s="24" t="n"/>
      <c r="H98" s="8" t="n"/>
      <c r="I98" s="14" t="n"/>
      <c r="J98" s="25">
        <f>IF($C98="","",IF($E98="Falta","-",MAX(0,MIN(10,8+IFERROR(VALUE(TRIM(MID(SUBSTITUTE(SUBSTITUTE(SUBSTITUTE(UPPER($H98)," ",""),"D",""),";",REPT(" ",30)),1,30))),0)+IFERROR(VALUE(TRIM(MID(SUBSTITUTE(SUBSTITUTE(SUBSTITUTE(UPPER($H98)," ",""),"D",""),";",REPT(" ",30)),31,30))),0)+IFERROR(VALUE(TRIM(MID(SUBSTITUTE(SUBSTITUTE(SUBSTITUTE(UPPER($H98)," ",""),"D",""),";",REPT(" ",30)),61,30))),0)+IFERROR(VALUE(TRIM(MID(SUBSTITUTE(SUBSTITUTE(SUBSTITUTE(UPPER($H98)," ",""),"D",""),";",REPT(" ",30)),91,30))),0)+IFERROR(VALUE(TRIM(MID(SUBSTITUTE(SUBSTITUTE(SUBSTITUTE(UPPER($H98)," ",""),"D",""),";",REPT(" ",30)),121,30))),0)+IFERROR(VALUE(TRIM(MID(SUBSTITUTE(SUBSTITUTE(SUBSTITUTE(UPPER($H98)," ",""),"D",""),";",REPT(" ",30)),151,30))),0)+IFERROR(VALUE(TRIM(MID(SUBSTITUTE(SUBSTITUTE(SUBSTITUTE(UPPER($H98)," ",""),"D",""),";",REPT(" ",30)),181,30))),0)+IFERROR(VALUE(TRIM(MID(SUBSTITUTE(SUBSTITUTE(SUBSTITUTE(UPPER($H98)," ",""),"D",""),";",REPT(" ",30)),211,30))),0)))))</f>
        <v/>
      </c>
      <c r="K98" s="24" t="n"/>
      <c r="L98" s="8" t="n"/>
      <c r="M98" s="14" t="n"/>
      <c r="N98" s="25">
        <f>IF($C98="","",IF($E98="Falta","-",MAX(0,MIN(10,8+IFERROR(VALUE(TRIM(MID(SUBSTITUTE(SUBSTITUTE(SUBSTITUTE(UPPER($L98)," ",""),"F",""),";",REPT(" ",30)),1,30))),0)+IFERROR(VALUE(TRIM(MID(SUBSTITUTE(SUBSTITUTE(SUBSTITUTE(UPPER($L98)," ",""),"F",""),";",REPT(" ",30)),31,30))),0)+IFERROR(VALUE(TRIM(MID(SUBSTITUTE(SUBSTITUTE(SUBSTITUTE(UPPER($L98)," ",""),"F",""),";",REPT(" ",30)),61,30))),0)+IFERROR(VALUE(TRIM(MID(SUBSTITUTE(SUBSTITUTE(SUBSTITUTE(UPPER($L98)," ",""),"F",""),";",REPT(" ",30)),91,30))),0)+IFERROR(VALUE(TRIM(MID(SUBSTITUTE(SUBSTITUTE(SUBSTITUTE(UPPER($L98)," ",""),"F",""),";",REPT(" ",30)),121,30))),0)+IFERROR(VALUE(TRIM(MID(SUBSTITUTE(SUBSTITUTE(SUBSTITUTE(UPPER($L98)," ",""),"F",""),";",REPT(" ",30)),151,30))),0)+IFERROR(VALUE(TRIM(MID(SUBSTITUTE(SUBSTITUTE(SUBSTITUTE(UPPER($L98)," ",""),"F",""),";",REPT(" ",30)),181,30))),0)+IFERROR(VALUE(TRIM(MID(SUBSTITUTE(SUBSTITUTE(SUBSTITUTE(UPPER($L98)," ",""),"F",""),";",REPT(" ",30)),211,30))),0)))))</f>
        <v/>
      </c>
      <c r="O98" s="24" t="n"/>
      <c r="P98" s="8" t="n"/>
      <c r="Q98" s="14" t="n"/>
      <c r="R98" s="25">
        <f>IF($C98="","",IF($E98="Falta","-",MAX(0,MIN(10,5+IFERROR(VALUE(TRIM(MID(SUBSTITUTE(SUBSTITUTE(SUBSTITUTE(UPPER($P98)," ",""),"C",""),";",REPT(" ",30)),1,30))),0)+IFERROR(VALUE(TRIM(MID(SUBSTITUTE(SUBSTITUTE(SUBSTITUTE(UPPER($P98)," ",""),"C",""),";",REPT(" ",30)),31,30))),0)+IFERROR(VALUE(TRIM(MID(SUBSTITUTE(SUBSTITUTE(SUBSTITUTE(UPPER($P98)," ",""),"C",""),";",REPT(" ",30)),61,30))),0)+IFERROR(VALUE(TRIM(MID(SUBSTITUTE(SUBSTITUTE(SUBSTITUTE(UPPER($P98)," ",""),"C",""),";",REPT(" ",30)),91,30))),0)+IFERROR(VALUE(TRIM(MID(SUBSTITUTE(SUBSTITUTE(SUBSTITUTE(UPPER($P98)," ",""),"C",""),";",REPT(" ",30)),121,30))),0)+IFERROR(VALUE(TRIM(MID(SUBSTITUTE(SUBSTITUTE(SUBSTITUTE(UPPER($P98)," ",""),"C",""),";",REPT(" ",30)),151,30))),0)+IFERROR(VALUE(TRIM(MID(SUBSTITUTE(SUBSTITUTE(SUBSTITUTE(UPPER($P98)," ",""),"C",""),";",REPT(" ",30)),181,30))),0)+IFERROR(VALUE(TRIM(MID(SUBSTITUTE(SUBSTITUTE(SUBSTITUTE(UPPER($P98)," ",""),"C",""),";",REPT(" ",30)),211,30))),0)))))</f>
        <v/>
      </c>
      <c r="S98" s="24" t="n"/>
      <c r="T98" s="8" t="n"/>
      <c r="U98" s="14" t="n"/>
      <c r="V98" s="25">
        <f>IF($C98="","",IF($E98="Falta","-",MAX(0,MIN(10,5+IFERROR(VALUE(TRIM(MID(SUBSTITUTE(SUBSTITUTE(SUBSTITUTE(UPPER($T98)," ",""),"P",""),";",REPT(" ",30)),1,30))),0)+IFERROR(VALUE(TRIM(MID(SUBSTITUTE(SUBSTITUTE(SUBSTITUTE(UPPER($T98)," ",""),"P",""),";",REPT(" ",30)),31,30))),0)+IFERROR(VALUE(TRIM(MID(SUBSTITUTE(SUBSTITUTE(SUBSTITUTE(UPPER($T98)," ",""),"P",""),";",REPT(" ",30)),61,30))),0)+IFERROR(VALUE(TRIM(MID(SUBSTITUTE(SUBSTITUTE(SUBSTITUTE(UPPER($T98)," ",""),"P",""),";",REPT(" ",30)),91,30))),0)+IFERROR(VALUE(TRIM(MID(SUBSTITUTE(SUBSTITUTE(SUBSTITUTE(UPPER($T98)," ",""),"P",""),";",REPT(" ",30)),121,30))),0)+IFERROR(VALUE(TRIM(MID(SUBSTITUTE(SUBSTITUTE(SUBSTITUTE(UPPER($T98)," ",""),"P",""),";",REPT(" ",30)),151,30))),0)+IFERROR(VALUE(TRIM(MID(SUBSTITUTE(SUBSTITUTE(SUBSTITUTE(UPPER($T98)," ",""),"P",""),";",REPT(" ",30)),181,30))),0)+IFERROR(VALUE(TRIM(MID(SUBSTITUTE(SUBSTITUTE(SUBSTITUTE(UPPER($T98)," ",""),"P",""),";",REPT(" ",30)),211,30))),0)))))</f>
        <v/>
      </c>
      <c r="W98" s="24" t="n"/>
      <c r="X98" s="14" t="n"/>
    </row>
    <row r="99">
      <c r="A99" s="6">
        <f>IF($C99="","",20)</f>
        <v/>
      </c>
      <c r="B99" s="6">
        <f>IF($C99="","","1ª Sessão")</f>
        <v/>
      </c>
      <c r="C99" s="6">
        <f>IF(Preenchimento!$B$29="","",Preenchimento!$B$29)</f>
        <v/>
      </c>
      <c r="D99" s="6">
        <f>IF($C99="","",IF(Preenchimento!$C$29="","-",Preenchimento!$C$29))</f>
        <v/>
      </c>
      <c r="E99" s="6" t="n"/>
      <c r="F99" s="6" t="n"/>
      <c r="G99" s="26" t="n"/>
      <c r="H99" s="6" t="n"/>
      <c r="I99" s="13" t="n"/>
      <c r="J99" s="27">
        <f>IF($C99="","",IF($E99="Falta","-",MAX(0,MIN(10,8+IFERROR(VALUE(TRIM(MID(SUBSTITUTE(SUBSTITUTE(SUBSTITUTE(UPPER($H99)," ",""),"D",""),";",REPT(" ",30)),1,30))),0)+IFERROR(VALUE(TRIM(MID(SUBSTITUTE(SUBSTITUTE(SUBSTITUTE(UPPER($H99)," ",""),"D",""),";",REPT(" ",30)),31,30))),0)+IFERROR(VALUE(TRIM(MID(SUBSTITUTE(SUBSTITUTE(SUBSTITUTE(UPPER($H99)," ",""),"D",""),";",REPT(" ",30)),61,30))),0)+IFERROR(VALUE(TRIM(MID(SUBSTITUTE(SUBSTITUTE(SUBSTITUTE(UPPER($H99)," ",""),"D",""),";",REPT(" ",30)),91,30))),0)+IFERROR(VALUE(TRIM(MID(SUBSTITUTE(SUBSTITUTE(SUBSTITUTE(UPPER($H99)," ",""),"D",""),";",REPT(" ",30)),121,30))),0)+IFERROR(VALUE(TRIM(MID(SUBSTITUTE(SUBSTITUTE(SUBSTITUTE(UPPER($H99)," ",""),"D",""),";",REPT(" ",30)),151,30))),0)+IFERROR(VALUE(TRIM(MID(SUBSTITUTE(SUBSTITUTE(SUBSTITUTE(UPPER($H99)," ",""),"D",""),";",REPT(" ",30)),181,30))),0)+IFERROR(VALUE(TRIM(MID(SUBSTITUTE(SUBSTITUTE(SUBSTITUTE(UPPER($H99)," ",""),"D",""),";",REPT(" ",30)),211,30))),0)))))</f>
        <v/>
      </c>
      <c r="K99" s="26" t="n"/>
      <c r="L99" s="6" t="n"/>
      <c r="M99" s="13" t="n"/>
      <c r="N99" s="27">
        <f>IF($C99="","",IF($E99="Falta","-",MAX(0,MIN(10,8+IFERROR(VALUE(TRIM(MID(SUBSTITUTE(SUBSTITUTE(SUBSTITUTE(UPPER($L99)," ",""),"F",""),";",REPT(" ",30)),1,30))),0)+IFERROR(VALUE(TRIM(MID(SUBSTITUTE(SUBSTITUTE(SUBSTITUTE(UPPER($L99)," ",""),"F",""),";",REPT(" ",30)),31,30))),0)+IFERROR(VALUE(TRIM(MID(SUBSTITUTE(SUBSTITUTE(SUBSTITUTE(UPPER($L99)," ",""),"F",""),";",REPT(" ",30)),61,30))),0)+IFERROR(VALUE(TRIM(MID(SUBSTITUTE(SUBSTITUTE(SUBSTITUTE(UPPER($L99)," ",""),"F",""),";",REPT(" ",30)),91,30))),0)+IFERROR(VALUE(TRIM(MID(SUBSTITUTE(SUBSTITUTE(SUBSTITUTE(UPPER($L99)," ",""),"F",""),";",REPT(" ",30)),121,30))),0)+IFERROR(VALUE(TRIM(MID(SUBSTITUTE(SUBSTITUTE(SUBSTITUTE(UPPER($L99)," ",""),"F",""),";",REPT(" ",30)),151,30))),0)+IFERROR(VALUE(TRIM(MID(SUBSTITUTE(SUBSTITUTE(SUBSTITUTE(UPPER($L99)," ",""),"F",""),";",REPT(" ",30)),181,30))),0)+IFERROR(VALUE(TRIM(MID(SUBSTITUTE(SUBSTITUTE(SUBSTITUTE(UPPER($L99)," ",""),"F",""),";",REPT(" ",30)),211,30))),0)))))</f>
        <v/>
      </c>
      <c r="O99" s="26" t="n"/>
      <c r="P99" s="6" t="n"/>
      <c r="Q99" s="13" t="n"/>
      <c r="R99" s="27">
        <f>IF($C99="","",IF($E99="Falta","-",MAX(0,MIN(10,5+IFERROR(VALUE(TRIM(MID(SUBSTITUTE(SUBSTITUTE(SUBSTITUTE(UPPER($P99)," ",""),"C",""),";",REPT(" ",30)),1,30))),0)+IFERROR(VALUE(TRIM(MID(SUBSTITUTE(SUBSTITUTE(SUBSTITUTE(UPPER($P99)," ",""),"C",""),";",REPT(" ",30)),31,30))),0)+IFERROR(VALUE(TRIM(MID(SUBSTITUTE(SUBSTITUTE(SUBSTITUTE(UPPER($P99)," ",""),"C",""),";",REPT(" ",30)),61,30))),0)+IFERROR(VALUE(TRIM(MID(SUBSTITUTE(SUBSTITUTE(SUBSTITUTE(UPPER($P99)," ",""),"C",""),";",REPT(" ",30)),91,30))),0)+IFERROR(VALUE(TRIM(MID(SUBSTITUTE(SUBSTITUTE(SUBSTITUTE(UPPER($P99)," ",""),"C",""),";",REPT(" ",30)),121,30))),0)+IFERROR(VALUE(TRIM(MID(SUBSTITUTE(SUBSTITUTE(SUBSTITUTE(UPPER($P99)," ",""),"C",""),";",REPT(" ",30)),151,30))),0)+IFERROR(VALUE(TRIM(MID(SUBSTITUTE(SUBSTITUTE(SUBSTITUTE(UPPER($P99)," ",""),"C",""),";",REPT(" ",30)),181,30))),0)+IFERROR(VALUE(TRIM(MID(SUBSTITUTE(SUBSTITUTE(SUBSTITUTE(UPPER($P99)," ",""),"C",""),";",REPT(" ",30)),211,30))),0)))))</f>
        <v/>
      </c>
      <c r="S99" s="26" t="n"/>
      <c r="T99" s="6" t="n"/>
      <c r="U99" s="13" t="n"/>
      <c r="V99" s="27">
        <f>IF($C99="","",IF($E99="Falta","-",MAX(0,MIN(10,5+IFERROR(VALUE(TRIM(MID(SUBSTITUTE(SUBSTITUTE(SUBSTITUTE(UPPER($T99)," ",""),"P",""),";",REPT(" ",30)),1,30))),0)+IFERROR(VALUE(TRIM(MID(SUBSTITUTE(SUBSTITUTE(SUBSTITUTE(UPPER($T99)," ",""),"P",""),";",REPT(" ",30)),31,30))),0)+IFERROR(VALUE(TRIM(MID(SUBSTITUTE(SUBSTITUTE(SUBSTITUTE(UPPER($T99)," ",""),"P",""),";",REPT(" ",30)),61,30))),0)+IFERROR(VALUE(TRIM(MID(SUBSTITUTE(SUBSTITUTE(SUBSTITUTE(UPPER($T99)," ",""),"P",""),";",REPT(" ",30)),91,30))),0)+IFERROR(VALUE(TRIM(MID(SUBSTITUTE(SUBSTITUTE(SUBSTITUTE(UPPER($T99)," ",""),"P",""),";",REPT(" ",30)),121,30))),0)+IFERROR(VALUE(TRIM(MID(SUBSTITUTE(SUBSTITUTE(SUBSTITUTE(UPPER($T99)," ",""),"P",""),";",REPT(" ",30)),151,30))),0)+IFERROR(VALUE(TRIM(MID(SUBSTITUTE(SUBSTITUTE(SUBSTITUTE(UPPER($T99)," ",""),"P",""),";",REPT(" ",30)),181,30))),0)+IFERROR(VALUE(TRIM(MID(SUBSTITUTE(SUBSTITUTE(SUBSTITUTE(UPPER($T99)," ",""),"P",""),";",REPT(" ",30)),211,30))),0)))))</f>
        <v/>
      </c>
      <c r="W99" s="26" t="n"/>
      <c r="X99" s="13" t="n"/>
    </row>
    <row r="100">
      <c r="A100" s="6">
        <f>IF($C100="","",20)</f>
        <v/>
      </c>
      <c r="B100" s="6">
        <f>IF($C100="","","2ª Sessão")</f>
        <v/>
      </c>
      <c r="C100" s="6">
        <f>IF(Preenchimento!$B$29="","",Preenchimento!$B$29)</f>
        <v/>
      </c>
      <c r="D100" s="6">
        <f>IF($C100="","",IF(Preenchimento!$C$29="","-",Preenchimento!$C$29))</f>
        <v/>
      </c>
      <c r="E100" s="6" t="n"/>
      <c r="F100" s="6" t="n"/>
      <c r="G100" s="26" t="n"/>
      <c r="H100" s="6" t="n"/>
      <c r="I100" s="13" t="n"/>
      <c r="J100" s="27">
        <f>IF($C100="","",IF($E100="Falta","-",MAX(0,MIN(10,8+IFERROR(VALUE(TRIM(MID(SUBSTITUTE(SUBSTITUTE(SUBSTITUTE(UPPER($H100)," ",""),"D",""),";",REPT(" ",30)),1,30))),0)+IFERROR(VALUE(TRIM(MID(SUBSTITUTE(SUBSTITUTE(SUBSTITUTE(UPPER($H100)," ",""),"D",""),";",REPT(" ",30)),31,30))),0)+IFERROR(VALUE(TRIM(MID(SUBSTITUTE(SUBSTITUTE(SUBSTITUTE(UPPER($H100)," ",""),"D",""),";",REPT(" ",30)),61,30))),0)+IFERROR(VALUE(TRIM(MID(SUBSTITUTE(SUBSTITUTE(SUBSTITUTE(UPPER($H100)," ",""),"D",""),";",REPT(" ",30)),91,30))),0)+IFERROR(VALUE(TRIM(MID(SUBSTITUTE(SUBSTITUTE(SUBSTITUTE(UPPER($H100)," ",""),"D",""),";",REPT(" ",30)),121,30))),0)+IFERROR(VALUE(TRIM(MID(SUBSTITUTE(SUBSTITUTE(SUBSTITUTE(UPPER($H100)," ",""),"D",""),";",REPT(" ",30)),151,30))),0)+IFERROR(VALUE(TRIM(MID(SUBSTITUTE(SUBSTITUTE(SUBSTITUTE(UPPER($H100)," ",""),"D",""),";",REPT(" ",30)),181,30))),0)+IFERROR(VALUE(TRIM(MID(SUBSTITUTE(SUBSTITUTE(SUBSTITUTE(UPPER($H100)," ",""),"D",""),";",REPT(" ",30)),211,30))),0)))))</f>
        <v/>
      </c>
      <c r="K100" s="26" t="n"/>
      <c r="L100" s="6" t="n"/>
      <c r="M100" s="13" t="n"/>
      <c r="N100" s="27">
        <f>IF($C100="","",IF($E100="Falta","-",MAX(0,MIN(10,8+IFERROR(VALUE(TRIM(MID(SUBSTITUTE(SUBSTITUTE(SUBSTITUTE(UPPER($L100)," ",""),"F",""),";",REPT(" ",30)),1,30))),0)+IFERROR(VALUE(TRIM(MID(SUBSTITUTE(SUBSTITUTE(SUBSTITUTE(UPPER($L100)," ",""),"F",""),";",REPT(" ",30)),31,30))),0)+IFERROR(VALUE(TRIM(MID(SUBSTITUTE(SUBSTITUTE(SUBSTITUTE(UPPER($L100)," ",""),"F",""),";",REPT(" ",30)),61,30))),0)+IFERROR(VALUE(TRIM(MID(SUBSTITUTE(SUBSTITUTE(SUBSTITUTE(UPPER($L100)," ",""),"F",""),";",REPT(" ",30)),91,30))),0)+IFERROR(VALUE(TRIM(MID(SUBSTITUTE(SUBSTITUTE(SUBSTITUTE(UPPER($L100)," ",""),"F",""),";",REPT(" ",30)),121,30))),0)+IFERROR(VALUE(TRIM(MID(SUBSTITUTE(SUBSTITUTE(SUBSTITUTE(UPPER($L100)," ",""),"F",""),";",REPT(" ",30)),151,30))),0)+IFERROR(VALUE(TRIM(MID(SUBSTITUTE(SUBSTITUTE(SUBSTITUTE(UPPER($L100)," ",""),"F",""),";",REPT(" ",30)),181,30))),0)+IFERROR(VALUE(TRIM(MID(SUBSTITUTE(SUBSTITUTE(SUBSTITUTE(UPPER($L100)," ",""),"F",""),";",REPT(" ",30)),211,30))),0)))))</f>
        <v/>
      </c>
      <c r="O100" s="26" t="n"/>
      <c r="P100" s="6" t="n"/>
      <c r="Q100" s="13" t="n"/>
      <c r="R100" s="27">
        <f>IF($C100="","",IF($E100="Falta","-",MAX(0,MIN(10,5+IFERROR(VALUE(TRIM(MID(SUBSTITUTE(SUBSTITUTE(SUBSTITUTE(UPPER($P100)," ",""),"C",""),";",REPT(" ",30)),1,30))),0)+IFERROR(VALUE(TRIM(MID(SUBSTITUTE(SUBSTITUTE(SUBSTITUTE(UPPER($P100)," ",""),"C",""),";",REPT(" ",30)),31,30))),0)+IFERROR(VALUE(TRIM(MID(SUBSTITUTE(SUBSTITUTE(SUBSTITUTE(UPPER($P100)," ",""),"C",""),";",REPT(" ",30)),61,30))),0)+IFERROR(VALUE(TRIM(MID(SUBSTITUTE(SUBSTITUTE(SUBSTITUTE(UPPER($P100)," ",""),"C",""),";",REPT(" ",30)),91,30))),0)+IFERROR(VALUE(TRIM(MID(SUBSTITUTE(SUBSTITUTE(SUBSTITUTE(UPPER($P100)," ",""),"C",""),";",REPT(" ",30)),121,30))),0)+IFERROR(VALUE(TRIM(MID(SUBSTITUTE(SUBSTITUTE(SUBSTITUTE(UPPER($P100)," ",""),"C",""),";",REPT(" ",30)),151,30))),0)+IFERROR(VALUE(TRIM(MID(SUBSTITUTE(SUBSTITUTE(SUBSTITUTE(UPPER($P100)," ",""),"C",""),";",REPT(" ",30)),181,30))),0)+IFERROR(VALUE(TRIM(MID(SUBSTITUTE(SUBSTITUTE(SUBSTITUTE(UPPER($P100)," ",""),"C",""),";",REPT(" ",30)),211,30))),0)))))</f>
        <v/>
      </c>
      <c r="S100" s="26" t="n"/>
      <c r="T100" s="6" t="n"/>
      <c r="U100" s="13" t="n"/>
      <c r="V100" s="27">
        <f>IF($C100="","",IF($E100="Falta","-",MAX(0,MIN(10,5+IFERROR(VALUE(TRIM(MID(SUBSTITUTE(SUBSTITUTE(SUBSTITUTE(UPPER($T100)," ",""),"P",""),";",REPT(" ",30)),1,30))),0)+IFERROR(VALUE(TRIM(MID(SUBSTITUTE(SUBSTITUTE(SUBSTITUTE(UPPER($T100)," ",""),"P",""),";",REPT(" ",30)),31,30))),0)+IFERROR(VALUE(TRIM(MID(SUBSTITUTE(SUBSTITUTE(SUBSTITUTE(UPPER($T100)," ",""),"P",""),";",REPT(" ",30)),61,30))),0)+IFERROR(VALUE(TRIM(MID(SUBSTITUTE(SUBSTITUTE(SUBSTITUTE(UPPER($T100)," ",""),"P",""),";",REPT(" ",30)),91,30))),0)+IFERROR(VALUE(TRIM(MID(SUBSTITUTE(SUBSTITUTE(SUBSTITUTE(UPPER($T100)," ",""),"P",""),";",REPT(" ",30)),121,30))),0)+IFERROR(VALUE(TRIM(MID(SUBSTITUTE(SUBSTITUTE(SUBSTITUTE(UPPER($T100)," ",""),"P",""),";",REPT(" ",30)),151,30))),0)+IFERROR(VALUE(TRIM(MID(SUBSTITUTE(SUBSTITUTE(SUBSTITUTE(UPPER($T100)," ",""),"P",""),";",REPT(" ",30)),181,30))),0)+IFERROR(VALUE(TRIM(MID(SUBSTITUTE(SUBSTITUTE(SUBSTITUTE(UPPER($T100)," ",""),"P",""),";",REPT(" ",30)),211,30))),0)))))</f>
        <v/>
      </c>
      <c r="W100" s="26" t="n"/>
      <c r="X100" s="13" t="n"/>
    </row>
    <row r="101">
      <c r="A101" s="6">
        <f>IF($C101="","",20)</f>
        <v/>
      </c>
      <c r="B101" s="6">
        <f>IF($C101="","","3ª Sessão")</f>
        <v/>
      </c>
      <c r="C101" s="6">
        <f>IF(Preenchimento!$B$29="","",Preenchimento!$B$29)</f>
        <v/>
      </c>
      <c r="D101" s="6">
        <f>IF($C101="","",IF(Preenchimento!$C$29="","-",Preenchimento!$C$29))</f>
        <v/>
      </c>
      <c r="E101" s="6" t="n"/>
      <c r="F101" s="6" t="n"/>
      <c r="G101" s="26" t="n"/>
      <c r="H101" s="6" t="n"/>
      <c r="I101" s="13" t="n"/>
      <c r="J101" s="27">
        <f>IF($C101="","",IF($E101="Falta","-",MAX(0,MIN(10,8+IFERROR(VALUE(TRIM(MID(SUBSTITUTE(SUBSTITUTE(SUBSTITUTE(UPPER($H101)," ",""),"D",""),";",REPT(" ",30)),1,30))),0)+IFERROR(VALUE(TRIM(MID(SUBSTITUTE(SUBSTITUTE(SUBSTITUTE(UPPER($H101)," ",""),"D",""),";",REPT(" ",30)),31,30))),0)+IFERROR(VALUE(TRIM(MID(SUBSTITUTE(SUBSTITUTE(SUBSTITUTE(UPPER($H101)," ",""),"D",""),";",REPT(" ",30)),61,30))),0)+IFERROR(VALUE(TRIM(MID(SUBSTITUTE(SUBSTITUTE(SUBSTITUTE(UPPER($H101)," ",""),"D",""),";",REPT(" ",30)),91,30))),0)+IFERROR(VALUE(TRIM(MID(SUBSTITUTE(SUBSTITUTE(SUBSTITUTE(UPPER($H101)," ",""),"D",""),";",REPT(" ",30)),121,30))),0)+IFERROR(VALUE(TRIM(MID(SUBSTITUTE(SUBSTITUTE(SUBSTITUTE(UPPER($H101)," ",""),"D",""),";",REPT(" ",30)),151,30))),0)+IFERROR(VALUE(TRIM(MID(SUBSTITUTE(SUBSTITUTE(SUBSTITUTE(UPPER($H101)," ",""),"D",""),";",REPT(" ",30)),181,30))),0)+IFERROR(VALUE(TRIM(MID(SUBSTITUTE(SUBSTITUTE(SUBSTITUTE(UPPER($H101)," ",""),"D",""),";",REPT(" ",30)),211,30))),0)))))</f>
        <v/>
      </c>
      <c r="K101" s="26" t="n"/>
      <c r="L101" s="6" t="n"/>
      <c r="M101" s="13" t="n"/>
      <c r="N101" s="27">
        <f>IF($C101="","",IF($E101="Falta","-",MAX(0,MIN(10,8+IFERROR(VALUE(TRIM(MID(SUBSTITUTE(SUBSTITUTE(SUBSTITUTE(UPPER($L101)," ",""),"F",""),";",REPT(" ",30)),1,30))),0)+IFERROR(VALUE(TRIM(MID(SUBSTITUTE(SUBSTITUTE(SUBSTITUTE(UPPER($L101)," ",""),"F",""),";",REPT(" ",30)),31,30))),0)+IFERROR(VALUE(TRIM(MID(SUBSTITUTE(SUBSTITUTE(SUBSTITUTE(UPPER($L101)," ",""),"F",""),";",REPT(" ",30)),61,30))),0)+IFERROR(VALUE(TRIM(MID(SUBSTITUTE(SUBSTITUTE(SUBSTITUTE(UPPER($L101)," ",""),"F",""),";",REPT(" ",30)),91,30))),0)+IFERROR(VALUE(TRIM(MID(SUBSTITUTE(SUBSTITUTE(SUBSTITUTE(UPPER($L101)," ",""),"F",""),";",REPT(" ",30)),121,30))),0)+IFERROR(VALUE(TRIM(MID(SUBSTITUTE(SUBSTITUTE(SUBSTITUTE(UPPER($L101)," ",""),"F",""),";",REPT(" ",30)),151,30))),0)+IFERROR(VALUE(TRIM(MID(SUBSTITUTE(SUBSTITUTE(SUBSTITUTE(UPPER($L101)," ",""),"F",""),";",REPT(" ",30)),181,30))),0)+IFERROR(VALUE(TRIM(MID(SUBSTITUTE(SUBSTITUTE(SUBSTITUTE(UPPER($L101)," ",""),"F",""),";",REPT(" ",30)),211,30))),0)))))</f>
        <v/>
      </c>
      <c r="O101" s="26" t="n"/>
      <c r="P101" s="6" t="n"/>
      <c r="Q101" s="13" t="n"/>
      <c r="R101" s="27">
        <f>IF($C101="","",IF($E101="Falta","-",MAX(0,MIN(10,5+IFERROR(VALUE(TRIM(MID(SUBSTITUTE(SUBSTITUTE(SUBSTITUTE(UPPER($P101)," ",""),"C",""),";",REPT(" ",30)),1,30))),0)+IFERROR(VALUE(TRIM(MID(SUBSTITUTE(SUBSTITUTE(SUBSTITUTE(UPPER($P101)," ",""),"C",""),";",REPT(" ",30)),31,30))),0)+IFERROR(VALUE(TRIM(MID(SUBSTITUTE(SUBSTITUTE(SUBSTITUTE(UPPER($P101)," ",""),"C",""),";",REPT(" ",30)),61,30))),0)+IFERROR(VALUE(TRIM(MID(SUBSTITUTE(SUBSTITUTE(SUBSTITUTE(UPPER($P101)," ",""),"C",""),";",REPT(" ",30)),91,30))),0)+IFERROR(VALUE(TRIM(MID(SUBSTITUTE(SUBSTITUTE(SUBSTITUTE(UPPER($P101)," ",""),"C",""),";",REPT(" ",30)),121,30))),0)+IFERROR(VALUE(TRIM(MID(SUBSTITUTE(SUBSTITUTE(SUBSTITUTE(UPPER($P101)," ",""),"C",""),";",REPT(" ",30)),151,30))),0)+IFERROR(VALUE(TRIM(MID(SUBSTITUTE(SUBSTITUTE(SUBSTITUTE(UPPER($P101)," ",""),"C",""),";",REPT(" ",30)),181,30))),0)+IFERROR(VALUE(TRIM(MID(SUBSTITUTE(SUBSTITUTE(SUBSTITUTE(UPPER($P101)," ",""),"C",""),";",REPT(" ",30)),211,30))),0)))))</f>
        <v/>
      </c>
      <c r="S101" s="26" t="n"/>
      <c r="T101" s="6" t="n"/>
      <c r="U101" s="13" t="n"/>
      <c r="V101" s="27">
        <f>IF($C101="","",IF($E101="Falta","-",MAX(0,MIN(10,5+IFERROR(VALUE(TRIM(MID(SUBSTITUTE(SUBSTITUTE(SUBSTITUTE(UPPER($T101)," ",""),"P",""),";",REPT(" ",30)),1,30))),0)+IFERROR(VALUE(TRIM(MID(SUBSTITUTE(SUBSTITUTE(SUBSTITUTE(UPPER($T101)," ",""),"P",""),";",REPT(" ",30)),31,30))),0)+IFERROR(VALUE(TRIM(MID(SUBSTITUTE(SUBSTITUTE(SUBSTITUTE(UPPER($T101)," ",""),"P",""),";",REPT(" ",30)),61,30))),0)+IFERROR(VALUE(TRIM(MID(SUBSTITUTE(SUBSTITUTE(SUBSTITUTE(UPPER($T101)," ",""),"P",""),";",REPT(" ",30)),91,30))),0)+IFERROR(VALUE(TRIM(MID(SUBSTITUTE(SUBSTITUTE(SUBSTITUTE(UPPER($T101)," ",""),"P",""),";",REPT(" ",30)),121,30))),0)+IFERROR(VALUE(TRIM(MID(SUBSTITUTE(SUBSTITUTE(SUBSTITUTE(UPPER($T101)," ",""),"P",""),";",REPT(" ",30)),151,30))),0)+IFERROR(VALUE(TRIM(MID(SUBSTITUTE(SUBSTITUTE(SUBSTITUTE(UPPER($T101)," ",""),"P",""),";",REPT(" ",30)),181,30))),0)+IFERROR(VALUE(TRIM(MID(SUBSTITUTE(SUBSTITUTE(SUBSTITUTE(UPPER($T101)," ",""),"P",""),";",REPT(" ",30)),211,30))),0)))))</f>
        <v/>
      </c>
      <c r="W101" s="26" t="n"/>
      <c r="X101" s="13" t="n"/>
    </row>
    <row r="102">
      <c r="A102" s="6">
        <f>IF($C102="","",20)</f>
        <v/>
      </c>
      <c r="B102" s="6">
        <f>IF($C102="","","4ª Sessão")</f>
        <v/>
      </c>
      <c r="C102" s="6">
        <f>IF(Preenchimento!$B$29="","",Preenchimento!$B$29)</f>
        <v/>
      </c>
      <c r="D102" s="6">
        <f>IF($C102="","",IF(Preenchimento!$C$29="","-",Preenchimento!$C$29))</f>
        <v/>
      </c>
      <c r="E102" s="6" t="n"/>
      <c r="F102" s="6" t="n"/>
      <c r="G102" s="26" t="n"/>
      <c r="H102" s="6" t="n"/>
      <c r="I102" s="13" t="n"/>
      <c r="J102" s="27">
        <f>IF($C102="","",IF($E102="Falta","-",MAX(0,MIN(10,8+IFERROR(VALUE(TRIM(MID(SUBSTITUTE(SUBSTITUTE(SUBSTITUTE(UPPER($H102)," ",""),"D",""),";",REPT(" ",30)),1,30))),0)+IFERROR(VALUE(TRIM(MID(SUBSTITUTE(SUBSTITUTE(SUBSTITUTE(UPPER($H102)," ",""),"D",""),";",REPT(" ",30)),31,30))),0)+IFERROR(VALUE(TRIM(MID(SUBSTITUTE(SUBSTITUTE(SUBSTITUTE(UPPER($H102)," ",""),"D",""),";",REPT(" ",30)),61,30))),0)+IFERROR(VALUE(TRIM(MID(SUBSTITUTE(SUBSTITUTE(SUBSTITUTE(UPPER($H102)," ",""),"D",""),";",REPT(" ",30)),91,30))),0)+IFERROR(VALUE(TRIM(MID(SUBSTITUTE(SUBSTITUTE(SUBSTITUTE(UPPER($H102)," ",""),"D",""),";",REPT(" ",30)),121,30))),0)+IFERROR(VALUE(TRIM(MID(SUBSTITUTE(SUBSTITUTE(SUBSTITUTE(UPPER($H102)," ",""),"D",""),";",REPT(" ",30)),151,30))),0)+IFERROR(VALUE(TRIM(MID(SUBSTITUTE(SUBSTITUTE(SUBSTITUTE(UPPER($H102)," ",""),"D",""),";",REPT(" ",30)),181,30))),0)+IFERROR(VALUE(TRIM(MID(SUBSTITUTE(SUBSTITUTE(SUBSTITUTE(UPPER($H102)," ",""),"D",""),";",REPT(" ",30)),211,30))),0)))))</f>
        <v/>
      </c>
      <c r="K102" s="26" t="n"/>
      <c r="L102" s="6" t="n"/>
      <c r="M102" s="13" t="n"/>
      <c r="N102" s="27">
        <f>IF($C102="","",IF($E102="Falta","-",MAX(0,MIN(10,8+IFERROR(VALUE(TRIM(MID(SUBSTITUTE(SUBSTITUTE(SUBSTITUTE(UPPER($L102)," ",""),"F",""),";",REPT(" ",30)),1,30))),0)+IFERROR(VALUE(TRIM(MID(SUBSTITUTE(SUBSTITUTE(SUBSTITUTE(UPPER($L102)," ",""),"F",""),";",REPT(" ",30)),31,30))),0)+IFERROR(VALUE(TRIM(MID(SUBSTITUTE(SUBSTITUTE(SUBSTITUTE(UPPER($L102)," ",""),"F",""),";",REPT(" ",30)),61,30))),0)+IFERROR(VALUE(TRIM(MID(SUBSTITUTE(SUBSTITUTE(SUBSTITUTE(UPPER($L102)," ",""),"F",""),";",REPT(" ",30)),91,30))),0)+IFERROR(VALUE(TRIM(MID(SUBSTITUTE(SUBSTITUTE(SUBSTITUTE(UPPER($L102)," ",""),"F",""),";",REPT(" ",30)),121,30))),0)+IFERROR(VALUE(TRIM(MID(SUBSTITUTE(SUBSTITUTE(SUBSTITUTE(UPPER($L102)," ",""),"F",""),";",REPT(" ",30)),151,30))),0)+IFERROR(VALUE(TRIM(MID(SUBSTITUTE(SUBSTITUTE(SUBSTITUTE(UPPER($L102)," ",""),"F",""),";",REPT(" ",30)),181,30))),0)+IFERROR(VALUE(TRIM(MID(SUBSTITUTE(SUBSTITUTE(SUBSTITUTE(UPPER($L102)," ",""),"F",""),";",REPT(" ",30)),211,30))),0)))))</f>
        <v/>
      </c>
      <c r="O102" s="26" t="n"/>
      <c r="P102" s="6" t="n"/>
      <c r="Q102" s="13" t="n"/>
      <c r="R102" s="27">
        <f>IF($C102="","",IF($E102="Falta","-",MAX(0,MIN(10,5+IFERROR(VALUE(TRIM(MID(SUBSTITUTE(SUBSTITUTE(SUBSTITUTE(UPPER($P102)," ",""),"C",""),";",REPT(" ",30)),1,30))),0)+IFERROR(VALUE(TRIM(MID(SUBSTITUTE(SUBSTITUTE(SUBSTITUTE(UPPER($P102)," ",""),"C",""),";",REPT(" ",30)),31,30))),0)+IFERROR(VALUE(TRIM(MID(SUBSTITUTE(SUBSTITUTE(SUBSTITUTE(UPPER($P102)," ",""),"C",""),";",REPT(" ",30)),61,30))),0)+IFERROR(VALUE(TRIM(MID(SUBSTITUTE(SUBSTITUTE(SUBSTITUTE(UPPER($P102)," ",""),"C",""),";",REPT(" ",30)),91,30))),0)+IFERROR(VALUE(TRIM(MID(SUBSTITUTE(SUBSTITUTE(SUBSTITUTE(UPPER($P102)," ",""),"C",""),";",REPT(" ",30)),121,30))),0)+IFERROR(VALUE(TRIM(MID(SUBSTITUTE(SUBSTITUTE(SUBSTITUTE(UPPER($P102)," ",""),"C",""),";",REPT(" ",30)),151,30))),0)+IFERROR(VALUE(TRIM(MID(SUBSTITUTE(SUBSTITUTE(SUBSTITUTE(UPPER($P102)," ",""),"C",""),";",REPT(" ",30)),181,30))),0)+IFERROR(VALUE(TRIM(MID(SUBSTITUTE(SUBSTITUTE(SUBSTITUTE(UPPER($P102)," ",""),"C",""),";",REPT(" ",30)),211,30))),0)))))</f>
        <v/>
      </c>
      <c r="S102" s="26" t="n"/>
      <c r="T102" s="6" t="n"/>
      <c r="U102" s="13" t="n"/>
      <c r="V102" s="27">
        <f>IF($C102="","",IF($E102="Falta","-",MAX(0,MIN(10,5+IFERROR(VALUE(TRIM(MID(SUBSTITUTE(SUBSTITUTE(SUBSTITUTE(UPPER($T102)," ",""),"P",""),";",REPT(" ",30)),1,30))),0)+IFERROR(VALUE(TRIM(MID(SUBSTITUTE(SUBSTITUTE(SUBSTITUTE(UPPER($T102)," ",""),"P",""),";",REPT(" ",30)),31,30))),0)+IFERROR(VALUE(TRIM(MID(SUBSTITUTE(SUBSTITUTE(SUBSTITUTE(UPPER($T102)," ",""),"P",""),";",REPT(" ",30)),61,30))),0)+IFERROR(VALUE(TRIM(MID(SUBSTITUTE(SUBSTITUTE(SUBSTITUTE(UPPER($T102)," ",""),"P",""),";",REPT(" ",30)),91,30))),0)+IFERROR(VALUE(TRIM(MID(SUBSTITUTE(SUBSTITUTE(SUBSTITUTE(UPPER($T102)," ",""),"P",""),";",REPT(" ",30)),121,30))),0)+IFERROR(VALUE(TRIM(MID(SUBSTITUTE(SUBSTITUTE(SUBSTITUTE(UPPER($T102)," ",""),"P",""),";",REPT(" ",30)),151,30))),0)+IFERROR(VALUE(TRIM(MID(SUBSTITUTE(SUBSTITUTE(SUBSTITUTE(UPPER($T102)," ",""),"P",""),";",REPT(" ",30)),181,30))),0)+IFERROR(VALUE(TRIM(MID(SUBSTITUTE(SUBSTITUTE(SUBSTITUTE(UPPER($T102)," ",""),"P",""),";",REPT(" ",30)),211,30))),0)))))</f>
        <v/>
      </c>
      <c r="W102" s="26" t="n"/>
      <c r="X102" s="13" t="n"/>
    </row>
    <row r="103">
      <c r="A103" s="6">
        <f>IF($C103="","",20)</f>
        <v/>
      </c>
      <c r="B103" s="6">
        <f>IF($C103="","","5ª Sessão")</f>
        <v/>
      </c>
      <c r="C103" s="6">
        <f>IF(Preenchimento!$B$29="","",Preenchimento!$B$29)</f>
        <v/>
      </c>
      <c r="D103" s="6">
        <f>IF($C103="","",IF(Preenchimento!$C$29="","-",Preenchimento!$C$29))</f>
        <v/>
      </c>
      <c r="E103" s="6" t="n"/>
      <c r="F103" s="6" t="n"/>
      <c r="G103" s="26" t="n"/>
      <c r="H103" s="6" t="n"/>
      <c r="I103" s="13" t="n"/>
      <c r="J103" s="27">
        <f>IF($C103="","",IF($E103="Falta","-",MAX(0,MIN(10,8+IFERROR(VALUE(TRIM(MID(SUBSTITUTE(SUBSTITUTE(SUBSTITUTE(UPPER($H103)," ",""),"D",""),";",REPT(" ",30)),1,30))),0)+IFERROR(VALUE(TRIM(MID(SUBSTITUTE(SUBSTITUTE(SUBSTITUTE(UPPER($H103)," ",""),"D",""),";",REPT(" ",30)),31,30))),0)+IFERROR(VALUE(TRIM(MID(SUBSTITUTE(SUBSTITUTE(SUBSTITUTE(UPPER($H103)," ",""),"D",""),";",REPT(" ",30)),61,30))),0)+IFERROR(VALUE(TRIM(MID(SUBSTITUTE(SUBSTITUTE(SUBSTITUTE(UPPER($H103)," ",""),"D",""),";",REPT(" ",30)),91,30))),0)+IFERROR(VALUE(TRIM(MID(SUBSTITUTE(SUBSTITUTE(SUBSTITUTE(UPPER($H103)," ",""),"D",""),";",REPT(" ",30)),121,30))),0)+IFERROR(VALUE(TRIM(MID(SUBSTITUTE(SUBSTITUTE(SUBSTITUTE(UPPER($H103)," ",""),"D",""),";",REPT(" ",30)),151,30))),0)+IFERROR(VALUE(TRIM(MID(SUBSTITUTE(SUBSTITUTE(SUBSTITUTE(UPPER($H103)," ",""),"D",""),";",REPT(" ",30)),181,30))),0)+IFERROR(VALUE(TRIM(MID(SUBSTITUTE(SUBSTITUTE(SUBSTITUTE(UPPER($H103)," ",""),"D",""),";",REPT(" ",30)),211,30))),0)))))</f>
        <v/>
      </c>
      <c r="K103" s="26" t="n"/>
      <c r="L103" s="6" t="n"/>
      <c r="M103" s="13" t="n"/>
      <c r="N103" s="27">
        <f>IF($C103="","",IF($E103="Falta","-",MAX(0,MIN(10,8+IFERROR(VALUE(TRIM(MID(SUBSTITUTE(SUBSTITUTE(SUBSTITUTE(UPPER($L103)," ",""),"F",""),";",REPT(" ",30)),1,30))),0)+IFERROR(VALUE(TRIM(MID(SUBSTITUTE(SUBSTITUTE(SUBSTITUTE(UPPER($L103)," ",""),"F",""),";",REPT(" ",30)),31,30))),0)+IFERROR(VALUE(TRIM(MID(SUBSTITUTE(SUBSTITUTE(SUBSTITUTE(UPPER($L103)," ",""),"F",""),";",REPT(" ",30)),61,30))),0)+IFERROR(VALUE(TRIM(MID(SUBSTITUTE(SUBSTITUTE(SUBSTITUTE(UPPER($L103)," ",""),"F",""),";",REPT(" ",30)),91,30))),0)+IFERROR(VALUE(TRIM(MID(SUBSTITUTE(SUBSTITUTE(SUBSTITUTE(UPPER($L103)," ",""),"F",""),";",REPT(" ",30)),121,30))),0)+IFERROR(VALUE(TRIM(MID(SUBSTITUTE(SUBSTITUTE(SUBSTITUTE(UPPER($L103)," ",""),"F",""),";",REPT(" ",30)),151,30))),0)+IFERROR(VALUE(TRIM(MID(SUBSTITUTE(SUBSTITUTE(SUBSTITUTE(UPPER($L103)," ",""),"F",""),";",REPT(" ",30)),181,30))),0)+IFERROR(VALUE(TRIM(MID(SUBSTITUTE(SUBSTITUTE(SUBSTITUTE(UPPER($L103)," ",""),"F",""),";",REPT(" ",30)),211,30))),0)))))</f>
        <v/>
      </c>
      <c r="O103" s="26" t="n"/>
      <c r="P103" s="6" t="n"/>
      <c r="Q103" s="13" t="n"/>
      <c r="R103" s="27">
        <f>IF($C103="","",IF($E103="Falta","-",MAX(0,MIN(10,5+IFERROR(VALUE(TRIM(MID(SUBSTITUTE(SUBSTITUTE(SUBSTITUTE(UPPER($P103)," ",""),"C",""),";",REPT(" ",30)),1,30))),0)+IFERROR(VALUE(TRIM(MID(SUBSTITUTE(SUBSTITUTE(SUBSTITUTE(UPPER($P103)," ",""),"C",""),";",REPT(" ",30)),31,30))),0)+IFERROR(VALUE(TRIM(MID(SUBSTITUTE(SUBSTITUTE(SUBSTITUTE(UPPER($P103)," ",""),"C",""),";",REPT(" ",30)),61,30))),0)+IFERROR(VALUE(TRIM(MID(SUBSTITUTE(SUBSTITUTE(SUBSTITUTE(UPPER($P103)," ",""),"C",""),";",REPT(" ",30)),91,30))),0)+IFERROR(VALUE(TRIM(MID(SUBSTITUTE(SUBSTITUTE(SUBSTITUTE(UPPER($P103)," ",""),"C",""),";",REPT(" ",30)),121,30))),0)+IFERROR(VALUE(TRIM(MID(SUBSTITUTE(SUBSTITUTE(SUBSTITUTE(UPPER($P103)," ",""),"C",""),";",REPT(" ",30)),151,30))),0)+IFERROR(VALUE(TRIM(MID(SUBSTITUTE(SUBSTITUTE(SUBSTITUTE(UPPER($P103)," ",""),"C",""),";",REPT(" ",30)),181,30))),0)+IFERROR(VALUE(TRIM(MID(SUBSTITUTE(SUBSTITUTE(SUBSTITUTE(UPPER($P103)," ",""),"C",""),";",REPT(" ",30)),211,30))),0)))))</f>
        <v/>
      </c>
      <c r="S103" s="26" t="n"/>
      <c r="T103" s="6" t="n"/>
      <c r="U103" s="13" t="n"/>
      <c r="V103" s="27">
        <f>IF($C103="","",IF($E103="Falta","-",MAX(0,MIN(10,5+IFERROR(VALUE(TRIM(MID(SUBSTITUTE(SUBSTITUTE(SUBSTITUTE(UPPER($T103)," ",""),"P",""),";",REPT(" ",30)),1,30))),0)+IFERROR(VALUE(TRIM(MID(SUBSTITUTE(SUBSTITUTE(SUBSTITUTE(UPPER($T103)," ",""),"P",""),";",REPT(" ",30)),31,30))),0)+IFERROR(VALUE(TRIM(MID(SUBSTITUTE(SUBSTITUTE(SUBSTITUTE(UPPER($T103)," ",""),"P",""),";",REPT(" ",30)),61,30))),0)+IFERROR(VALUE(TRIM(MID(SUBSTITUTE(SUBSTITUTE(SUBSTITUTE(UPPER($T103)," ",""),"P",""),";",REPT(" ",30)),91,30))),0)+IFERROR(VALUE(TRIM(MID(SUBSTITUTE(SUBSTITUTE(SUBSTITUTE(UPPER($T103)," ",""),"P",""),";",REPT(" ",30)),121,30))),0)+IFERROR(VALUE(TRIM(MID(SUBSTITUTE(SUBSTITUTE(SUBSTITUTE(UPPER($T103)," ",""),"P",""),";",REPT(" ",30)),151,30))),0)+IFERROR(VALUE(TRIM(MID(SUBSTITUTE(SUBSTITUTE(SUBSTITUTE(UPPER($T103)," ",""),"P",""),";",REPT(" ",30)),181,30))),0)+IFERROR(VALUE(TRIM(MID(SUBSTITUTE(SUBSTITUTE(SUBSTITUTE(UPPER($T103)," ",""),"P",""),";",REPT(" ",30)),211,30))),0)))))</f>
        <v/>
      </c>
      <c r="W103" s="26" t="n"/>
      <c r="X103" s="13" t="n"/>
    </row>
    <row r="104">
      <c r="A104" s="8">
        <f>IF($C104="","",21)</f>
        <v/>
      </c>
      <c r="B104" s="8">
        <f>IF($C104="","","1ª Sessão")</f>
        <v/>
      </c>
      <c r="C104" s="8">
        <f>IF(Preenchimento!$B$30="","",Preenchimento!$B$30)</f>
        <v/>
      </c>
      <c r="D104" s="8">
        <f>IF($C104="","",IF(Preenchimento!$C$30="","-",Preenchimento!$C$30))</f>
        <v/>
      </c>
      <c r="E104" s="8" t="n"/>
      <c r="F104" s="8" t="n"/>
      <c r="G104" s="24" t="n"/>
      <c r="H104" s="8" t="n"/>
      <c r="I104" s="14" t="n"/>
      <c r="J104" s="25">
        <f>IF($C104="","",IF($E104="Falta","-",MAX(0,MIN(10,8+IFERROR(VALUE(TRIM(MID(SUBSTITUTE(SUBSTITUTE(SUBSTITUTE(UPPER($H104)," ",""),"D",""),";",REPT(" ",30)),1,30))),0)+IFERROR(VALUE(TRIM(MID(SUBSTITUTE(SUBSTITUTE(SUBSTITUTE(UPPER($H104)," ",""),"D",""),";",REPT(" ",30)),31,30))),0)+IFERROR(VALUE(TRIM(MID(SUBSTITUTE(SUBSTITUTE(SUBSTITUTE(UPPER($H104)," ",""),"D",""),";",REPT(" ",30)),61,30))),0)+IFERROR(VALUE(TRIM(MID(SUBSTITUTE(SUBSTITUTE(SUBSTITUTE(UPPER($H104)," ",""),"D",""),";",REPT(" ",30)),91,30))),0)+IFERROR(VALUE(TRIM(MID(SUBSTITUTE(SUBSTITUTE(SUBSTITUTE(UPPER($H104)," ",""),"D",""),";",REPT(" ",30)),121,30))),0)+IFERROR(VALUE(TRIM(MID(SUBSTITUTE(SUBSTITUTE(SUBSTITUTE(UPPER($H104)," ",""),"D",""),";",REPT(" ",30)),151,30))),0)+IFERROR(VALUE(TRIM(MID(SUBSTITUTE(SUBSTITUTE(SUBSTITUTE(UPPER($H104)," ",""),"D",""),";",REPT(" ",30)),181,30))),0)+IFERROR(VALUE(TRIM(MID(SUBSTITUTE(SUBSTITUTE(SUBSTITUTE(UPPER($H104)," ",""),"D",""),";",REPT(" ",30)),211,30))),0)))))</f>
        <v/>
      </c>
      <c r="K104" s="24" t="n"/>
      <c r="L104" s="8" t="n"/>
      <c r="M104" s="14" t="n"/>
      <c r="N104" s="25">
        <f>IF($C104="","",IF($E104="Falta","-",MAX(0,MIN(10,8+IFERROR(VALUE(TRIM(MID(SUBSTITUTE(SUBSTITUTE(SUBSTITUTE(UPPER($L104)," ",""),"F",""),";",REPT(" ",30)),1,30))),0)+IFERROR(VALUE(TRIM(MID(SUBSTITUTE(SUBSTITUTE(SUBSTITUTE(UPPER($L104)," ",""),"F",""),";",REPT(" ",30)),31,30))),0)+IFERROR(VALUE(TRIM(MID(SUBSTITUTE(SUBSTITUTE(SUBSTITUTE(UPPER($L104)," ",""),"F",""),";",REPT(" ",30)),61,30))),0)+IFERROR(VALUE(TRIM(MID(SUBSTITUTE(SUBSTITUTE(SUBSTITUTE(UPPER($L104)," ",""),"F",""),";",REPT(" ",30)),91,30))),0)+IFERROR(VALUE(TRIM(MID(SUBSTITUTE(SUBSTITUTE(SUBSTITUTE(UPPER($L104)," ",""),"F",""),";",REPT(" ",30)),121,30))),0)+IFERROR(VALUE(TRIM(MID(SUBSTITUTE(SUBSTITUTE(SUBSTITUTE(UPPER($L104)," ",""),"F",""),";",REPT(" ",30)),151,30))),0)+IFERROR(VALUE(TRIM(MID(SUBSTITUTE(SUBSTITUTE(SUBSTITUTE(UPPER($L104)," ",""),"F",""),";",REPT(" ",30)),181,30))),0)+IFERROR(VALUE(TRIM(MID(SUBSTITUTE(SUBSTITUTE(SUBSTITUTE(UPPER($L104)," ",""),"F",""),";",REPT(" ",30)),211,30))),0)))))</f>
        <v/>
      </c>
      <c r="O104" s="24" t="n"/>
      <c r="P104" s="8" t="n"/>
      <c r="Q104" s="14" t="n"/>
      <c r="R104" s="25">
        <f>IF($C104="","",IF($E104="Falta","-",MAX(0,MIN(10,5+IFERROR(VALUE(TRIM(MID(SUBSTITUTE(SUBSTITUTE(SUBSTITUTE(UPPER($P104)," ",""),"C",""),";",REPT(" ",30)),1,30))),0)+IFERROR(VALUE(TRIM(MID(SUBSTITUTE(SUBSTITUTE(SUBSTITUTE(UPPER($P104)," ",""),"C",""),";",REPT(" ",30)),31,30))),0)+IFERROR(VALUE(TRIM(MID(SUBSTITUTE(SUBSTITUTE(SUBSTITUTE(UPPER($P104)," ",""),"C",""),";",REPT(" ",30)),61,30))),0)+IFERROR(VALUE(TRIM(MID(SUBSTITUTE(SUBSTITUTE(SUBSTITUTE(UPPER($P104)," ",""),"C",""),";",REPT(" ",30)),91,30))),0)+IFERROR(VALUE(TRIM(MID(SUBSTITUTE(SUBSTITUTE(SUBSTITUTE(UPPER($P104)," ",""),"C",""),";",REPT(" ",30)),121,30))),0)+IFERROR(VALUE(TRIM(MID(SUBSTITUTE(SUBSTITUTE(SUBSTITUTE(UPPER($P104)," ",""),"C",""),";",REPT(" ",30)),151,30))),0)+IFERROR(VALUE(TRIM(MID(SUBSTITUTE(SUBSTITUTE(SUBSTITUTE(UPPER($P104)," ",""),"C",""),";",REPT(" ",30)),181,30))),0)+IFERROR(VALUE(TRIM(MID(SUBSTITUTE(SUBSTITUTE(SUBSTITUTE(UPPER($P104)," ",""),"C",""),";",REPT(" ",30)),211,30))),0)))))</f>
        <v/>
      </c>
      <c r="S104" s="24" t="n"/>
      <c r="T104" s="8" t="n"/>
      <c r="U104" s="14" t="n"/>
      <c r="V104" s="25">
        <f>IF($C104="","",IF($E104="Falta","-",MAX(0,MIN(10,5+IFERROR(VALUE(TRIM(MID(SUBSTITUTE(SUBSTITUTE(SUBSTITUTE(UPPER($T104)," ",""),"P",""),";",REPT(" ",30)),1,30))),0)+IFERROR(VALUE(TRIM(MID(SUBSTITUTE(SUBSTITUTE(SUBSTITUTE(UPPER($T104)," ",""),"P",""),";",REPT(" ",30)),31,30))),0)+IFERROR(VALUE(TRIM(MID(SUBSTITUTE(SUBSTITUTE(SUBSTITUTE(UPPER($T104)," ",""),"P",""),";",REPT(" ",30)),61,30))),0)+IFERROR(VALUE(TRIM(MID(SUBSTITUTE(SUBSTITUTE(SUBSTITUTE(UPPER($T104)," ",""),"P",""),";",REPT(" ",30)),91,30))),0)+IFERROR(VALUE(TRIM(MID(SUBSTITUTE(SUBSTITUTE(SUBSTITUTE(UPPER($T104)," ",""),"P",""),";",REPT(" ",30)),121,30))),0)+IFERROR(VALUE(TRIM(MID(SUBSTITUTE(SUBSTITUTE(SUBSTITUTE(UPPER($T104)," ",""),"P",""),";",REPT(" ",30)),151,30))),0)+IFERROR(VALUE(TRIM(MID(SUBSTITUTE(SUBSTITUTE(SUBSTITUTE(UPPER($T104)," ",""),"P",""),";",REPT(" ",30)),181,30))),0)+IFERROR(VALUE(TRIM(MID(SUBSTITUTE(SUBSTITUTE(SUBSTITUTE(UPPER($T104)," ",""),"P",""),";",REPT(" ",30)),211,30))),0)))))</f>
        <v/>
      </c>
      <c r="W104" s="24" t="n"/>
      <c r="X104" s="14" t="n"/>
    </row>
    <row r="105">
      <c r="A105" s="8">
        <f>IF($C105="","",21)</f>
        <v/>
      </c>
      <c r="B105" s="8">
        <f>IF($C105="","","2ª Sessão")</f>
        <v/>
      </c>
      <c r="C105" s="8">
        <f>IF(Preenchimento!$B$30="","",Preenchimento!$B$30)</f>
        <v/>
      </c>
      <c r="D105" s="8">
        <f>IF($C105="","",IF(Preenchimento!$C$30="","-",Preenchimento!$C$30))</f>
        <v/>
      </c>
      <c r="E105" s="8" t="n"/>
      <c r="F105" s="8" t="n"/>
      <c r="G105" s="24" t="n"/>
      <c r="H105" s="8" t="n"/>
      <c r="I105" s="14" t="n"/>
      <c r="J105" s="25">
        <f>IF($C105="","",IF($E105="Falta","-",MAX(0,MIN(10,8+IFERROR(VALUE(TRIM(MID(SUBSTITUTE(SUBSTITUTE(SUBSTITUTE(UPPER($H105)," ",""),"D",""),";",REPT(" ",30)),1,30))),0)+IFERROR(VALUE(TRIM(MID(SUBSTITUTE(SUBSTITUTE(SUBSTITUTE(UPPER($H105)," ",""),"D",""),";",REPT(" ",30)),31,30))),0)+IFERROR(VALUE(TRIM(MID(SUBSTITUTE(SUBSTITUTE(SUBSTITUTE(UPPER($H105)," ",""),"D",""),";",REPT(" ",30)),61,30))),0)+IFERROR(VALUE(TRIM(MID(SUBSTITUTE(SUBSTITUTE(SUBSTITUTE(UPPER($H105)," ",""),"D",""),";",REPT(" ",30)),91,30))),0)+IFERROR(VALUE(TRIM(MID(SUBSTITUTE(SUBSTITUTE(SUBSTITUTE(UPPER($H105)," ",""),"D",""),";",REPT(" ",30)),121,30))),0)+IFERROR(VALUE(TRIM(MID(SUBSTITUTE(SUBSTITUTE(SUBSTITUTE(UPPER($H105)," ",""),"D",""),";",REPT(" ",30)),151,30))),0)+IFERROR(VALUE(TRIM(MID(SUBSTITUTE(SUBSTITUTE(SUBSTITUTE(UPPER($H105)," ",""),"D",""),";",REPT(" ",30)),181,30))),0)+IFERROR(VALUE(TRIM(MID(SUBSTITUTE(SUBSTITUTE(SUBSTITUTE(UPPER($H105)," ",""),"D",""),";",REPT(" ",30)),211,30))),0)))))</f>
        <v/>
      </c>
      <c r="K105" s="24" t="n"/>
      <c r="L105" s="8" t="n"/>
      <c r="M105" s="14" t="n"/>
      <c r="N105" s="25">
        <f>IF($C105="","",IF($E105="Falta","-",MAX(0,MIN(10,8+IFERROR(VALUE(TRIM(MID(SUBSTITUTE(SUBSTITUTE(SUBSTITUTE(UPPER($L105)," ",""),"F",""),";",REPT(" ",30)),1,30))),0)+IFERROR(VALUE(TRIM(MID(SUBSTITUTE(SUBSTITUTE(SUBSTITUTE(UPPER($L105)," ",""),"F",""),";",REPT(" ",30)),31,30))),0)+IFERROR(VALUE(TRIM(MID(SUBSTITUTE(SUBSTITUTE(SUBSTITUTE(UPPER($L105)," ",""),"F",""),";",REPT(" ",30)),61,30))),0)+IFERROR(VALUE(TRIM(MID(SUBSTITUTE(SUBSTITUTE(SUBSTITUTE(UPPER($L105)," ",""),"F",""),";",REPT(" ",30)),91,30))),0)+IFERROR(VALUE(TRIM(MID(SUBSTITUTE(SUBSTITUTE(SUBSTITUTE(UPPER($L105)," ",""),"F",""),";",REPT(" ",30)),121,30))),0)+IFERROR(VALUE(TRIM(MID(SUBSTITUTE(SUBSTITUTE(SUBSTITUTE(UPPER($L105)," ",""),"F",""),";",REPT(" ",30)),151,30))),0)+IFERROR(VALUE(TRIM(MID(SUBSTITUTE(SUBSTITUTE(SUBSTITUTE(UPPER($L105)," ",""),"F",""),";",REPT(" ",30)),181,30))),0)+IFERROR(VALUE(TRIM(MID(SUBSTITUTE(SUBSTITUTE(SUBSTITUTE(UPPER($L105)," ",""),"F",""),";",REPT(" ",30)),211,30))),0)))))</f>
        <v/>
      </c>
      <c r="O105" s="24" t="n"/>
      <c r="P105" s="8" t="n"/>
      <c r="Q105" s="14" t="n"/>
      <c r="R105" s="25">
        <f>IF($C105="","",IF($E105="Falta","-",MAX(0,MIN(10,5+IFERROR(VALUE(TRIM(MID(SUBSTITUTE(SUBSTITUTE(SUBSTITUTE(UPPER($P105)," ",""),"C",""),";",REPT(" ",30)),1,30))),0)+IFERROR(VALUE(TRIM(MID(SUBSTITUTE(SUBSTITUTE(SUBSTITUTE(UPPER($P105)," ",""),"C",""),";",REPT(" ",30)),31,30))),0)+IFERROR(VALUE(TRIM(MID(SUBSTITUTE(SUBSTITUTE(SUBSTITUTE(UPPER($P105)," ",""),"C",""),";",REPT(" ",30)),61,30))),0)+IFERROR(VALUE(TRIM(MID(SUBSTITUTE(SUBSTITUTE(SUBSTITUTE(UPPER($P105)," ",""),"C",""),";",REPT(" ",30)),91,30))),0)+IFERROR(VALUE(TRIM(MID(SUBSTITUTE(SUBSTITUTE(SUBSTITUTE(UPPER($P105)," ",""),"C",""),";",REPT(" ",30)),121,30))),0)+IFERROR(VALUE(TRIM(MID(SUBSTITUTE(SUBSTITUTE(SUBSTITUTE(UPPER($P105)," ",""),"C",""),";",REPT(" ",30)),151,30))),0)+IFERROR(VALUE(TRIM(MID(SUBSTITUTE(SUBSTITUTE(SUBSTITUTE(UPPER($P105)," ",""),"C",""),";",REPT(" ",30)),181,30))),0)+IFERROR(VALUE(TRIM(MID(SUBSTITUTE(SUBSTITUTE(SUBSTITUTE(UPPER($P105)," ",""),"C",""),";",REPT(" ",30)),211,30))),0)))))</f>
        <v/>
      </c>
      <c r="S105" s="24" t="n"/>
      <c r="T105" s="8" t="n"/>
      <c r="U105" s="14" t="n"/>
      <c r="V105" s="25">
        <f>IF($C105="","",IF($E105="Falta","-",MAX(0,MIN(10,5+IFERROR(VALUE(TRIM(MID(SUBSTITUTE(SUBSTITUTE(SUBSTITUTE(UPPER($T105)," ",""),"P",""),";",REPT(" ",30)),1,30))),0)+IFERROR(VALUE(TRIM(MID(SUBSTITUTE(SUBSTITUTE(SUBSTITUTE(UPPER($T105)," ",""),"P",""),";",REPT(" ",30)),31,30))),0)+IFERROR(VALUE(TRIM(MID(SUBSTITUTE(SUBSTITUTE(SUBSTITUTE(UPPER($T105)," ",""),"P",""),";",REPT(" ",30)),61,30))),0)+IFERROR(VALUE(TRIM(MID(SUBSTITUTE(SUBSTITUTE(SUBSTITUTE(UPPER($T105)," ",""),"P",""),";",REPT(" ",30)),91,30))),0)+IFERROR(VALUE(TRIM(MID(SUBSTITUTE(SUBSTITUTE(SUBSTITUTE(UPPER($T105)," ",""),"P",""),";",REPT(" ",30)),121,30))),0)+IFERROR(VALUE(TRIM(MID(SUBSTITUTE(SUBSTITUTE(SUBSTITUTE(UPPER($T105)," ",""),"P",""),";",REPT(" ",30)),151,30))),0)+IFERROR(VALUE(TRIM(MID(SUBSTITUTE(SUBSTITUTE(SUBSTITUTE(UPPER($T105)," ",""),"P",""),";",REPT(" ",30)),181,30))),0)+IFERROR(VALUE(TRIM(MID(SUBSTITUTE(SUBSTITUTE(SUBSTITUTE(UPPER($T105)," ",""),"P",""),";",REPT(" ",30)),211,30))),0)))))</f>
        <v/>
      </c>
      <c r="W105" s="24" t="n"/>
      <c r="X105" s="14" t="n"/>
    </row>
    <row r="106">
      <c r="A106" s="8">
        <f>IF($C106="","",21)</f>
        <v/>
      </c>
      <c r="B106" s="8">
        <f>IF($C106="","","3ª Sessão")</f>
        <v/>
      </c>
      <c r="C106" s="8">
        <f>IF(Preenchimento!$B$30="","",Preenchimento!$B$30)</f>
        <v/>
      </c>
      <c r="D106" s="8">
        <f>IF($C106="","",IF(Preenchimento!$C$30="","-",Preenchimento!$C$30))</f>
        <v/>
      </c>
      <c r="E106" s="8" t="n"/>
      <c r="F106" s="8" t="n"/>
      <c r="G106" s="24" t="n"/>
      <c r="H106" s="8" t="n"/>
      <c r="I106" s="14" t="n"/>
      <c r="J106" s="25">
        <f>IF($C106="","",IF($E106="Falta","-",MAX(0,MIN(10,8+IFERROR(VALUE(TRIM(MID(SUBSTITUTE(SUBSTITUTE(SUBSTITUTE(UPPER($H106)," ",""),"D",""),";",REPT(" ",30)),1,30))),0)+IFERROR(VALUE(TRIM(MID(SUBSTITUTE(SUBSTITUTE(SUBSTITUTE(UPPER($H106)," ",""),"D",""),";",REPT(" ",30)),31,30))),0)+IFERROR(VALUE(TRIM(MID(SUBSTITUTE(SUBSTITUTE(SUBSTITUTE(UPPER($H106)," ",""),"D",""),";",REPT(" ",30)),61,30))),0)+IFERROR(VALUE(TRIM(MID(SUBSTITUTE(SUBSTITUTE(SUBSTITUTE(UPPER($H106)," ",""),"D",""),";",REPT(" ",30)),91,30))),0)+IFERROR(VALUE(TRIM(MID(SUBSTITUTE(SUBSTITUTE(SUBSTITUTE(UPPER($H106)," ",""),"D",""),";",REPT(" ",30)),121,30))),0)+IFERROR(VALUE(TRIM(MID(SUBSTITUTE(SUBSTITUTE(SUBSTITUTE(UPPER($H106)," ",""),"D",""),";",REPT(" ",30)),151,30))),0)+IFERROR(VALUE(TRIM(MID(SUBSTITUTE(SUBSTITUTE(SUBSTITUTE(UPPER($H106)," ",""),"D",""),";",REPT(" ",30)),181,30))),0)+IFERROR(VALUE(TRIM(MID(SUBSTITUTE(SUBSTITUTE(SUBSTITUTE(UPPER($H106)," ",""),"D",""),";",REPT(" ",30)),211,30))),0)))))</f>
        <v/>
      </c>
      <c r="K106" s="24" t="n"/>
      <c r="L106" s="8" t="n"/>
      <c r="M106" s="14" t="n"/>
      <c r="N106" s="25">
        <f>IF($C106="","",IF($E106="Falta","-",MAX(0,MIN(10,8+IFERROR(VALUE(TRIM(MID(SUBSTITUTE(SUBSTITUTE(SUBSTITUTE(UPPER($L106)," ",""),"F",""),";",REPT(" ",30)),1,30))),0)+IFERROR(VALUE(TRIM(MID(SUBSTITUTE(SUBSTITUTE(SUBSTITUTE(UPPER($L106)," ",""),"F",""),";",REPT(" ",30)),31,30))),0)+IFERROR(VALUE(TRIM(MID(SUBSTITUTE(SUBSTITUTE(SUBSTITUTE(UPPER($L106)," ",""),"F",""),";",REPT(" ",30)),61,30))),0)+IFERROR(VALUE(TRIM(MID(SUBSTITUTE(SUBSTITUTE(SUBSTITUTE(UPPER($L106)," ",""),"F",""),";",REPT(" ",30)),91,30))),0)+IFERROR(VALUE(TRIM(MID(SUBSTITUTE(SUBSTITUTE(SUBSTITUTE(UPPER($L106)," ",""),"F",""),";",REPT(" ",30)),121,30))),0)+IFERROR(VALUE(TRIM(MID(SUBSTITUTE(SUBSTITUTE(SUBSTITUTE(UPPER($L106)," ",""),"F",""),";",REPT(" ",30)),151,30))),0)+IFERROR(VALUE(TRIM(MID(SUBSTITUTE(SUBSTITUTE(SUBSTITUTE(UPPER($L106)," ",""),"F",""),";",REPT(" ",30)),181,30))),0)+IFERROR(VALUE(TRIM(MID(SUBSTITUTE(SUBSTITUTE(SUBSTITUTE(UPPER($L106)," ",""),"F",""),";",REPT(" ",30)),211,30))),0)))))</f>
        <v/>
      </c>
      <c r="O106" s="24" t="n"/>
      <c r="P106" s="8" t="n"/>
      <c r="Q106" s="14" t="n"/>
      <c r="R106" s="25">
        <f>IF($C106="","",IF($E106="Falta","-",MAX(0,MIN(10,5+IFERROR(VALUE(TRIM(MID(SUBSTITUTE(SUBSTITUTE(SUBSTITUTE(UPPER($P106)," ",""),"C",""),";",REPT(" ",30)),1,30))),0)+IFERROR(VALUE(TRIM(MID(SUBSTITUTE(SUBSTITUTE(SUBSTITUTE(UPPER($P106)," ",""),"C",""),";",REPT(" ",30)),31,30))),0)+IFERROR(VALUE(TRIM(MID(SUBSTITUTE(SUBSTITUTE(SUBSTITUTE(UPPER($P106)," ",""),"C",""),";",REPT(" ",30)),61,30))),0)+IFERROR(VALUE(TRIM(MID(SUBSTITUTE(SUBSTITUTE(SUBSTITUTE(UPPER($P106)," ",""),"C",""),";",REPT(" ",30)),91,30))),0)+IFERROR(VALUE(TRIM(MID(SUBSTITUTE(SUBSTITUTE(SUBSTITUTE(UPPER($P106)," ",""),"C",""),";",REPT(" ",30)),121,30))),0)+IFERROR(VALUE(TRIM(MID(SUBSTITUTE(SUBSTITUTE(SUBSTITUTE(UPPER($P106)," ",""),"C",""),";",REPT(" ",30)),151,30))),0)+IFERROR(VALUE(TRIM(MID(SUBSTITUTE(SUBSTITUTE(SUBSTITUTE(UPPER($P106)," ",""),"C",""),";",REPT(" ",30)),181,30))),0)+IFERROR(VALUE(TRIM(MID(SUBSTITUTE(SUBSTITUTE(SUBSTITUTE(UPPER($P106)," ",""),"C",""),";",REPT(" ",30)),211,30))),0)))))</f>
        <v/>
      </c>
      <c r="S106" s="24" t="n"/>
      <c r="T106" s="8" t="n"/>
      <c r="U106" s="14" t="n"/>
      <c r="V106" s="25">
        <f>IF($C106="","",IF($E106="Falta","-",MAX(0,MIN(10,5+IFERROR(VALUE(TRIM(MID(SUBSTITUTE(SUBSTITUTE(SUBSTITUTE(UPPER($T106)," ",""),"P",""),";",REPT(" ",30)),1,30))),0)+IFERROR(VALUE(TRIM(MID(SUBSTITUTE(SUBSTITUTE(SUBSTITUTE(UPPER($T106)," ",""),"P",""),";",REPT(" ",30)),31,30))),0)+IFERROR(VALUE(TRIM(MID(SUBSTITUTE(SUBSTITUTE(SUBSTITUTE(UPPER($T106)," ",""),"P",""),";",REPT(" ",30)),61,30))),0)+IFERROR(VALUE(TRIM(MID(SUBSTITUTE(SUBSTITUTE(SUBSTITUTE(UPPER($T106)," ",""),"P",""),";",REPT(" ",30)),91,30))),0)+IFERROR(VALUE(TRIM(MID(SUBSTITUTE(SUBSTITUTE(SUBSTITUTE(UPPER($T106)," ",""),"P",""),";",REPT(" ",30)),121,30))),0)+IFERROR(VALUE(TRIM(MID(SUBSTITUTE(SUBSTITUTE(SUBSTITUTE(UPPER($T106)," ",""),"P",""),";",REPT(" ",30)),151,30))),0)+IFERROR(VALUE(TRIM(MID(SUBSTITUTE(SUBSTITUTE(SUBSTITUTE(UPPER($T106)," ",""),"P",""),";",REPT(" ",30)),181,30))),0)+IFERROR(VALUE(TRIM(MID(SUBSTITUTE(SUBSTITUTE(SUBSTITUTE(UPPER($T106)," ",""),"P",""),";",REPT(" ",30)),211,30))),0)))))</f>
        <v/>
      </c>
      <c r="W106" s="24" t="n"/>
      <c r="X106" s="14" t="n"/>
    </row>
    <row r="107">
      <c r="A107" s="8">
        <f>IF($C107="","",21)</f>
        <v/>
      </c>
      <c r="B107" s="8">
        <f>IF($C107="","","4ª Sessão")</f>
        <v/>
      </c>
      <c r="C107" s="8">
        <f>IF(Preenchimento!$B$30="","",Preenchimento!$B$30)</f>
        <v/>
      </c>
      <c r="D107" s="8">
        <f>IF($C107="","",IF(Preenchimento!$C$30="","-",Preenchimento!$C$30))</f>
        <v/>
      </c>
      <c r="E107" s="8" t="n"/>
      <c r="F107" s="8" t="n"/>
      <c r="G107" s="24" t="n"/>
      <c r="H107" s="8" t="n"/>
      <c r="I107" s="14" t="n"/>
      <c r="J107" s="25">
        <f>IF($C107="","",IF($E107="Falta","-",MAX(0,MIN(10,8+IFERROR(VALUE(TRIM(MID(SUBSTITUTE(SUBSTITUTE(SUBSTITUTE(UPPER($H107)," ",""),"D",""),";",REPT(" ",30)),1,30))),0)+IFERROR(VALUE(TRIM(MID(SUBSTITUTE(SUBSTITUTE(SUBSTITUTE(UPPER($H107)," ",""),"D",""),";",REPT(" ",30)),31,30))),0)+IFERROR(VALUE(TRIM(MID(SUBSTITUTE(SUBSTITUTE(SUBSTITUTE(UPPER($H107)," ",""),"D",""),";",REPT(" ",30)),61,30))),0)+IFERROR(VALUE(TRIM(MID(SUBSTITUTE(SUBSTITUTE(SUBSTITUTE(UPPER($H107)," ",""),"D",""),";",REPT(" ",30)),91,30))),0)+IFERROR(VALUE(TRIM(MID(SUBSTITUTE(SUBSTITUTE(SUBSTITUTE(UPPER($H107)," ",""),"D",""),";",REPT(" ",30)),121,30))),0)+IFERROR(VALUE(TRIM(MID(SUBSTITUTE(SUBSTITUTE(SUBSTITUTE(UPPER($H107)," ",""),"D",""),";",REPT(" ",30)),151,30))),0)+IFERROR(VALUE(TRIM(MID(SUBSTITUTE(SUBSTITUTE(SUBSTITUTE(UPPER($H107)," ",""),"D",""),";",REPT(" ",30)),181,30))),0)+IFERROR(VALUE(TRIM(MID(SUBSTITUTE(SUBSTITUTE(SUBSTITUTE(UPPER($H107)," ",""),"D",""),";",REPT(" ",30)),211,30))),0)))))</f>
        <v/>
      </c>
      <c r="K107" s="24" t="n"/>
      <c r="L107" s="8" t="n"/>
      <c r="M107" s="14" t="n"/>
      <c r="N107" s="25">
        <f>IF($C107="","",IF($E107="Falta","-",MAX(0,MIN(10,8+IFERROR(VALUE(TRIM(MID(SUBSTITUTE(SUBSTITUTE(SUBSTITUTE(UPPER($L107)," ",""),"F",""),";",REPT(" ",30)),1,30))),0)+IFERROR(VALUE(TRIM(MID(SUBSTITUTE(SUBSTITUTE(SUBSTITUTE(UPPER($L107)," ",""),"F",""),";",REPT(" ",30)),31,30))),0)+IFERROR(VALUE(TRIM(MID(SUBSTITUTE(SUBSTITUTE(SUBSTITUTE(UPPER($L107)," ",""),"F",""),";",REPT(" ",30)),61,30))),0)+IFERROR(VALUE(TRIM(MID(SUBSTITUTE(SUBSTITUTE(SUBSTITUTE(UPPER($L107)," ",""),"F",""),";",REPT(" ",30)),91,30))),0)+IFERROR(VALUE(TRIM(MID(SUBSTITUTE(SUBSTITUTE(SUBSTITUTE(UPPER($L107)," ",""),"F",""),";",REPT(" ",30)),121,30))),0)+IFERROR(VALUE(TRIM(MID(SUBSTITUTE(SUBSTITUTE(SUBSTITUTE(UPPER($L107)," ",""),"F",""),";",REPT(" ",30)),151,30))),0)+IFERROR(VALUE(TRIM(MID(SUBSTITUTE(SUBSTITUTE(SUBSTITUTE(UPPER($L107)," ",""),"F",""),";",REPT(" ",30)),181,30))),0)+IFERROR(VALUE(TRIM(MID(SUBSTITUTE(SUBSTITUTE(SUBSTITUTE(UPPER($L107)," ",""),"F",""),";",REPT(" ",30)),211,30))),0)))))</f>
        <v/>
      </c>
      <c r="O107" s="24" t="n"/>
      <c r="P107" s="8" t="n"/>
      <c r="Q107" s="14" t="n"/>
      <c r="R107" s="25">
        <f>IF($C107="","",IF($E107="Falta","-",MAX(0,MIN(10,5+IFERROR(VALUE(TRIM(MID(SUBSTITUTE(SUBSTITUTE(SUBSTITUTE(UPPER($P107)," ",""),"C",""),";",REPT(" ",30)),1,30))),0)+IFERROR(VALUE(TRIM(MID(SUBSTITUTE(SUBSTITUTE(SUBSTITUTE(UPPER($P107)," ",""),"C",""),";",REPT(" ",30)),31,30))),0)+IFERROR(VALUE(TRIM(MID(SUBSTITUTE(SUBSTITUTE(SUBSTITUTE(UPPER($P107)," ",""),"C",""),";",REPT(" ",30)),61,30))),0)+IFERROR(VALUE(TRIM(MID(SUBSTITUTE(SUBSTITUTE(SUBSTITUTE(UPPER($P107)," ",""),"C",""),";",REPT(" ",30)),91,30))),0)+IFERROR(VALUE(TRIM(MID(SUBSTITUTE(SUBSTITUTE(SUBSTITUTE(UPPER($P107)," ",""),"C",""),";",REPT(" ",30)),121,30))),0)+IFERROR(VALUE(TRIM(MID(SUBSTITUTE(SUBSTITUTE(SUBSTITUTE(UPPER($P107)," ",""),"C",""),";",REPT(" ",30)),151,30))),0)+IFERROR(VALUE(TRIM(MID(SUBSTITUTE(SUBSTITUTE(SUBSTITUTE(UPPER($P107)," ",""),"C",""),";",REPT(" ",30)),181,30))),0)+IFERROR(VALUE(TRIM(MID(SUBSTITUTE(SUBSTITUTE(SUBSTITUTE(UPPER($P107)," ",""),"C",""),";",REPT(" ",30)),211,30))),0)))))</f>
        <v/>
      </c>
      <c r="S107" s="24" t="n"/>
      <c r="T107" s="8" t="n"/>
      <c r="U107" s="14" t="n"/>
      <c r="V107" s="25">
        <f>IF($C107="","",IF($E107="Falta","-",MAX(0,MIN(10,5+IFERROR(VALUE(TRIM(MID(SUBSTITUTE(SUBSTITUTE(SUBSTITUTE(UPPER($T107)," ",""),"P",""),";",REPT(" ",30)),1,30))),0)+IFERROR(VALUE(TRIM(MID(SUBSTITUTE(SUBSTITUTE(SUBSTITUTE(UPPER($T107)," ",""),"P",""),";",REPT(" ",30)),31,30))),0)+IFERROR(VALUE(TRIM(MID(SUBSTITUTE(SUBSTITUTE(SUBSTITUTE(UPPER($T107)," ",""),"P",""),";",REPT(" ",30)),61,30))),0)+IFERROR(VALUE(TRIM(MID(SUBSTITUTE(SUBSTITUTE(SUBSTITUTE(UPPER($T107)," ",""),"P",""),";",REPT(" ",30)),91,30))),0)+IFERROR(VALUE(TRIM(MID(SUBSTITUTE(SUBSTITUTE(SUBSTITUTE(UPPER($T107)," ",""),"P",""),";",REPT(" ",30)),121,30))),0)+IFERROR(VALUE(TRIM(MID(SUBSTITUTE(SUBSTITUTE(SUBSTITUTE(UPPER($T107)," ",""),"P",""),";",REPT(" ",30)),151,30))),0)+IFERROR(VALUE(TRIM(MID(SUBSTITUTE(SUBSTITUTE(SUBSTITUTE(UPPER($T107)," ",""),"P",""),";",REPT(" ",30)),181,30))),0)+IFERROR(VALUE(TRIM(MID(SUBSTITUTE(SUBSTITUTE(SUBSTITUTE(UPPER($T107)," ",""),"P",""),";",REPT(" ",30)),211,30))),0)))))</f>
        <v/>
      </c>
      <c r="W107" s="24" t="n"/>
      <c r="X107" s="14" t="n"/>
    </row>
    <row r="108">
      <c r="A108" s="8">
        <f>IF($C108="","",21)</f>
        <v/>
      </c>
      <c r="B108" s="8">
        <f>IF($C108="","","5ª Sessão")</f>
        <v/>
      </c>
      <c r="C108" s="8">
        <f>IF(Preenchimento!$B$30="","",Preenchimento!$B$30)</f>
        <v/>
      </c>
      <c r="D108" s="8">
        <f>IF($C108="","",IF(Preenchimento!$C$30="","-",Preenchimento!$C$30))</f>
        <v/>
      </c>
      <c r="E108" s="8" t="n"/>
      <c r="F108" s="8" t="n"/>
      <c r="G108" s="24" t="n"/>
      <c r="H108" s="8" t="n"/>
      <c r="I108" s="14" t="n"/>
      <c r="J108" s="25">
        <f>IF($C108="","",IF($E108="Falta","-",MAX(0,MIN(10,8+IFERROR(VALUE(TRIM(MID(SUBSTITUTE(SUBSTITUTE(SUBSTITUTE(UPPER($H108)," ",""),"D",""),";",REPT(" ",30)),1,30))),0)+IFERROR(VALUE(TRIM(MID(SUBSTITUTE(SUBSTITUTE(SUBSTITUTE(UPPER($H108)," ",""),"D",""),";",REPT(" ",30)),31,30))),0)+IFERROR(VALUE(TRIM(MID(SUBSTITUTE(SUBSTITUTE(SUBSTITUTE(UPPER($H108)," ",""),"D",""),";",REPT(" ",30)),61,30))),0)+IFERROR(VALUE(TRIM(MID(SUBSTITUTE(SUBSTITUTE(SUBSTITUTE(UPPER($H108)," ",""),"D",""),";",REPT(" ",30)),91,30))),0)+IFERROR(VALUE(TRIM(MID(SUBSTITUTE(SUBSTITUTE(SUBSTITUTE(UPPER($H108)," ",""),"D",""),";",REPT(" ",30)),121,30))),0)+IFERROR(VALUE(TRIM(MID(SUBSTITUTE(SUBSTITUTE(SUBSTITUTE(UPPER($H108)," ",""),"D",""),";",REPT(" ",30)),151,30))),0)+IFERROR(VALUE(TRIM(MID(SUBSTITUTE(SUBSTITUTE(SUBSTITUTE(UPPER($H108)," ",""),"D",""),";",REPT(" ",30)),181,30))),0)+IFERROR(VALUE(TRIM(MID(SUBSTITUTE(SUBSTITUTE(SUBSTITUTE(UPPER($H108)," ",""),"D",""),";",REPT(" ",30)),211,30))),0)))))</f>
        <v/>
      </c>
      <c r="K108" s="24" t="n"/>
      <c r="L108" s="8" t="n"/>
      <c r="M108" s="14" t="n"/>
      <c r="N108" s="25">
        <f>IF($C108="","",IF($E108="Falta","-",MAX(0,MIN(10,8+IFERROR(VALUE(TRIM(MID(SUBSTITUTE(SUBSTITUTE(SUBSTITUTE(UPPER($L108)," ",""),"F",""),";",REPT(" ",30)),1,30))),0)+IFERROR(VALUE(TRIM(MID(SUBSTITUTE(SUBSTITUTE(SUBSTITUTE(UPPER($L108)," ",""),"F",""),";",REPT(" ",30)),31,30))),0)+IFERROR(VALUE(TRIM(MID(SUBSTITUTE(SUBSTITUTE(SUBSTITUTE(UPPER($L108)," ",""),"F",""),";",REPT(" ",30)),61,30))),0)+IFERROR(VALUE(TRIM(MID(SUBSTITUTE(SUBSTITUTE(SUBSTITUTE(UPPER($L108)," ",""),"F",""),";",REPT(" ",30)),91,30))),0)+IFERROR(VALUE(TRIM(MID(SUBSTITUTE(SUBSTITUTE(SUBSTITUTE(UPPER($L108)," ",""),"F",""),";",REPT(" ",30)),121,30))),0)+IFERROR(VALUE(TRIM(MID(SUBSTITUTE(SUBSTITUTE(SUBSTITUTE(UPPER($L108)," ",""),"F",""),";",REPT(" ",30)),151,30))),0)+IFERROR(VALUE(TRIM(MID(SUBSTITUTE(SUBSTITUTE(SUBSTITUTE(UPPER($L108)," ",""),"F",""),";",REPT(" ",30)),181,30))),0)+IFERROR(VALUE(TRIM(MID(SUBSTITUTE(SUBSTITUTE(SUBSTITUTE(UPPER($L108)," ",""),"F",""),";",REPT(" ",30)),211,30))),0)))))</f>
        <v/>
      </c>
      <c r="O108" s="24" t="n"/>
      <c r="P108" s="8" t="n"/>
      <c r="Q108" s="14" t="n"/>
      <c r="R108" s="25">
        <f>IF($C108="","",IF($E108="Falta","-",MAX(0,MIN(10,5+IFERROR(VALUE(TRIM(MID(SUBSTITUTE(SUBSTITUTE(SUBSTITUTE(UPPER($P108)," ",""),"C",""),";",REPT(" ",30)),1,30))),0)+IFERROR(VALUE(TRIM(MID(SUBSTITUTE(SUBSTITUTE(SUBSTITUTE(UPPER($P108)," ",""),"C",""),";",REPT(" ",30)),31,30))),0)+IFERROR(VALUE(TRIM(MID(SUBSTITUTE(SUBSTITUTE(SUBSTITUTE(UPPER($P108)," ",""),"C",""),";",REPT(" ",30)),61,30))),0)+IFERROR(VALUE(TRIM(MID(SUBSTITUTE(SUBSTITUTE(SUBSTITUTE(UPPER($P108)," ",""),"C",""),";",REPT(" ",30)),91,30))),0)+IFERROR(VALUE(TRIM(MID(SUBSTITUTE(SUBSTITUTE(SUBSTITUTE(UPPER($P108)," ",""),"C",""),";",REPT(" ",30)),121,30))),0)+IFERROR(VALUE(TRIM(MID(SUBSTITUTE(SUBSTITUTE(SUBSTITUTE(UPPER($P108)," ",""),"C",""),";",REPT(" ",30)),151,30))),0)+IFERROR(VALUE(TRIM(MID(SUBSTITUTE(SUBSTITUTE(SUBSTITUTE(UPPER($P108)," ",""),"C",""),";",REPT(" ",30)),181,30))),0)+IFERROR(VALUE(TRIM(MID(SUBSTITUTE(SUBSTITUTE(SUBSTITUTE(UPPER($P108)," ",""),"C",""),";",REPT(" ",30)),211,30))),0)))))</f>
        <v/>
      </c>
      <c r="S108" s="24" t="n"/>
      <c r="T108" s="8" t="n"/>
      <c r="U108" s="14" t="n"/>
      <c r="V108" s="25">
        <f>IF($C108="","",IF($E108="Falta","-",MAX(0,MIN(10,5+IFERROR(VALUE(TRIM(MID(SUBSTITUTE(SUBSTITUTE(SUBSTITUTE(UPPER($T108)," ",""),"P",""),";",REPT(" ",30)),1,30))),0)+IFERROR(VALUE(TRIM(MID(SUBSTITUTE(SUBSTITUTE(SUBSTITUTE(UPPER($T108)," ",""),"P",""),";",REPT(" ",30)),31,30))),0)+IFERROR(VALUE(TRIM(MID(SUBSTITUTE(SUBSTITUTE(SUBSTITUTE(UPPER($T108)," ",""),"P",""),";",REPT(" ",30)),61,30))),0)+IFERROR(VALUE(TRIM(MID(SUBSTITUTE(SUBSTITUTE(SUBSTITUTE(UPPER($T108)," ",""),"P",""),";",REPT(" ",30)),91,30))),0)+IFERROR(VALUE(TRIM(MID(SUBSTITUTE(SUBSTITUTE(SUBSTITUTE(UPPER($T108)," ",""),"P",""),";",REPT(" ",30)),121,30))),0)+IFERROR(VALUE(TRIM(MID(SUBSTITUTE(SUBSTITUTE(SUBSTITUTE(UPPER($T108)," ",""),"P",""),";",REPT(" ",30)),151,30))),0)+IFERROR(VALUE(TRIM(MID(SUBSTITUTE(SUBSTITUTE(SUBSTITUTE(UPPER($T108)," ",""),"P",""),";",REPT(" ",30)),181,30))),0)+IFERROR(VALUE(TRIM(MID(SUBSTITUTE(SUBSTITUTE(SUBSTITUTE(UPPER($T108)," ",""),"P",""),";",REPT(" ",30)),211,30))),0)))))</f>
        <v/>
      </c>
      <c r="W108" s="24" t="n"/>
      <c r="X108" s="14" t="n"/>
    </row>
    <row r="109">
      <c r="A109" s="6">
        <f>IF($C109="","",22)</f>
        <v/>
      </c>
      <c r="B109" s="6">
        <f>IF($C109="","","1ª Sessão")</f>
        <v/>
      </c>
      <c r="C109" s="6">
        <f>IF(Preenchimento!$B$31="","",Preenchimento!$B$31)</f>
        <v/>
      </c>
      <c r="D109" s="6">
        <f>IF($C109="","",IF(Preenchimento!$C$31="","-",Preenchimento!$C$31))</f>
        <v/>
      </c>
      <c r="E109" s="6" t="n"/>
      <c r="F109" s="6" t="n"/>
      <c r="G109" s="26" t="n"/>
      <c r="H109" s="6" t="n"/>
      <c r="I109" s="13" t="n"/>
      <c r="J109" s="27">
        <f>IF($C109="","",IF($E109="Falta","-",MAX(0,MIN(10,8+IFERROR(VALUE(TRIM(MID(SUBSTITUTE(SUBSTITUTE(SUBSTITUTE(UPPER($H109)," ",""),"D",""),";",REPT(" ",30)),1,30))),0)+IFERROR(VALUE(TRIM(MID(SUBSTITUTE(SUBSTITUTE(SUBSTITUTE(UPPER($H109)," ",""),"D",""),";",REPT(" ",30)),31,30))),0)+IFERROR(VALUE(TRIM(MID(SUBSTITUTE(SUBSTITUTE(SUBSTITUTE(UPPER($H109)," ",""),"D",""),";",REPT(" ",30)),61,30))),0)+IFERROR(VALUE(TRIM(MID(SUBSTITUTE(SUBSTITUTE(SUBSTITUTE(UPPER($H109)," ",""),"D",""),";",REPT(" ",30)),91,30))),0)+IFERROR(VALUE(TRIM(MID(SUBSTITUTE(SUBSTITUTE(SUBSTITUTE(UPPER($H109)," ",""),"D",""),";",REPT(" ",30)),121,30))),0)+IFERROR(VALUE(TRIM(MID(SUBSTITUTE(SUBSTITUTE(SUBSTITUTE(UPPER($H109)," ",""),"D",""),";",REPT(" ",30)),151,30))),0)+IFERROR(VALUE(TRIM(MID(SUBSTITUTE(SUBSTITUTE(SUBSTITUTE(UPPER($H109)," ",""),"D",""),";",REPT(" ",30)),181,30))),0)+IFERROR(VALUE(TRIM(MID(SUBSTITUTE(SUBSTITUTE(SUBSTITUTE(UPPER($H109)," ",""),"D",""),";",REPT(" ",30)),211,30))),0)))))</f>
        <v/>
      </c>
      <c r="K109" s="26" t="n"/>
      <c r="L109" s="6" t="n"/>
      <c r="M109" s="13" t="n"/>
      <c r="N109" s="27">
        <f>IF($C109="","",IF($E109="Falta","-",MAX(0,MIN(10,8+IFERROR(VALUE(TRIM(MID(SUBSTITUTE(SUBSTITUTE(SUBSTITUTE(UPPER($L109)," ",""),"F",""),";",REPT(" ",30)),1,30))),0)+IFERROR(VALUE(TRIM(MID(SUBSTITUTE(SUBSTITUTE(SUBSTITUTE(UPPER($L109)," ",""),"F",""),";",REPT(" ",30)),31,30))),0)+IFERROR(VALUE(TRIM(MID(SUBSTITUTE(SUBSTITUTE(SUBSTITUTE(UPPER($L109)," ",""),"F",""),";",REPT(" ",30)),61,30))),0)+IFERROR(VALUE(TRIM(MID(SUBSTITUTE(SUBSTITUTE(SUBSTITUTE(UPPER($L109)," ",""),"F",""),";",REPT(" ",30)),91,30))),0)+IFERROR(VALUE(TRIM(MID(SUBSTITUTE(SUBSTITUTE(SUBSTITUTE(UPPER($L109)," ",""),"F",""),";",REPT(" ",30)),121,30))),0)+IFERROR(VALUE(TRIM(MID(SUBSTITUTE(SUBSTITUTE(SUBSTITUTE(UPPER($L109)," ",""),"F",""),";",REPT(" ",30)),151,30))),0)+IFERROR(VALUE(TRIM(MID(SUBSTITUTE(SUBSTITUTE(SUBSTITUTE(UPPER($L109)," ",""),"F",""),";",REPT(" ",30)),181,30))),0)+IFERROR(VALUE(TRIM(MID(SUBSTITUTE(SUBSTITUTE(SUBSTITUTE(UPPER($L109)," ",""),"F",""),";",REPT(" ",30)),211,30))),0)))))</f>
        <v/>
      </c>
      <c r="O109" s="26" t="n"/>
      <c r="P109" s="6" t="n"/>
      <c r="Q109" s="13" t="n"/>
      <c r="R109" s="27">
        <f>IF($C109="","",IF($E109="Falta","-",MAX(0,MIN(10,5+IFERROR(VALUE(TRIM(MID(SUBSTITUTE(SUBSTITUTE(SUBSTITUTE(UPPER($P109)," ",""),"C",""),";",REPT(" ",30)),1,30))),0)+IFERROR(VALUE(TRIM(MID(SUBSTITUTE(SUBSTITUTE(SUBSTITUTE(UPPER($P109)," ",""),"C",""),";",REPT(" ",30)),31,30))),0)+IFERROR(VALUE(TRIM(MID(SUBSTITUTE(SUBSTITUTE(SUBSTITUTE(UPPER($P109)," ",""),"C",""),";",REPT(" ",30)),61,30))),0)+IFERROR(VALUE(TRIM(MID(SUBSTITUTE(SUBSTITUTE(SUBSTITUTE(UPPER($P109)," ",""),"C",""),";",REPT(" ",30)),91,30))),0)+IFERROR(VALUE(TRIM(MID(SUBSTITUTE(SUBSTITUTE(SUBSTITUTE(UPPER($P109)," ",""),"C",""),";",REPT(" ",30)),121,30))),0)+IFERROR(VALUE(TRIM(MID(SUBSTITUTE(SUBSTITUTE(SUBSTITUTE(UPPER($P109)," ",""),"C",""),";",REPT(" ",30)),151,30))),0)+IFERROR(VALUE(TRIM(MID(SUBSTITUTE(SUBSTITUTE(SUBSTITUTE(UPPER($P109)," ",""),"C",""),";",REPT(" ",30)),181,30))),0)+IFERROR(VALUE(TRIM(MID(SUBSTITUTE(SUBSTITUTE(SUBSTITUTE(UPPER($P109)," ",""),"C",""),";",REPT(" ",30)),211,30))),0)))))</f>
        <v/>
      </c>
      <c r="S109" s="26" t="n"/>
      <c r="T109" s="6" t="n"/>
      <c r="U109" s="13" t="n"/>
      <c r="V109" s="27">
        <f>IF($C109="","",IF($E109="Falta","-",MAX(0,MIN(10,5+IFERROR(VALUE(TRIM(MID(SUBSTITUTE(SUBSTITUTE(SUBSTITUTE(UPPER($T109)," ",""),"P",""),";",REPT(" ",30)),1,30))),0)+IFERROR(VALUE(TRIM(MID(SUBSTITUTE(SUBSTITUTE(SUBSTITUTE(UPPER($T109)," ",""),"P",""),";",REPT(" ",30)),31,30))),0)+IFERROR(VALUE(TRIM(MID(SUBSTITUTE(SUBSTITUTE(SUBSTITUTE(UPPER($T109)," ",""),"P",""),";",REPT(" ",30)),61,30))),0)+IFERROR(VALUE(TRIM(MID(SUBSTITUTE(SUBSTITUTE(SUBSTITUTE(UPPER($T109)," ",""),"P",""),";",REPT(" ",30)),91,30))),0)+IFERROR(VALUE(TRIM(MID(SUBSTITUTE(SUBSTITUTE(SUBSTITUTE(UPPER($T109)," ",""),"P",""),";",REPT(" ",30)),121,30))),0)+IFERROR(VALUE(TRIM(MID(SUBSTITUTE(SUBSTITUTE(SUBSTITUTE(UPPER($T109)," ",""),"P",""),";",REPT(" ",30)),151,30))),0)+IFERROR(VALUE(TRIM(MID(SUBSTITUTE(SUBSTITUTE(SUBSTITUTE(UPPER($T109)," ",""),"P",""),";",REPT(" ",30)),181,30))),0)+IFERROR(VALUE(TRIM(MID(SUBSTITUTE(SUBSTITUTE(SUBSTITUTE(UPPER($T109)," ",""),"P",""),";",REPT(" ",30)),211,30))),0)))))</f>
        <v/>
      </c>
      <c r="W109" s="26" t="n"/>
      <c r="X109" s="13" t="n"/>
    </row>
    <row r="110">
      <c r="A110" s="6">
        <f>IF($C110="","",22)</f>
        <v/>
      </c>
      <c r="B110" s="6">
        <f>IF($C110="","","2ª Sessão")</f>
        <v/>
      </c>
      <c r="C110" s="6">
        <f>IF(Preenchimento!$B$31="","",Preenchimento!$B$31)</f>
        <v/>
      </c>
      <c r="D110" s="6">
        <f>IF($C110="","",IF(Preenchimento!$C$31="","-",Preenchimento!$C$31))</f>
        <v/>
      </c>
      <c r="E110" s="6" t="n"/>
      <c r="F110" s="6" t="n"/>
      <c r="G110" s="26" t="n"/>
      <c r="H110" s="6" t="n"/>
      <c r="I110" s="13" t="n"/>
      <c r="J110" s="27">
        <f>IF($C110="","",IF($E110="Falta","-",MAX(0,MIN(10,8+IFERROR(VALUE(TRIM(MID(SUBSTITUTE(SUBSTITUTE(SUBSTITUTE(UPPER($H110)," ",""),"D",""),";",REPT(" ",30)),1,30))),0)+IFERROR(VALUE(TRIM(MID(SUBSTITUTE(SUBSTITUTE(SUBSTITUTE(UPPER($H110)," ",""),"D",""),";",REPT(" ",30)),31,30))),0)+IFERROR(VALUE(TRIM(MID(SUBSTITUTE(SUBSTITUTE(SUBSTITUTE(UPPER($H110)," ",""),"D",""),";",REPT(" ",30)),61,30))),0)+IFERROR(VALUE(TRIM(MID(SUBSTITUTE(SUBSTITUTE(SUBSTITUTE(UPPER($H110)," ",""),"D",""),";",REPT(" ",30)),91,30))),0)+IFERROR(VALUE(TRIM(MID(SUBSTITUTE(SUBSTITUTE(SUBSTITUTE(UPPER($H110)," ",""),"D",""),";",REPT(" ",30)),121,30))),0)+IFERROR(VALUE(TRIM(MID(SUBSTITUTE(SUBSTITUTE(SUBSTITUTE(UPPER($H110)," ",""),"D",""),";",REPT(" ",30)),151,30))),0)+IFERROR(VALUE(TRIM(MID(SUBSTITUTE(SUBSTITUTE(SUBSTITUTE(UPPER($H110)," ",""),"D",""),";",REPT(" ",30)),181,30))),0)+IFERROR(VALUE(TRIM(MID(SUBSTITUTE(SUBSTITUTE(SUBSTITUTE(UPPER($H110)," ",""),"D",""),";",REPT(" ",30)),211,30))),0)))))</f>
        <v/>
      </c>
      <c r="K110" s="26" t="n"/>
      <c r="L110" s="6" t="n"/>
      <c r="M110" s="13" t="n"/>
      <c r="N110" s="27">
        <f>IF($C110="","",IF($E110="Falta","-",MAX(0,MIN(10,8+IFERROR(VALUE(TRIM(MID(SUBSTITUTE(SUBSTITUTE(SUBSTITUTE(UPPER($L110)," ",""),"F",""),";",REPT(" ",30)),1,30))),0)+IFERROR(VALUE(TRIM(MID(SUBSTITUTE(SUBSTITUTE(SUBSTITUTE(UPPER($L110)," ",""),"F",""),";",REPT(" ",30)),31,30))),0)+IFERROR(VALUE(TRIM(MID(SUBSTITUTE(SUBSTITUTE(SUBSTITUTE(UPPER($L110)," ",""),"F",""),";",REPT(" ",30)),61,30))),0)+IFERROR(VALUE(TRIM(MID(SUBSTITUTE(SUBSTITUTE(SUBSTITUTE(UPPER($L110)," ",""),"F",""),";",REPT(" ",30)),91,30))),0)+IFERROR(VALUE(TRIM(MID(SUBSTITUTE(SUBSTITUTE(SUBSTITUTE(UPPER($L110)," ",""),"F",""),";",REPT(" ",30)),121,30))),0)+IFERROR(VALUE(TRIM(MID(SUBSTITUTE(SUBSTITUTE(SUBSTITUTE(UPPER($L110)," ",""),"F",""),";",REPT(" ",30)),151,30))),0)+IFERROR(VALUE(TRIM(MID(SUBSTITUTE(SUBSTITUTE(SUBSTITUTE(UPPER($L110)," ",""),"F",""),";",REPT(" ",30)),181,30))),0)+IFERROR(VALUE(TRIM(MID(SUBSTITUTE(SUBSTITUTE(SUBSTITUTE(UPPER($L110)," ",""),"F",""),";",REPT(" ",30)),211,30))),0)))))</f>
        <v/>
      </c>
      <c r="O110" s="26" t="n"/>
      <c r="P110" s="6" t="n"/>
      <c r="Q110" s="13" t="n"/>
      <c r="R110" s="27">
        <f>IF($C110="","",IF($E110="Falta","-",MAX(0,MIN(10,5+IFERROR(VALUE(TRIM(MID(SUBSTITUTE(SUBSTITUTE(SUBSTITUTE(UPPER($P110)," ",""),"C",""),";",REPT(" ",30)),1,30))),0)+IFERROR(VALUE(TRIM(MID(SUBSTITUTE(SUBSTITUTE(SUBSTITUTE(UPPER($P110)," ",""),"C",""),";",REPT(" ",30)),31,30))),0)+IFERROR(VALUE(TRIM(MID(SUBSTITUTE(SUBSTITUTE(SUBSTITUTE(UPPER($P110)," ",""),"C",""),";",REPT(" ",30)),61,30))),0)+IFERROR(VALUE(TRIM(MID(SUBSTITUTE(SUBSTITUTE(SUBSTITUTE(UPPER($P110)," ",""),"C",""),";",REPT(" ",30)),91,30))),0)+IFERROR(VALUE(TRIM(MID(SUBSTITUTE(SUBSTITUTE(SUBSTITUTE(UPPER($P110)," ",""),"C",""),";",REPT(" ",30)),121,30))),0)+IFERROR(VALUE(TRIM(MID(SUBSTITUTE(SUBSTITUTE(SUBSTITUTE(UPPER($P110)," ",""),"C",""),";",REPT(" ",30)),151,30))),0)+IFERROR(VALUE(TRIM(MID(SUBSTITUTE(SUBSTITUTE(SUBSTITUTE(UPPER($P110)," ",""),"C",""),";",REPT(" ",30)),181,30))),0)+IFERROR(VALUE(TRIM(MID(SUBSTITUTE(SUBSTITUTE(SUBSTITUTE(UPPER($P110)," ",""),"C",""),";",REPT(" ",30)),211,30))),0)))))</f>
        <v/>
      </c>
      <c r="S110" s="26" t="n"/>
      <c r="T110" s="6" t="n"/>
      <c r="U110" s="13" t="n"/>
      <c r="V110" s="27">
        <f>IF($C110="","",IF($E110="Falta","-",MAX(0,MIN(10,5+IFERROR(VALUE(TRIM(MID(SUBSTITUTE(SUBSTITUTE(SUBSTITUTE(UPPER($T110)," ",""),"P",""),";",REPT(" ",30)),1,30))),0)+IFERROR(VALUE(TRIM(MID(SUBSTITUTE(SUBSTITUTE(SUBSTITUTE(UPPER($T110)," ",""),"P",""),";",REPT(" ",30)),31,30))),0)+IFERROR(VALUE(TRIM(MID(SUBSTITUTE(SUBSTITUTE(SUBSTITUTE(UPPER($T110)," ",""),"P",""),";",REPT(" ",30)),61,30))),0)+IFERROR(VALUE(TRIM(MID(SUBSTITUTE(SUBSTITUTE(SUBSTITUTE(UPPER($T110)," ",""),"P",""),";",REPT(" ",30)),91,30))),0)+IFERROR(VALUE(TRIM(MID(SUBSTITUTE(SUBSTITUTE(SUBSTITUTE(UPPER($T110)," ",""),"P",""),";",REPT(" ",30)),121,30))),0)+IFERROR(VALUE(TRIM(MID(SUBSTITUTE(SUBSTITUTE(SUBSTITUTE(UPPER($T110)," ",""),"P",""),";",REPT(" ",30)),151,30))),0)+IFERROR(VALUE(TRIM(MID(SUBSTITUTE(SUBSTITUTE(SUBSTITUTE(UPPER($T110)," ",""),"P",""),";",REPT(" ",30)),181,30))),0)+IFERROR(VALUE(TRIM(MID(SUBSTITUTE(SUBSTITUTE(SUBSTITUTE(UPPER($T110)," ",""),"P",""),";",REPT(" ",30)),211,30))),0)))))</f>
        <v/>
      </c>
      <c r="W110" s="26" t="n"/>
      <c r="X110" s="13" t="n"/>
    </row>
    <row r="111">
      <c r="A111" s="6">
        <f>IF($C111="","",22)</f>
        <v/>
      </c>
      <c r="B111" s="6">
        <f>IF($C111="","","3ª Sessão")</f>
        <v/>
      </c>
      <c r="C111" s="6">
        <f>IF(Preenchimento!$B$31="","",Preenchimento!$B$31)</f>
        <v/>
      </c>
      <c r="D111" s="6">
        <f>IF($C111="","",IF(Preenchimento!$C$31="","-",Preenchimento!$C$31))</f>
        <v/>
      </c>
      <c r="E111" s="6" t="n"/>
      <c r="F111" s="6" t="n"/>
      <c r="G111" s="26" t="n"/>
      <c r="H111" s="6" t="n"/>
      <c r="I111" s="13" t="n"/>
      <c r="J111" s="27">
        <f>IF($C111="","",IF($E111="Falta","-",MAX(0,MIN(10,8+IFERROR(VALUE(TRIM(MID(SUBSTITUTE(SUBSTITUTE(SUBSTITUTE(UPPER($H111)," ",""),"D",""),";",REPT(" ",30)),1,30))),0)+IFERROR(VALUE(TRIM(MID(SUBSTITUTE(SUBSTITUTE(SUBSTITUTE(UPPER($H111)," ",""),"D",""),";",REPT(" ",30)),31,30))),0)+IFERROR(VALUE(TRIM(MID(SUBSTITUTE(SUBSTITUTE(SUBSTITUTE(UPPER($H111)," ",""),"D",""),";",REPT(" ",30)),61,30))),0)+IFERROR(VALUE(TRIM(MID(SUBSTITUTE(SUBSTITUTE(SUBSTITUTE(UPPER($H111)," ",""),"D",""),";",REPT(" ",30)),91,30))),0)+IFERROR(VALUE(TRIM(MID(SUBSTITUTE(SUBSTITUTE(SUBSTITUTE(UPPER($H111)," ",""),"D",""),";",REPT(" ",30)),121,30))),0)+IFERROR(VALUE(TRIM(MID(SUBSTITUTE(SUBSTITUTE(SUBSTITUTE(UPPER($H111)," ",""),"D",""),";",REPT(" ",30)),151,30))),0)+IFERROR(VALUE(TRIM(MID(SUBSTITUTE(SUBSTITUTE(SUBSTITUTE(UPPER($H111)," ",""),"D",""),";",REPT(" ",30)),181,30))),0)+IFERROR(VALUE(TRIM(MID(SUBSTITUTE(SUBSTITUTE(SUBSTITUTE(UPPER($H111)," ",""),"D",""),";",REPT(" ",30)),211,30))),0)))))</f>
        <v/>
      </c>
      <c r="K111" s="26" t="n"/>
      <c r="L111" s="6" t="n"/>
      <c r="M111" s="13" t="n"/>
      <c r="N111" s="27">
        <f>IF($C111="","",IF($E111="Falta","-",MAX(0,MIN(10,8+IFERROR(VALUE(TRIM(MID(SUBSTITUTE(SUBSTITUTE(SUBSTITUTE(UPPER($L111)," ",""),"F",""),";",REPT(" ",30)),1,30))),0)+IFERROR(VALUE(TRIM(MID(SUBSTITUTE(SUBSTITUTE(SUBSTITUTE(UPPER($L111)," ",""),"F",""),";",REPT(" ",30)),31,30))),0)+IFERROR(VALUE(TRIM(MID(SUBSTITUTE(SUBSTITUTE(SUBSTITUTE(UPPER($L111)," ",""),"F",""),";",REPT(" ",30)),61,30))),0)+IFERROR(VALUE(TRIM(MID(SUBSTITUTE(SUBSTITUTE(SUBSTITUTE(UPPER($L111)," ",""),"F",""),";",REPT(" ",30)),91,30))),0)+IFERROR(VALUE(TRIM(MID(SUBSTITUTE(SUBSTITUTE(SUBSTITUTE(UPPER($L111)," ",""),"F",""),";",REPT(" ",30)),121,30))),0)+IFERROR(VALUE(TRIM(MID(SUBSTITUTE(SUBSTITUTE(SUBSTITUTE(UPPER($L111)," ",""),"F",""),";",REPT(" ",30)),151,30))),0)+IFERROR(VALUE(TRIM(MID(SUBSTITUTE(SUBSTITUTE(SUBSTITUTE(UPPER($L111)," ",""),"F",""),";",REPT(" ",30)),181,30))),0)+IFERROR(VALUE(TRIM(MID(SUBSTITUTE(SUBSTITUTE(SUBSTITUTE(UPPER($L111)," ",""),"F",""),";",REPT(" ",30)),211,30))),0)))))</f>
        <v/>
      </c>
      <c r="O111" s="26" t="n"/>
      <c r="P111" s="6" t="n"/>
      <c r="Q111" s="13" t="n"/>
      <c r="R111" s="27">
        <f>IF($C111="","",IF($E111="Falta","-",MAX(0,MIN(10,5+IFERROR(VALUE(TRIM(MID(SUBSTITUTE(SUBSTITUTE(SUBSTITUTE(UPPER($P111)," ",""),"C",""),";",REPT(" ",30)),1,30))),0)+IFERROR(VALUE(TRIM(MID(SUBSTITUTE(SUBSTITUTE(SUBSTITUTE(UPPER($P111)," ",""),"C",""),";",REPT(" ",30)),31,30))),0)+IFERROR(VALUE(TRIM(MID(SUBSTITUTE(SUBSTITUTE(SUBSTITUTE(UPPER($P111)," ",""),"C",""),";",REPT(" ",30)),61,30))),0)+IFERROR(VALUE(TRIM(MID(SUBSTITUTE(SUBSTITUTE(SUBSTITUTE(UPPER($P111)," ",""),"C",""),";",REPT(" ",30)),91,30))),0)+IFERROR(VALUE(TRIM(MID(SUBSTITUTE(SUBSTITUTE(SUBSTITUTE(UPPER($P111)," ",""),"C",""),";",REPT(" ",30)),121,30))),0)+IFERROR(VALUE(TRIM(MID(SUBSTITUTE(SUBSTITUTE(SUBSTITUTE(UPPER($P111)," ",""),"C",""),";",REPT(" ",30)),151,30))),0)+IFERROR(VALUE(TRIM(MID(SUBSTITUTE(SUBSTITUTE(SUBSTITUTE(UPPER($P111)," ",""),"C",""),";",REPT(" ",30)),181,30))),0)+IFERROR(VALUE(TRIM(MID(SUBSTITUTE(SUBSTITUTE(SUBSTITUTE(UPPER($P111)," ",""),"C",""),";",REPT(" ",30)),211,30))),0)))))</f>
        <v/>
      </c>
      <c r="S111" s="26" t="n"/>
      <c r="T111" s="6" t="n"/>
      <c r="U111" s="13" t="n"/>
      <c r="V111" s="27">
        <f>IF($C111="","",IF($E111="Falta","-",MAX(0,MIN(10,5+IFERROR(VALUE(TRIM(MID(SUBSTITUTE(SUBSTITUTE(SUBSTITUTE(UPPER($T111)," ",""),"P",""),";",REPT(" ",30)),1,30))),0)+IFERROR(VALUE(TRIM(MID(SUBSTITUTE(SUBSTITUTE(SUBSTITUTE(UPPER($T111)," ",""),"P",""),";",REPT(" ",30)),31,30))),0)+IFERROR(VALUE(TRIM(MID(SUBSTITUTE(SUBSTITUTE(SUBSTITUTE(UPPER($T111)," ",""),"P",""),";",REPT(" ",30)),61,30))),0)+IFERROR(VALUE(TRIM(MID(SUBSTITUTE(SUBSTITUTE(SUBSTITUTE(UPPER($T111)," ",""),"P",""),";",REPT(" ",30)),91,30))),0)+IFERROR(VALUE(TRIM(MID(SUBSTITUTE(SUBSTITUTE(SUBSTITUTE(UPPER($T111)," ",""),"P",""),";",REPT(" ",30)),121,30))),0)+IFERROR(VALUE(TRIM(MID(SUBSTITUTE(SUBSTITUTE(SUBSTITUTE(UPPER($T111)," ",""),"P",""),";",REPT(" ",30)),151,30))),0)+IFERROR(VALUE(TRIM(MID(SUBSTITUTE(SUBSTITUTE(SUBSTITUTE(UPPER($T111)," ",""),"P",""),";",REPT(" ",30)),181,30))),0)+IFERROR(VALUE(TRIM(MID(SUBSTITUTE(SUBSTITUTE(SUBSTITUTE(UPPER($T111)," ",""),"P",""),";",REPT(" ",30)),211,30))),0)))))</f>
        <v/>
      </c>
      <c r="W111" s="26" t="n"/>
      <c r="X111" s="13" t="n"/>
    </row>
    <row r="112">
      <c r="A112" s="6">
        <f>IF($C112="","",22)</f>
        <v/>
      </c>
      <c r="B112" s="6">
        <f>IF($C112="","","4ª Sessão")</f>
        <v/>
      </c>
      <c r="C112" s="6">
        <f>IF(Preenchimento!$B$31="","",Preenchimento!$B$31)</f>
        <v/>
      </c>
      <c r="D112" s="6">
        <f>IF($C112="","",IF(Preenchimento!$C$31="","-",Preenchimento!$C$31))</f>
        <v/>
      </c>
      <c r="E112" s="6" t="n"/>
      <c r="F112" s="6" t="n"/>
      <c r="G112" s="26" t="n"/>
      <c r="H112" s="6" t="n"/>
      <c r="I112" s="13" t="n"/>
      <c r="J112" s="27">
        <f>IF($C112="","",IF($E112="Falta","-",MAX(0,MIN(10,8+IFERROR(VALUE(TRIM(MID(SUBSTITUTE(SUBSTITUTE(SUBSTITUTE(UPPER($H112)," ",""),"D",""),";",REPT(" ",30)),1,30))),0)+IFERROR(VALUE(TRIM(MID(SUBSTITUTE(SUBSTITUTE(SUBSTITUTE(UPPER($H112)," ",""),"D",""),";",REPT(" ",30)),31,30))),0)+IFERROR(VALUE(TRIM(MID(SUBSTITUTE(SUBSTITUTE(SUBSTITUTE(UPPER($H112)," ",""),"D",""),";",REPT(" ",30)),61,30))),0)+IFERROR(VALUE(TRIM(MID(SUBSTITUTE(SUBSTITUTE(SUBSTITUTE(UPPER($H112)," ",""),"D",""),";",REPT(" ",30)),91,30))),0)+IFERROR(VALUE(TRIM(MID(SUBSTITUTE(SUBSTITUTE(SUBSTITUTE(UPPER($H112)," ",""),"D",""),";",REPT(" ",30)),121,30))),0)+IFERROR(VALUE(TRIM(MID(SUBSTITUTE(SUBSTITUTE(SUBSTITUTE(UPPER($H112)," ",""),"D",""),";",REPT(" ",30)),151,30))),0)+IFERROR(VALUE(TRIM(MID(SUBSTITUTE(SUBSTITUTE(SUBSTITUTE(UPPER($H112)," ",""),"D",""),";",REPT(" ",30)),181,30))),0)+IFERROR(VALUE(TRIM(MID(SUBSTITUTE(SUBSTITUTE(SUBSTITUTE(UPPER($H112)," ",""),"D",""),";",REPT(" ",30)),211,30))),0)))))</f>
        <v/>
      </c>
      <c r="K112" s="26" t="n"/>
      <c r="L112" s="6" t="n"/>
      <c r="M112" s="13" t="n"/>
      <c r="N112" s="27">
        <f>IF($C112="","",IF($E112="Falta","-",MAX(0,MIN(10,8+IFERROR(VALUE(TRIM(MID(SUBSTITUTE(SUBSTITUTE(SUBSTITUTE(UPPER($L112)," ",""),"F",""),";",REPT(" ",30)),1,30))),0)+IFERROR(VALUE(TRIM(MID(SUBSTITUTE(SUBSTITUTE(SUBSTITUTE(UPPER($L112)," ",""),"F",""),";",REPT(" ",30)),31,30))),0)+IFERROR(VALUE(TRIM(MID(SUBSTITUTE(SUBSTITUTE(SUBSTITUTE(UPPER($L112)," ",""),"F",""),";",REPT(" ",30)),61,30))),0)+IFERROR(VALUE(TRIM(MID(SUBSTITUTE(SUBSTITUTE(SUBSTITUTE(UPPER($L112)," ",""),"F",""),";",REPT(" ",30)),91,30))),0)+IFERROR(VALUE(TRIM(MID(SUBSTITUTE(SUBSTITUTE(SUBSTITUTE(UPPER($L112)," ",""),"F",""),";",REPT(" ",30)),121,30))),0)+IFERROR(VALUE(TRIM(MID(SUBSTITUTE(SUBSTITUTE(SUBSTITUTE(UPPER($L112)," ",""),"F",""),";",REPT(" ",30)),151,30))),0)+IFERROR(VALUE(TRIM(MID(SUBSTITUTE(SUBSTITUTE(SUBSTITUTE(UPPER($L112)," ",""),"F",""),";",REPT(" ",30)),181,30))),0)+IFERROR(VALUE(TRIM(MID(SUBSTITUTE(SUBSTITUTE(SUBSTITUTE(UPPER($L112)," ",""),"F",""),";",REPT(" ",30)),211,30))),0)))))</f>
        <v/>
      </c>
      <c r="O112" s="26" t="n"/>
      <c r="P112" s="6" t="n"/>
      <c r="Q112" s="13" t="n"/>
      <c r="R112" s="27">
        <f>IF($C112="","",IF($E112="Falta","-",MAX(0,MIN(10,5+IFERROR(VALUE(TRIM(MID(SUBSTITUTE(SUBSTITUTE(SUBSTITUTE(UPPER($P112)," ",""),"C",""),";",REPT(" ",30)),1,30))),0)+IFERROR(VALUE(TRIM(MID(SUBSTITUTE(SUBSTITUTE(SUBSTITUTE(UPPER($P112)," ",""),"C",""),";",REPT(" ",30)),31,30))),0)+IFERROR(VALUE(TRIM(MID(SUBSTITUTE(SUBSTITUTE(SUBSTITUTE(UPPER($P112)," ",""),"C",""),";",REPT(" ",30)),61,30))),0)+IFERROR(VALUE(TRIM(MID(SUBSTITUTE(SUBSTITUTE(SUBSTITUTE(UPPER($P112)," ",""),"C",""),";",REPT(" ",30)),91,30))),0)+IFERROR(VALUE(TRIM(MID(SUBSTITUTE(SUBSTITUTE(SUBSTITUTE(UPPER($P112)," ",""),"C",""),";",REPT(" ",30)),121,30))),0)+IFERROR(VALUE(TRIM(MID(SUBSTITUTE(SUBSTITUTE(SUBSTITUTE(UPPER($P112)," ",""),"C",""),";",REPT(" ",30)),151,30))),0)+IFERROR(VALUE(TRIM(MID(SUBSTITUTE(SUBSTITUTE(SUBSTITUTE(UPPER($P112)," ",""),"C",""),";",REPT(" ",30)),181,30))),0)+IFERROR(VALUE(TRIM(MID(SUBSTITUTE(SUBSTITUTE(SUBSTITUTE(UPPER($P112)," ",""),"C",""),";",REPT(" ",30)),211,30))),0)))))</f>
        <v/>
      </c>
      <c r="S112" s="26" t="n"/>
      <c r="T112" s="6" t="n"/>
      <c r="U112" s="13" t="n"/>
      <c r="V112" s="27">
        <f>IF($C112="","",IF($E112="Falta","-",MAX(0,MIN(10,5+IFERROR(VALUE(TRIM(MID(SUBSTITUTE(SUBSTITUTE(SUBSTITUTE(UPPER($T112)," ",""),"P",""),";",REPT(" ",30)),1,30))),0)+IFERROR(VALUE(TRIM(MID(SUBSTITUTE(SUBSTITUTE(SUBSTITUTE(UPPER($T112)," ",""),"P",""),";",REPT(" ",30)),31,30))),0)+IFERROR(VALUE(TRIM(MID(SUBSTITUTE(SUBSTITUTE(SUBSTITUTE(UPPER($T112)," ",""),"P",""),";",REPT(" ",30)),61,30))),0)+IFERROR(VALUE(TRIM(MID(SUBSTITUTE(SUBSTITUTE(SUBSTITUTE(UPPER($T112)," ",""),"P",""),";",REPT(" ",30)),91,30))),0)+IFERROR(VALUE(TRIM(MID(SUBSTITUTE(SUBSTITUTE(SUBSTITUTE(UPPER($T112)," ",""),"P",""),";",REPT(" ",30)),121,30))),0)+IFERROR(VALUE(TRIM(MID(SUBSTITUTE(SUBSTITUTE(SUBSTITUTE(UPPER($T112)," ",""),"P",""),";",REPT(" ",30)),151,30))),0)+IFERROR(VALUE(TRIM(MID(SUBSTITUTE(SUBSTITUTE(SUBSTITUTE(UPPER($T112)," ",""),"P",""),";",REPT(" ",30)),181,30))),0)+IFERROR(VALUE(TRIM(MID(SUBSTITUTE(SUBSTITUTE(SUBSTITUTE(UPPER($T112)," ",""),"P",""),";",REPT(" ",30)),211,30))),0)))))</f>
        <v/>
      </c>
      <c r="W112" s="26" t="n"/>
      <c r="X112" s="13" t="n"/>
    </row>
    <row r="113">
      <c r="A113" s="6">
        <f>IF($C113="","",22)</f>
        <v/>
      </c>
      <c r="B113" s="6">
        <f>IF($C113="","","5ª Sessão")</f>
        <v/>
      </c>
      <c r="C113" s="6">
        <f>IF(Preenchimento!$B$31="","",Preenchimento!$B$31)</f>
        <v/>
      </c>
      <c r="D113" s="6">
        <f>IF($C113="","",IF(Preenchimento!$C$31="","-",Preenchimento!$C$31))</f>
        <v/>
      </c>
      <c r="E113" s="6" t="n"/>
      <c r="F113" s="6" t="n"/>
      <c r="G113" s="26" t="n"/>
      <c r="H113" s="6" t="n"/>
      <c r="I113" s="13" t="n"/>
      <c r="J113" s="27">
        <f>IF($C113="","",IF($E113="Falta","-",MAX(0,MIN(10,8+IFERROR(VALUE(TRIM(MID(SUBSTITUTE(SUBSTITUTE(SUBSTITUTE(UPPER($H113)," ",""),"D",""),";",REPT(" ",30)),1,30))),0)+IFERROR(VALUE(TRIM(MID(SUBSTITUTE(SUBSTITUTE(SUBSTITUTE(UPPER($H113)," ",""),"D",""),";",REPT(" ",30)),31,30))),0)+IFERROR(VALUE(TRIM(MID(SUBSTITUTE(SUBSTITUTE(SUBSTITUTE(UPPER($H113)," ",""),"D",""),";",REPT(" ",30)),61,30))),0)+IFERROR(VALUE(TRIM(MID(SUBSTITUTE(SUBSTITUTE(SUBSTITUTE(UPPER($H113)," ",""),"D",""),";",REPT(" ",30)),91,30))),0)+IFERROR(VALUE(TRIM(MID(SUBSTITUTE(SUBSTITUTE(SUBSTITUTE(UPPER($H113)," ",""),"D",""),";",REPT(" ",30)),121,30))),0)+IFERROR(VALUE(TRIM(MID(SUBSTITUTE(SUBSTITUTE(SUBSTITUTE(UPPER($H113)," ",""),"D",""),";",REPT(" ",30)),151,30))),0)+IFERROR(VALUE(TRIM(MID(SUBSTITUTE(SUBSTITUTE(SUBSTITUTE(UPPER($H113)," ",""),"D",""),";",REPT(" ",30)),181,30))),0)+IFERROR(VALUE(TRIM(MID(SUBSTITUTE(SUBSTITUTE(SUBSTITUTE(UPPER($H113)," ",""),"D",""),";",REPT(" ",30)),211,30))),0)))))</f>
        <v/>
      </c>
      <c r="K113" s="26" t="n"/>
      <c r="L113" s="6" t="n"/>
      <c r="M113" s="13" t="n"/>
      <c r="N113" s="27">
        <f>IF($C113="","",IF($E113="Falta","-",MAX(0,MIN(10,8+IFERROR(VALUE(TRIM(MID(SUBSTITUTE(SUBSTITUTE(SUBSTITUTE(UPPER($L113)," ",""),"F",""),";",REPT(" ",30)),1,30))),0)+IFERROR(VALUE(TRIM(MID(SUBSTITUTE(SUBSTITUTE(SUBSTITUTE(UPPER($L113)," ",""),"F",""),";",REPT(" ",30)),31,30))),0)+IFERROR(VALUE(TRIM(MID(SUBSTITUTE(SUBSTITUTE(SUBSTITUTE(UPPER($L113)," ",""),"F",""),";",REPT(" ",30)),61,30))),0)+IFERROR(VALUE(TRIM(MID(SUBSTITUTE(SUBSTITUTE(SUBSTITUTE(UPPER($L113)," ",""),"F",""),";",REPT(" ",30)),91,30))),0)+IFERROR(VALUE(TRIM(MID(SUBSTITUTE(SUBSTITUTE(SUBSTITUTE(UPPER($L113)," ",""),"F",""),";",REPT(" ",30)),121,30))),0)+IFERROR(VALUE(TRIM(MID(SUBSTITUTE(SUBSTITUTE(SUBSTITUTE(UPPER($L113)," ",""),"F",""),";",REPT(" ",30)),151,30))),0)+IFERROR(VALUE(TRIM(MID(SUBSTITUTE(SUBSTITUTE(SUBSTITUTE(UPPER($L113)," ",""),"F",""),";",REPT(" ",30)),181,30))),0)+IFERROR(VALUE(TRIM(MID(SUBSTITUTE(SUBSTITUTE(SUBSTITUTE(UPPER($L113)," ",""),"F",""),";",REPT(" ",30)),211,30))),0)))))</f>
        <v/>
      </c>
      <c r="O113" s="26" t="n"/>
      <c r="P113" s="6" t="n"/>
      <c r="Q113" s="13" t="n"/>
      <c r="R113" s="27">
        <f>IF($C113="","",IF($E113="Falta","-",MAX(0,MIN(10,5+IFERROR(VALUE(TRIM(MID(SUBSTITUTE(SUBSTITUTE(SUBSTITUTE(UPPER($P113)," ",""),"C",""),";",REPT(" ",30)),1,30))),0)+IFERROR(VALUE(TRIM(MID(SUBSTITUTE(SUBSTITUTE(SUBSTITUTE(UPPER($P113)," ",""),"C",""),";",REPT(" ",30)),31,30))),0)+IFERROR(VALUE(TRIM(MID(SUBSTITUTE(SUBSTITUTE(SUBSTITUTE(UPPER($P113)," ",""),"C",""),";",REPT(" ",30)),61,30))),0)+IFERROR(VALUE(TRIM(MID(SUBSTITUTE(SUBSTITUTE(SUBSTITUTE(UPPER($P113)," ",""),"C",""),";",REPT(" ",30)),91,30))),0)+IFERROR(VALUE(TRIM(MID(SUBSTITUTE(SUBSTITUTE(SUBSTITUTE(UPPER($P113)," ",""),"C",""),";",REPT(" ",30)),121,30))),0)+IFERROR(VALUE(TRIM(MID(SUBSTITUTE(SUBSTITUTE(SUBSTITUTE(UPPER($P113)," ",""),"C",""),";",REPT(" ",30)),151,30))),0)+IFERROR(VALUE(TRIM(MID(SUBSTITUTE(SUBSTITUTE(SUBSTITUTE(UPPER($P113)," ",""),"C",""),";",REPT(" ",30)),181,30))),0)+IFERROR(VALUE(TRIM(MID(SUBSTITUTE(SUBSTITUTE(SUBSTITUTE(UPPER($P113)," ",""),"C",""),";",REPT(" ",30)),211,30))),0)))))</f>
        <v/>
      </c>
      <c r="S113" s="26" t="n"/>
      <c r="T113" s="6" t="n"/>
      <c r="U113" s="13" t="n"/>
      <c r="V113" s="27">
        <f>IF($C113="","",IF($E113="Falta","-",MAX(0,MIN(10,5+IFERROR(VALUE(TRIM(MID(SUBSTITUTE(SUBSTITUTE(SUBSTITUTE(UPPER($T113)," ",""),"P",""),";",REPT(" ",30)),1,30))),0)+IFERROR(VALUE(TRIM(MID(SUBSTITUTE(SUBSTITUTE(SUBSTITUTE(UPPER($T113)," ",""),"P",""),";",REPT(" ",30)),31,30))),0)+IFERROR(VALUE(TRIM(MID(SUBSTITUTE(SUBSTITUTE(SUBSTITUTE(UPPER($T113)," ",""),"P",""),";",REPT(" ",30)),61,30))),0)+IFERROR(VALUE(TRIM(MID(SUBSTITUTE(SUBSTITUTE(SUBSTITUTE(UPPER($T113)," ",""),"P",""),";",REPT(" ",30)),91,30))),0)+IFERROR(VALUE(TRIM(MID(SUBSTITUTE(SUBSTITUTE(SUBSTITUTE(UPPER($T113)," ",""),"P",""),";",REPT(" ",30)),121,30))),0)+IFERROR(VALUE(TRIM(MID(SUBSTITUTE(SUBSTITUTE(SUBSTITUTE(UPPER($T113)," ",""),"P",""),";",REPT(" ",30)),151,30))),0)+IFERROR(VALUE(TRIM(MID(SUBSTITUTE(SUBSTITUTE(SUBSTITUTE(UPPER($T113)," ",""),"P",""),";",REPT(" ",30)),181,30))),0)+IFERROR(VALUE(TRIM(MID(SUBSTITUTE(SUBSTITUTE(SUBSTITUTE(UPPER($T113)," ",""),"P",""),";",REPT(" ",30)),211,30))),0)))))</f>
        <v/>
      </c>
      <c r="W113" s="26" t="n"/>
      <c r="X113" s="13" t="n"/>
    </row>
    <row r="114">
      <c r="A114" s="8">
        <f>IF($C114="","",23)</f>
        <v/>
      </c>
      <c r="B114" s="8">
        <f>IF($C114="","","1ª Sessão")</f>
        <v/>
      </c>
      <c r="C114" s="8">
        <f>IF(Preenchimento!$B$32="","",Preenchimento!$B$32)</f>
        <v/>
      </c>
      <c r="D114" s="8">
        <f>IF($C114="","",IF(Preenchimento!$C$32="","-",Preenchimento!$C$32))</f>
        <v/>
      </c>
      <c r="E114" s="8" t="n"/>
      <c r="F114" s="8" t="n"/>
      <c r="G114" s="24" t="n"/>
      <c r="H114" s="8" t="n"/>
      <c r="I114" s="14" t="n"/>
      <c r="J114" s="25">
        <f>IF($C114="","",IF($E114="Falta","-",MAX(0,MIN(10,8+IFERROR(VALUE(TRIM(MID(SUBSTITUTE(SUBSTITUTE(SUBSTITUTE(UPPER($H114)," ",""),"D",""),";",REPT(" ",30)),1,30))),0)+IFERROR(VALUE(TRIM(MID(SUBSTITUTE(SUBSTITUTE(SUBSTITUTE(UPPER($H114)," ",""),"D",""),";",REPT(" ",30)),31,30))),0)+IFERROR(VALUE(TRIM(MID(SUBSTITUTE(SUBSTITUTE(SUBSTITUTE(UPPER($H114)," ",""),"D",""),";",REPT(" ",30)),61,30))),0)+IFERROR(VALUE(TRIM(MID(SUBSTITUTE(SUBSTITUTE(SUBSTITUTE(UPPER($H114)," ",""),"D",""),";",REPT(" ",30)),91,30))),0)+IFERROR(VALUE(TRIM(MID(SUBSTITUTE(SUBSTITUTE(SUBSTITUTE(UPPER($H114)," ",""),"D",""),";",REPT(" ",30)),121,30))),0)+IFERROR(VALUE(TRIM(MID(SUBSTITUTE(SUBSTITUTE(SUBSTITUTE(UPPER($H114)," ",""),"D",""),";",REPT(" ",30)),151,30))),0)+IFERROR(VALUE(TRIM(MID(SUBSTITUTE(SUBSTITUTE(SUBSTITUTE(UPPER($H114)," ",""),"D",""),";",REPT(" ",30)),181,30))),0)+IFERROR(VALUE(TRIM(MID(SUBSTITUTE(SUBSTITUTE(SUBSTITUTE(UPPER($H114)," ",""),"D",""),";",REPT(" ",30)),211,30))),0)))))</f>
        <v/>
      </c>
      <c r="K114" s="24" t="n"/>
      <c r="L114" s="8" t="n"/>
      <c r="M114" s="14" t="n"/>
      <c r="N114" s="25">
        <f>IF($C114="","",IF($E114="Falta","-",MAX(0,MIN(10,8+IFERROR(VALUE(TRIM(MID(SUBSTITUTE(SUBSTITUTE(SUBSTITUTE(UPPER($L114)," ",""),"F",""),";",REPT(" ",30)),1,30))),0)+IFERROR(VALUE(TRIM(MID(SUBSTITUTE(SUBSTITUTE(SUBSTITUTE(UPPER($L114)," ",""),"F",""),";",REPT(" ",30)),31,30))),0)+IFERROR(VALUE(TRIM(MID(SUBSTITUTE(SUBSTITUTE(SUBSTITUTE(UPPER($L114)," ",""),"F",""),";",REPT(" ",30)),61,30))),0)+IFERROR(VALUE(TRIM(MID(SUBSTITUTE(SUBSTITUTE(SUBSTITUTE(UPPER($L114)," ",""),"F",""),";",REPT(" ",30)),91,30))),0)+IFERROR(VALUE(TRIM(MID(SUBSTITUTE(SUBSTITUTE(SUBSTITUTE(UPPER($L114)," ",""),"F",""),";",REPT(" ",30)),121,30))),0)+IFERROR(VALUE(TRIM(MID(SUBSTITUTE(SUBSTITUTE(SUBSTITUTE(UPPER($L114)," ",""),"F",""),";",REPT(" ",30)),151,30))),0)+IFERROR(VALUE(TRIM(MID(SUBSTITUTE(SUBSTITUTE(SUBSTITUTE(UPPER($L114)," ",""),"F",""),";",REPT(" ",30)),181,30))),0)+IFERROR(VALUE(TRIM(MID(SUBSTITUTE(SUBSTITUTE(SUBSTITUTE(UPPER($L114)," ",""),"F",""),";",REPT(" ",30)),211,30))),0)))))</f>
        <v/>
      </c>
      <c r="O114" s="24" t="n"/>
      <c r="P114" s="8" t="n"/>
      <c r="Q114" s="14" t="n"/>
      <c r="R114" s="25">
        <f>IF($C114="","",IF($E114="Falta","-",MAX(0,MIN(10,5+IFERROR(VALUE(TRIM(MID(SUBSTITUTE(SUBSTITUTE(SUBSTITUTE(UPPER($P114)," ",""),"C",""),";",REPT(" ",30)),1,30))),0)+IFERROR(VALUE(TRIM(MID(SUBSTITUTE(SUBSTITUTE(SUBSTITUTE(UPPER($P114)," ",""),"C",""),";",REPT(" ",30)),31,30))),0)+IFERROR(VALUE(TRIM(MID(SUBSTITUTE(SUBSTITUTE(SUBSTITUTE(UPPER($P114)," ",""),"C",""),";",REPT(" ",30)),61,30))),0)+IFERROR(VALUE(TRIM(MID(SUBSTITUTE(SUBSTITUTE(SUBSTITUTE(UPPER($P114)," ",""),"C",""),";",REPT(" ",30)),91,30))),0)+IFERROR(VALUE(TRIM(MID(SUBSTITUTE(SUBSTITUTE(SUBSTITUTE(UPPER($P114)," ",""),"C",""),";",REPT(" ",30)),121,30))),0)+IFERROR(VALUE(TRIM(MID(SUBSTITUTE(SUBSTITUTE(SUBSTITUTE(UPPER($P114)," ",""),"C",""),";",REPT(" ",30)),151,30))),0)+IFERROR(VALUE(TRIM(MID(SUBSTITUTE(SUBSTITUTE(SUBSTITUTE(UPPER($P114)," ",""),"C",""),";",REPT(" ",30)),181,30))),0)+IFERROR(VALUE(TRIM(MID(SUBSTITUTE(SUBSTITUTE(SUBSTITUTE(UPPER($P114)," ",""),"C",""),";",REPT(" ",30)),211,30))),0)))))</f>
        <v/>
      </c>
      <c r="S114" s="24" t="n"/>
      <c r="T114" s="8" t="n"/>
      <c r="U114" s="14" t="n"/>
      <c r="V114" s="25">
        <f>IF($C114="","",IF($E114="Falta","-",MAX(0,MIN(10,5+IFERROR(VALUE(TRIM(MID(SUBSTITUTE(SUBSTITUTE(SUBSTITUTE(UPPER($T114)," ",""),"P",""),";",REPT(" ",30)),1,30))),0)+IFERROR(VALUE(TRIM(MID(SUBSTITUTE(SUBSTITUTE(SUBSTITUTE(UPPER($T114)," ",""),"P",""),";",REPT(" ",30)),31,30))),0)+IFERROR(VALUE(TRIM(MID(SUBSTITUTE(SUBSTITUTE(SUBSTITUTE(UPPER($T114)," ",""),"P",""),";",REPT(" ",30)),61,30))),0)+IFERROR(VALUE(TRIM(MID(SUBSTITUTE(SUBSTITUTE(SUBSTITUTE(UPPER($T114)," ",""),"P",""),";",REPT(" ",30)),91,30))),0)+IFERROR(VALUE(TRIM(MID(SUBSTITUTE(SUBSTITUTE(SUBSTITUTE(UPPER($T114)," ",""),"P",""),";",REPT(" ",30)),121,30))),0)+IFERROR(VALUE(TRIM(MID(SUBSTITUTE(SUBSTITUTE(SUBSTITUTE(UPPER($T114)," ",""),"P",""),";",REPT(" ",30)),151,30))),0)+IFERROR(VALUE(TRIM(MID(SUBSTITUTE(SUBSTITUTE(SUBSTITUTE(UPPER($T114)," ",""),"P",""),";",REPT(" ",30)),181,30))),0)+IFERROR(VALUE(TRIM(MID(SUBSTITUTE(SUBSTITUTE(SUBSTITUTE(UPPER($T114)," ",""),"P",""),";",REPT(" ",30)),211,30))),0)))))</f>
        <v/>
      </c>
      <c r="W114" s="24" t="n"/>
      <c r="X114" s="14" t="n"/>
    </row>
    <row r="115">
      <c r="A115" s="8">
        <f>IF($C115="","",23)</f>
        <v/>
      </c>
      <c r="B115" s="8">
        <f>IF($C115="","","2ª Sessão")</f>
        <v/>
      </c>
      <c r="C115" s="8">
        <f>IF(Preenchimento!$B$32="","",Preenchimento!$B$32)</f>
        <v/>
      </c>
      <c r="D115" s="8">
        <f>IF($C115="","",IF(Preenchimento!$C$32="","-",Preenchimento!$C$32))</f>
        <v/>
      </c>
      <c r="E115" s="8" t="n"/>
      <c r="F115" s="8" t="n"/>
      <c r="G115" s="24" t="n"/>
      <c r="H115" s="8" t="n"/>
      <c r="I115" s="14" t="n"/>
      <c r="J115" s="25">
        <f>IF($C115="","",IF($E115="Falta","-",MAX(0,MIN(10,8+IFERROR(VALUE(TRIM(MID(SUBSTITUTE(SUBSTITUTE(SUBSTITUTE(UPPER($H115)," ",""),"D",""),";",REPT(" ",30)),1,30))),0)+IFERROR(VALUE(TRIM(MID(SUBSTITUTE(SUBSTITUTE(SUBSTITUTE(UPPER($H115)," ",""),"D",""),";",REPT(" ",30)),31,30))),0)+IFERROR(VALUE(TRIM(MID(SUBSTITUTE(SUBSTITUTE(SUBSTITUTE(UPPER($H115)," ",""),"D",""),";",REPT(" ",30)),61,30))),0)+IFERROR(VALUE(TRIM(MID(SUBSTITUTE(SUBSTITUTE(SUBSTITUTE(UPPER($H115)," ",""),"D",""),";",REPT(" ",30)),91,30))),0)+IFERROR(VALUE(TRIM(MID(SUBSTITUTE(SUBSTITUTE(SUBSTITUTE(UPPER($H115)," ",""),"D",""),";",REPT(" ",30)),121,30))),0)+IFERROR(VALUE(TRIM(MID(SUBSTITUTE(SUBSTITUTE(SUBSTITUTE(UPPER($H115)," ",""),"D",""),";",REPT(" ",30)),151,30))),0)+IFERROR(VALUE(TRIM(MID(SUBSTITUTE(SUBSTITUTE(SUBSTITUTE(UPPER($H115)," ",""),"D",""),";",REPT(" ",30)),181,30))),0)+IFERROR(VALUE(TRIM(MID(SUBSTITUTE(SUBSTITUTE(SUBSTITUTE(UPPER($H115)," ",""),"D",""),";",REPT(" ",30)),211,30))),0)))))</f>
        <v/>
      </c>
      <c r="K115" s="24" t="n"/>
      <c r="L115" s="8" t="n"/>
      <c r="M115" s="14" t="n"/>
      <c r="N115" s="25">
        <f>IF($C115="","",IF($E115="Falta","-",MAX(0,MIN(10,8+IFERROR(VALUE(TRIM(MID(SUBSTITUTE(SUBSTITUTE(SUBSTITUTE(UPPER($L115)," ",""),"F",""),";",REPT(" ",30)),1,30))),0)+IFERROR(VALUE(TRIM(MID(SUBSTITUTE(SUBSTITUTE(SUBSTITUTE(UPPER($L115)," ",""),"F",""),";",REPT(" ",30)),31,30))),0)+IFERROR(VALUE(TRIM(MID(SUBSTITUTE(SUBSTITUTE(SUBSTITUTE(UPPER($L115)," ",""),"F",""),";",REPT(" ",30)),61,30))),0)+IFERROR(VALUE(TRIM(MID(SUBSTITUTE(SUBSTITUTE(SUBSTITUTE(UPPER($L115)," ",""),"F",""),";",REPT(" ",30)),91,30))),0)+IFERROR(VALUE(TRIM(MID(SUBSTITUTE(SUBSTITUTE(SUBSTITUTE(UPPER($L115)," ",""),"F",""),";",REPT(" ",30)),121,30))),0)+IFERROR(VALUE(TRIM(MID(SUBSTITUTE(SUBSTITUTE(SUBSTITUTE(UPPER($L115)," ",""),"F",""),";",REPT(" ",30)),151,30))),0)+IFERROR(VALUE(TRIM(MID(SUBSTITUTE(SUBSTITUTE(SUBSTITUTE(UPPER($L115)," ",""),"F",""),";",REPT(" ",30)),181,30))),0)+IFERROR(VALUE(TRIM(MID(SUBSTITUTE(SUBSTITUTE(SUBSTITUTE(UPPER($L115)," ",""),"F",""),";",REPT(" ",30)),211,30))),0)))))</f>
        <v/>
      </c>
      <c r="O115" s="24" t="n"/>
      <c r="P115" s="8" t="n"/>
      <c r="Q115" s="14" t="n"/>
      <c r="R115" s="25">
        <f>IF($C115="","",IF($E115="Falta","-",MAX(0,MIN(10,5+IFERROR(VALUE(TRIM(MID(SUBSTITUTE(SUBSTITUTE(SUBSTITUTE(UPPER($P115)," ",""),"C",""),";",REPT(" ",30)),1,30))),0)+IFERROR(VALUE(TRIM(MID(SUBSTITUTE(SUBSTITUTE(SUBSTITUTE(UPPER($P115)," ",""),"C",""),";",REPT(" ",30)),31,30))),0)+IFERROR(VALUE(TRIM(MID(SUBSTITUTE(SUBSTITUTE(SUBSTITUTE(UPPER($P115)," ",""),"C",""),";",REPT(" ",30)),61,30))),0)+IFERROR(VALUE(TRIM(MID(SUBSTITUTE(SUBSTITUTE(SUBSTITUTE(UPPER($P115)," ",""),"C",""),";",REPT(" ",30)),91,30))),0)+IFERROR(VALUE(TRIM(MID(SUBSTITUTE(SUBSTITUTE(SUBSTITUTE(UPPER($P115)," ",""),"C",""),";",REPT(" ",30)),121,30))),0)+IFERROR(VALUE(TRIM(MID(SUBSTITUTE(SUBSTITUTE(SUBSTITUTE(UPPER($P115)," ",""),"C",""),";",REPT(" ",30)),151,30))),0)+IFERROR(VALUE(TRIM(MID(SUBSTITUTE(SUBSTITUTE(SUBSTITUTE(UPPER($P115)," ",""),"C",""),";",REPT(" ",30)),181,30))),0)+IFERROR(VALUE(TRIM(MID(SUBSTITUTE(SUBSTITUTE(SUBSTITUTE(UPPER($P115)," ",""),"C",""),";",REPT(" ",30)),211,30))),0)))))</f>
        <v/>
      </c>
      <c r="S115" s="24" t="n"/>
      <c r="T115" s="8" t="n"/>
      <c r="U115" s="14" t="n"/>
      <c r="V115" s="25">
        <f>IF($C115="","",IF($E115="Falta","-",MAX(0,MIN(10,5+IFERROR(VALUE(TRIM(MID(SUBSTITUTE(SUBSTITUTE(SUBSTITUTE(UPPER($T115)," ",""),"P",""),";",REPT(" ",30)),1,30))),0)+IFERROR(VALUE(TRIM(MID(SUBSTITUTE(SUBSTITUTE(SUBSTITUTE(UPPER($T115)," ",""),"P",""),";",REPT(" ",30)),31,30))),0)+IFERROR(VALUE(TRIM(MID(SUBSTITUTE(SUBSTITUTE(SUBSTITUTE(UPPER($T115)," ",""),"P",""),";",REPT(" ",30)),61,30))),0)+IFERROR(VALUE(TRIM(MID(SUBSTITUTE(SUBSTITUTE(SUBSTITUTE(UPPER($T115)," ",""),"P",""),";",REPT(" ",30)),91,30))),0)+IFERROR(VALUE(TRIM(MID(SUBSTITUTE(SUBSTITUTE(SUBSTITUTE(UPPER($T115)," ",""),"P",""),";",REPT(" ",30)),121,30))),0)+IFERROR(VALUE(TRIM(MID(SUBSTITUTE(SUBSTITUTE(SUBSTITUTE(UPPER($T115)," ",""),"P",""),";",REPT(" ",30)),151,30))),0)+IFERROR(VALUE(TRIM(MID(SUBSTITUTE(SUBSTITUTE(SUBSTITUTE(UPPER($T115)," ",""),"P",""),";",REPT(" ",30)),181,30))),0)+IFERROR(VALUE(TRIM(MID(SUBSTITUTE(SUBSTITUTE(SUBSTITUTE(UPPER($T115)," ",""),"P",""),";",REPT(" ",30)),211,30))),0)))))</f>
        <v/>
      </c>
      <c r="W115" s="24" t="n"/>
      <c r="X115" s="14" t="n"/>
    </row>
    <row r="116">
      <c r="A116" s="8">
        <f>IF($C116="","",23)</f>
        <v/>
      </c>
      <c r="B116" s="8">
        <f>IF($C116="","","3ª Sessão")</f>
        <v/>
      </c>
      <c r="C116" s="8">
        <f>IF(Preenchimento!$B$32="","",Preenchimento!$B$32)</f>
        <v/>
      </c>
      <c r="D116" s="8">
        <f>IF($C116="","",IF(Preenchimento!$C$32="","-",Preenchimento!$C$32))</f>
        <v/>
      </c>
      <c r="E116" s="8" t="n"/>
      <c r="F116" s="8" t="n"/>
      <c r="G116" s="24" t="n"/>
      <c r="H116" s="8" t="n"/>
      <c r="I116" s="14" t="n"/>
      <c r="J116" s="25">
        <f>IF($C116="","",IF($E116="Falta","-",MAX(0,MIN(10,8+IFERROR(VALUE(TRIM(MID(SUBSTITUTE(SUBSTITUTE(SUBSTITUTE(UPPER($H116)," ",""),"D",""),";",REPT(" ",30)),1,30))),0)+IFERROR(VALUE(TRIM(MID(SUBSTITUTE(SUBSTITUTE(SUBSTITUTE(UPPER($H116)," ",""),"D",""),";",REPT(" ",30)),31,30))),0)+IFERROR(VALUE(TRIM(MID(SUBSTITUTE(SUBSTITUTE(SUBSTITUTE(UPPER($H116)," ",""),"D",""),";",REPT(" ",30)),61,30))),0)+IFERROR(VALUE(TRIM(MID(SUBSTITUTE(SUBSTITUTE(SUBSTITUTE(UPPER($H116)," ",""),"D",""),";",REPT(" ",30)),91,30))),0)+IFERROR(VALUE(TRIM(MID(SUBSTITUTE(SUBSTITUTE(SUBSTITUTE(UPPER($H116)," ",""),"D",""),";",REPT(" ",30)),121,30))),0)+IFERROR(VALUE(TRIM(MID(SUBSTITUTE(SUBSTITUTE(SUBSTITUTE(UPPER($H116)," ",""),"D",""),";",REPT(" ",30)),151,30))),0)+IFERROR(VALUE(TRIM(MID(SUBSTITUTE(SUBSTITUTE(SUBSTITUTE(UPPER($H116)," ",""),"D",""),";",REPT(" ",30)),181,30))),0)+IFERROR(VALUE(TRIM(MID(SUBSTITUTE(SUBSTITUTE(SUBSTITUTE(UPPER($H116)," ",""),"D",""),";",REPT(" ",30)),211,30))),0)))))</f>
        <v/>
      </c>
      <c r="K116" s="24" t="n"/>
      <c r="L116" s="8" t="n"/>
      <c r="M116" s="14" t="n"/>
      <c r="N116" s="25">
        <f>IF($C116="","",IF($E116="Falta","-",MAX(0,MIN(10,8+IFERROR(VALUE(TRIM(MID(SUBSTITUTE(SUBSTITUTE(SUBSTITUTE(UPPER($L116)," ",""),"F",""),";",REPT(" ",30)),1,30))),0)+IFERROR(VALUE(TRIM(MID(SUBSTITUTE(SUBSTITUTE(SUBSTITUTE(UPPER($L116)," ",""),"F",""),";",REPT(" ",30)),31,30))),0)+IFERROR(VALUE(TRIM(MID(SUBSTITUTE(SUBSTITUTE(SUBSTITUTE(UPPER($L116)," ",""),"F",""),";",REPT(" ",30)),61,30))),0)+IFERROR(VALUE(TRIM(MID(SUBSTITUTE(SUBSTITUTE(SUBSTITUTE(UPPER($L116)," ",""),"F",""),";",REPT(" ",30)),91,30))),0)+IFERROR(VALUE(TRIM(MID(SUBSTITUTE(SUBSTITUTE(SUBSTITUTE(UPPER($L116)," ",""),"F",""),";",REPT(" ",30)),121,30))),0)+IFERROR(VALUE(TRIM(MID(SUBSTITUTE(SUBSTITUTE(SUBSTITUTE(UPPER($L116)," ",""),"F",""),";",REPT(" ",30)),151,30))),0)+IFERROR(VALUE(TRIM(MID(SUBSTITUTE(SUBSTITUTE(SUBSTITUTE(UPPER($L116)," ",""),"F",""),";",REPT(" ",30)),181,30))),0)+IFERROR(VALUE(TRIM(MID(SUBSTITUTE(SUBSTITUTE(SUBSTITUTE(UPPER($L116)," ",""),"F",""),";",REPT(" ",30)),211,30))),0)))))</f>
        <v/>
      </c>
      <c r="O116" s="24" t="n"/>
      <c r="P116" s="8" t="n"/>
      <c r="Q116" s="14" t="n"/>
      <c r="R116" s="25">
        <f>IF($C116="","",IF($E116="Falta","-",MAX(0,MIN(10,5+IFERROR(VALUE(TRIM(MID(SUBSTITUTE(SUBSTITUTE(SUBSTITUTE(UPPER($P116)," ",""),"C",""),";",REPT(" ",30)),1,30))),0)+IFERROR(VALUE(TRIM(MID(SUBSTITUTE(SUBSTITUTE(SUBSTITUTE(UPPER($P116)," ",""),"C",""),";",REPT(" ",30)),31,30))),0)+IFERROR(VALUE(TRIM(MID(SUBSTITUTE(SUBSTITUTE(SUBSTITUTE(UPPER($P116)," ",""),"C",""),";",REPT(" ",30)),61,30))),0)+IFERROR(VALUE(TRIM(MID(SUBSTITUTE(SUBSTITUTE(SUBSTITUTE(UPPER($P116)," ",""),"C",""),";",REPT(" ",30)),91,30))),0)+IFERROR(VALUE(TRIM(MID(SUBSTITUTE(SUBSTITUTE(SUBSTITUTE(UPPER($P116)," ",""),"C",""),";",REPT(" ",30)),121,30))),0)+IFERROR(VALUE(TRIM(MID(SUBSTITUTE(SUBSTITUTE(SUBSTITUTE(UPPER($P116)," ",""),"C",""),";",REPT(" ",30)),151,30))),0)+IFERROR(VALUE(TRIM(MID(SUBSTITUTE(SUBSTITUTE(SUBSTITUTE(UPPER($P116)," ",""),"C",""),";",REPT(" ",30)),181,30))),0)+IFERROR(VALUE(TRIM(MID(SUBSTITUTE(SUBSTITUTE(SUBSTITUTE(UPPER($P116)," ",""),"C",""),";",REPT(" ",30)),211,30))),0)))))</f>
        <v/>
      </c>
      <c r="S116" s="24" t="n"/>
      <c r="T116" s="8" t="n"/>
      <c r="U116" s="14" t="n"/>
      <c r="V116" s="25">
        <f>IF($C116="","",IF($E116="Falta","-",MAX(0,MIN(10,5+IFERROR(VALUE(TRIM(MID(SUBSTITUTE(SUBSTITUTE(SUBSTITUTE(UPPER($T116)," ",""),"P",""),";",REPT(" ",30)),1,30))),0)+IFERROR(VALUE(TRIM(MID(SUBSTITUTE(SUBSTITUTE(SUBSTITUTE(UPPER($T116)," ",""),"P",""),";",REPT(" ",30)),31,30))),0)+IFERROR(VALUE(TRIM(MID(SUBSTITUTE(SUBSTITUTE(SUBSTITUTE(UPPER($T116)," ",""),"P",""),";",REPT(" ",30)),61,30))),0)+IFERROR(VALUE(TRIM(MID(SUBSTITUTE(SUBSTITUTE(SUBSTITUTE(UPPER($T116)," ",""),"P",""),";",REPT(" ",30)),91,30))),0)+IFERROR(VALUE(TRIM(MID(SUBSTITUTE(SUBSTITUTE(SUBSTITUTE(UPPER($T116)," ",""),"P",""),";",REPT(" ",30)),121,30))),0)+IFERROR(VALUE(TRIM(MID(SUBSTITUTE(SUBSTITUTE(SUBSTITUTE(UPPER($T116)," ",""),"P",""),";",REPT(" ",30)),151,30))),0)+IFERROR(VALUE(TRIM(MID(SUBSTITUTE(SUBSTITUTE(SUBSTITUTE(UPPER($T116)," ",""),"P",""),";",REPT(" ",30)),181,30))),0)+IFERROR(VALUE(TRIM(MID(SUBSTITUTE(SUBSTITUTE(SUBSTITUTE(UPPER($T116)," ",""),"P",""),";",REPT(" ",30)),211,30))),0)))))</f>
        <v/>
      </c>
      <c r="W116" s="24" t="n"/>
      <c r="X116" s="14" t="n"/>
    </row>
    <row r="117">
      <c r="A117" s="8">
        <f>IF($C117="","",23)</f>
        <v/>
      </c>
      <c r="B117" s="8">
        <f>IF($C117="","","4ª Sessão")</f>
        <v/>
      </c>
      <c r="C117" s="8">
        <f>IF(Preenchimento!$B$32="","",Preenchimento!$B$32)</f>
        <v/>
      </c>
      <c r="D117" s="8">
        <f>IF($C117="","",IF(Preenchimento!$C$32="","-",Preenchimento!$C$32))</f>
        <v/>
      </c>
      <c r="E117" s="8" t="n"/>
      <c r="F117" s="8" t="n"/>
      <c r="G117" s="24" t="n"/>
      <c r="H117" s="8" t="n"/>
      <c r="I117" s="14" t="n"/>
      <c r="J117" s="25">
        <f>IF($C117="","",IF($E117="Falta","-",MAX(0,MIN(10,8+IFERROR(VALUE(TRIM(MID(SUBSTITUTE(SUBSTITUTE(SUBSTITUTE(UPPER($H117)," ",""),"D",""),";",REPT(" ",30)),1,30))),0)+IFERROR(VALUE(TRIM(MID(SUBSTITUTE(SUBSTITUTE(SUBSTITUTE(UPPER($H117)," ",""),"D",""),";",REPT(" ",30)),31,30))),0)+IFERROR(VALUE(TRIM(MID(SUBSTITUTE(SUBSTITUTE(SUBSTITUTE(UPPER($H117)," ",""),"D",""),";",REPT(" ",30)),61,30))),0)+IFERROR(VALUE(TRIM(MID(SUBSTITUTE(SUBSTITUTE(SUBSTITUTE(UPPER($H117)," ",""),"D",""),";",REPT(" ",30)),91,30))),0)+IFERROR(VALUE(TRIM(MID(SUBSTITUTE(SUBSTITUTE(SUBSTITUTE(UPPER($H117)," ",""),"D",""),";",REPT(" ",30)),121,30))),0)+IFERROR(VALUE(TRIM(MID(SUBSTITUTE(SUBSTITUTE(SUBSTITUTE(UPPER($H117)," ",""),"D",""),";",REPT(" ",30)),151,30))),0)+IFERROR(VALUE(TRIM(MID(SUBSTITUTE(SUBSTITUTE(SUBSTITUTE(UPPER($H117)," ",""),"D",""),";",REPT(" ",30)),181,30))),0)+IFERROR(VALUE(TRIM(MID(SUBSTITUTE(SUBSTITUTE(SUBSTITUTE(UPPER($H117)," ",""),"D",""),";",REPT(" ",30)),211,30))),0)))))</f>
        <v/>
      </c>
      <c r="K117" s="24" t="n"/>
      <c r="L117" s="8" t="n"/>
      <c r="M117" s="14" t="n"/>
      <c r="N117" s="25">
        <f>IF($C117="","",IF($E117="Falta","-",MAX(0,MIN(10,8+IFERROR(VALUE(TRIM(MID(SUBSTITUTE(SUBSTITUTE(SUBSTITUTE(UPPER($L117)," ",""),"F",""),";",REPT(" ",30)),1,30))),0)+IFERROR(VALUE(TRIM(MID(SUBSTITUTE(SUBSTITUTE(SUBSTITUTE(UPPER($L117)," ",""),"F",""),";",REPT(" ",30)),31,30))),0)+IFERROR(VALUE(TRIM(MID(SUBSTITUTE(SUBSTITUTE(SUBSTITUTE(UPPER($L117)," ",""),"F",""),";",REPT(" ",30)),61,30))),0)+IFERROR(VALUE(TRIM(MID(SUBSTITUTE(SUBSTITUTE(SUBSTITUTE(UPPER($L117)," ",""),"F",""),";",REPT(" ",30)),91,30))),0)+IFERROR(VALUE(TRIM(MID(SUBSTITUTE(SUBSTITUTE(SUBSTITUTE(UPPER($L117)," ",""),"F",""),";",REPT(" ",30)),121,30))),0)+IFERROR(VALUE(TRIM(MID(SUBSTITUTE(SUBSTITUTE(SUBSTITUTE(UPPER($L117)," ",""),"F",""),";",REPT(" ",30)),151,30))),0)+IFERROR(VALUE(TRIM(MID(SUBSTITUTE(SUBSTITUTE(SUBSTITUTE(UPPER($L117)," ",""),"F",""),";",REPT(" ",30)),181,30))),0)+IFERROR(VALUE(TRIM(MID(SUBSTITUTE(SUBSTITUTE(SUBSTITUTE(UPPER($L117)," ",""),"F",""),";",REPT(" ",30)),211,30))),0)))))</f>
        <v/>
      </c>
      <c r="O117" s="24" t="n"/>
      <c r="P117" s="8" t="n"/>
      <c r="Q117" s="14" t="n"/>
      <c r="R117" s="25">
        <f>IF($C117="","",IF($E117="Falta","-",MAX(0,MIN(10,5+IFERROR(VALUE(TRIM(MID(SUBSTITUTE(SUBSTITUTE(SUBSTITUTE(UPPER($P117)," ",""),"C",""),";",REPT(" ",30)),1,30))),0)+IFERROR(VALUE(TRIM(MID(SUBSTITUTE(SUBSTITUTE(SUBSTITUTE(UPPER($P117)," ",""),"C",""),";",REPT(" ",30)),31,30))),0)+IFERROR(VALUE(TRIM(MID(SUBSTITUTE(SUBSTITUTE(SUBSTITUTE(UPPER($P117)," ",""),"C",""),";",REPT(" ",30)),61,30))),0)+IFERROR(VALUE(TRIM(MID(SUBSTITUTE(SUBSTITUTE(SUBSTITUTE(UPPER($P117)," ",""),"C",""),";",REPT(" ",30)),91,30))),0)+IFERROR(VALUE(TRIM(MID(SUBSTITUTE(SUBSTITUTE(SUBSTITUTE(UPPER($P117)," ",""),"C",""),";",REPT(" ",30)),121,30))),0)+IFERROR(VALUE(TRIM(MID(SUBSTITUTE(SUBSTITUTE(SUBSTITUTE(UPPER($P117)," ",""),"C",""),";",REPT(" ",30)),151,30))),0)+IFERROR(VALUE(TRIM(MID(SUBSTITUTE(SUBSTITUTE(SUBSTITUTE(UPPER($P117)," ",""),"C",""),";",REPT(" ",30)),181,30))),0)+IFERROR(VALUE(TRIM(MID(SUBSTITUTE(SUBSTITUTE(SUBSTITUTE(UPPER($P117)," ",""),"C",""),";",REPT(" ",30)),211,30))),0)))))</f>
        <v/>
      </c>
      <c r="S117" s="24" t="n"/>
      <c r="T117" s="8" t="n"/>
      <c r="U117" s="14" t="n"/>
      <c r="V117" s="25">
        <f>IF($C117="","",IF($E117="Falta","-",MAX(0,MIN(10,5+IFERROR(VALUE(TRIM(MID(SUBSTITUTE(SUBSTITUTE(SUBSTITUTE(UPPER($T117)," ",""),"P",""),";",REPT(" ",30)),1,30))),0)+IFERROR(VALUE(TRIM(MID(SUBSTITUTE(SUBSTITUTE(SUBSTITUTE(UPPER($T117)," ",""),"P",""),";",REPT(" ",30)),31,30))),0)+IFERROR(VALUE(TRIM(MID(SUBSTITUTE(SUBSTITUTE(SUBSTITUTE(UPPER($T117)," ",""),"P",""),";",REPT(" ",30)),61,30))),0)+IFERROR(VALUE(TRIM(MID(SUBSTITUTE(SUBSTITUTE(SUBSTITUTE(UPPER($T117)," ",""),"P",""),";",REPT(" ",30)),91,30))),0)+IFERROR(VALUE(TRIM(MID(SUBSTITUTE(SUBSTITUTE(SUBSTITUTE(UPPER($T117)," ",""),"P",""),";",REPT(" ",30)),121,30))),0)+IFERROR(VALUE(TRIM(MID(SUBSTITUTE(SUBSTITUTE(SUBSTITUTE(UPPER($T117)," ",""),"P",""),";",REPT(" ",30)),151,30))),0)+IFERROR(VALUE(TRIM(MID(SUBSTITUTE(SUBSTITUTE(SUBSTITUTE(UPPER($T117)," ",""),"P",""),";",REPT(" ",30)),181,30))),0)+IFERROR(VALUE(TRIM(MID(SUBSTITUTE(SUBSTITUTE(SUBSTITUTE(UPPER($T117)," ",""),"P",""),";",REPT(" ",30)),211,30))),0)))))</f>
        <v/>
      </c>
      <c r="W117" s="24" t="n"/>
      <c r="X117" s="14" t="n"/>
    </row>
    <row r="118">
      <c r="A118" s="8">
        <f>IF($C118="","",23)</f>
        <v/>
      </c>
      <c r="B118" s="8">
        <f>IF($C118="","","5ª Sessão")</f>
        <v/>
      </c>
      <c r="C118" s="8">
        <f>IF(Preenchimento!$B$32="","",Preenchimento!$B$32)</f>
        <v/>
      </c>
      <c r="D118" s="8">
        <f>IF($C118="","",IF(Preenchimento!$C$32="","-",Preenchimento!$C$32))</f>
        <v/>
      </c>
      <c r="E118" s="8" t="n"/>
      <c r="F118" s="8" t="n"/>
      <c r="G118" s="24" t="n"/>
      <c r="H118" s="8" t="n"/>
      <c r="I118" s="14" t="n"/>
      <c r="J118" s="25">
        <f>IF($C118="","",IF($E118="Falta","-",MAX(0,MIN(10,8+IFERROR(VALUE(TRIM(MID(SUBSTITUTE(SUBSTITUTE(SUBSTITUTE(UPPER($H118)," ",""),"D",""),";",REPT(" ",30)),1,30))),0)+IFERROR(VALUE(TRIM(MID(SUBSTITUTE(SUBSTITUTE(SUBSTITUTE(UPPER($H118)," ",""),"D",""),";",REPT(" ",30)),31,30))),0)+IFERROR(VALUE(TRIM(MID(SUBSTITUTE(SUBSTITUTE(SUBSTITUTE(UPPER($H118)," ",""),"D",""),";",REPT(" ",30)),61,30))),0)+IFERROR(VALUE(TRIM(MID(SUBSTITUTE(SUBSTITUTE(SUBSTITUTE(UPPER($H118)," ",""),"D",""),";",REPT(" ",30)),91,30))),0)+IFERROR(VALUE(TRIM(MID(SUBSTITUTE(SUBSTITUTE(SUBSTITUTE(UPPER($H118)," ",""),"D",""),";",REPT(" ",30)),121,30))),0)+IFERROR(VALUE(TRIM(MID(SUBSTITUTE(SUBSTITUTE(SUBSTITUTE(UPPER($H118)," ",""),"D",""),";",REPT(" ",30)),151,30))),0)+IFERROR(VALUE(TRIM(MID(SUBSTITUTE(SUBSTITUTE(SUBSTITUTE(UPPER($H118)," ",""),"D",""),";",REPT(" ",30)),181,30))),0)+IFERROR(VALUE(TRIM(MID(SUBSTITUTE(SUBSTITUTE(SUBSTITUTE(UPPER($H118)," ",""),"D",""),";",REPT(" ",30)),211,30))),0)))))</f>
        <v/>
      </c>
      <c r="K118" s="24" t="n"/>
      <c r="L118" s="8" t="n"/>
      <c r="M118" s="14" t="n"/>
      <c r="N118" s="25">
        <f>IF($C118="","",IF($E118="Falta","-",MAX(0,MIN(10,8+IFERROR(VALUE(TRIM(MID(SUBSTITUTE(SUBSTITUTE(SUBSTITUTE(UPPER($L118)," ",""),"F",""),";",REPT(" ",30)),1,30))),0)+IFERROR(VALUE(TRIM(MID(SUBSTITUTE(SUBSTITUTE(SUBSTITUTE(UPPER($L118)," ",""),"F",""),";",REPT(" ",30)),31,30))),0)+IFERROR(VALUE(TRIM(MID(SUBSTITUTE(SUBSTITUTE(SUBSTITUTE(UPPER($L118)," ",""),"F",""),";",REPT(" ",30)),61,30))),0)+IFERROR(VALUE(TRIM(MID(SUBSTITUTE(SUBSTITUTE(SUBSTITUTE(UPPER($L118)," ",""),"F",""),";",REPT(" ",30)),91,30))),0)+IFERROR(VALUE(TRIM(MID(SUBSTITUTE(SUBSTITUTE(SUBSTITUTE(UPPER($L118)," ",""),"F",""),";",REPT(" ",30)),121,30))),0)+IFERROR(VALUE(TRIM(MID(SUBSTITUTE(SUBSTITUTE(SUBSTITUTE(UPPER($L118)," ",""),"F",""),";",REPT(" ",30)),151,30))),0)+IFERROR(VALUE(TRIM(MID(SUBSTITUTE(SUBSTITUTE(SUBSTITUTE(UPPER($L118)," ",""),"F",""),";",REPT(" ",30)),181,30))),0)+IFERROR(VALUE(TRIM(MID(SUBSTITUTE(SUBSTITUTE(SUBSTITUTE(UPPER($L118)," ",""),"F",""),";",REPT(" ",30)),211,30))),0)))))</f>
        <v/>
      </c>
      <c r="O118" s="24" t="n"/>
      <c r="P118" s="8" t="n"/>
      <c r="Q118" s="14" t="n"/>
      <c r="R118" s="25">
        <f>IF($C118="","",IF($E118="Falta","-",MAX(0,MIN(10,5+IFERROR(VALUE(TRIM(MID(SUBSTITUTE(SUBSTITUTE(SUBSTITUTE(UPPER($P118)," ",""),"C",""),";",REPT(" ",30)),1,30))),0)+IFERROR(VALUE(TRIM(MID(SUBSTITUTE(SUBSTITUTE(SUBSTITUTE(UPPER($P118)," ",""),"C",""),";",REPT(" ",30)),31,30))),0)+IFERROR(VALUE(TRIM(MID(SUBSTITUTE(SUBSTITUTE(SUBSTITUTE(UPPER($P118)," ",""),"C",""),";",REPT(" ",30)),61,30))),0)+IFERROR(VALUE(TRIM(MID(SUBSTITUTE(SUBSTITUTE(SUBSTITUTE(UPPER($P118)," ",""),"C",""),";",REPT(" ",30)),91,30))),0)+IFERROR(VALUE(TRIM(MID(SUBSTITUTE(SUBSTITUTE(SUBSTITUTE(UPPER($P118)," ",""),"C",""),";",REPT(" ",30)),121,30))),0)+IFERROR(VALUE(TRIM(MID(SUBSTITUTE(SUBSTITUTE(SUBSTITUTE(UPPER($P118)," ",""),"C",""),";",REPT(" ",30)),151,30))),0)+IFERROR(VALUE(TRIM(MID(SUBSTITUTE(SUBSTITUTE(SUBSTITUTE(UPPER($P118)," ",""),"C",""),";",REPT(" ",30)),181,30))),0)+IFERROR(VALUE(TRIM(MID(SUBSTITUTE(SUBSTITUTE(SUBSTITUTE(UPPER($P118)," ",""),"C",""),";",REPT(" ",30)),211,30))),0)))))</f>
        <v/>
      </c>
      <c r="S118" s="24" t="n"/>
      <c r="T118" s="8" t="n"/>
      <c r="U118" s="14" t="n"/>
      <c r="V118" s="25">
        <f>IF($C118="","",IF($E118="Falta","-",MAX(0,MIN(10,5+IFERROR(VALUE(TRIM(MID(SUBSTITUTE(SUBSTITUTE(SUBSTITUTE(UPPER($T118)," ",""),"P",""),";",REPT(" ",30)),1,30))),0)+IFERROR(VALUE(TRIM(MID(SUBSTITUTE(SUBSTITUTE(SUBSTITUTE(UPPER($T118)," ",""),"P",""),";",REPT(" ",30)),31,30))),0)+IFERROR(VALUE(TRIM(MID(SUBSTITUTE(SUBSTITUTE(SUBSTITUTE(UPPER($T118)," ",""),"P",""),";",REPT(" ",30)),61,30))),0)+IFERROR(VALUE(TRIM(MID(SUBSTITUTE(SUBSTITUTE(SUBSTITUTE(UPPER($T118)," ",""),"P",""),";",REPT(" ",30)),91,30))),0)+IFERROR(VALUE(TRIM(MID(SUBSTITUTE(SUBSTITUTE(SUBSTITUTE(UPPER($T118)," ",""),"P",""),";",REPT(" ",30)),121,30))),0)+IFERROR(VALUE(TRIM(MID(SUBSTITUTE(SUBSTITUTE(SUBSTITUTE(UPPER($T118)," ",""),"P",""),";",REPT(" ",30)),151,30))),0)+IFERROR(VALUE(TRIM(MID(SUBSTITUTE(SUBSTITUTE(SUBSTITUTE(UPPER($T118)," ",""),"P",""),";",REPT(" ",30)),181,30))),0)+IFERROR(VALUE(TRIM(MID(SUBSTITUTE(SUBSTITUTE(SUBSTITUTE(UPPER($T118)," ",""),"P",""),";",REPT(" ",30)),211,30))),0)))))</f>
        <v/>
      </c>
      <c r="W118" s="24" t="n"/>
      <c r="X118" s="14" t="n"/>
    </row>
    <row r="119">
      <c r="A119" s="6">
        <f>IF($C119="","",24)</f>
        <v/>
      </c>
      <c r="B119" s="6">
        <f>IF($C119="","","1ª Sessão")</f>
        <v/>
      </c>
      <c r="C119" s="6">
        <f>IF(Preenchimento!$B$33="","",Preenchimento!$B$33)</f>
        <v/>
      </c>
      <c r="D119" s="6">
        <f>IF($C119="","",IF(Preenchimento!$C$33="","-",Preenchimento!$C$33))</f>
        <v/>
      </c>
      <c r="E119" s="6" t="n"/>
      <c r="F119" s="6" t="n"/>
      <c r="G119" s="26" t="n"/>
      <c r="H119" s="6" t="n"/>
      <c r="I119" s="13" t="n"/>
      <c r="J119" s="27">
        <f>IF($C119="","",IF($E119="Falta","-",MAX(0,MIN(10,8+IFERROR(VALUE(TRIM(MID(SUBSTITUTE(SUBSTITUTE(SUBSTITUTE(UPPER($H119)," ",""),"D",""),";",REPT(" ",30)),1,30))),0)+IFERROR(VALUE(TRIM(MID(SUBSTITUTE(SUBSTITUTE(SUBSTITUTE(UPPER($H119)," ",""),"D",""),";",REPT(" ",30)),31,30))),0)+IFERROR(VALUE(TRIM(MID(SUBSTITUTE(SUBSTITUTE(SUBSTITUTE(UPPER($H119)," ",""),"D",""),";",REPT(" ",30)),61,30))),0)+IFERROR(VALUE(TRIM(MID(SUBSTITUTE(SUBSTITUTE(SUBSTITUTE(UPPER($H119)," ",""),"D",""),";",REPT(" ",30)),91,30))),0)+IFERROR(VALUE(TRIM(MID(SUBSTITUTE(SUBSTITUTE(SUBSTITUTE(UPPER($H119)," ",""),"D",""),";",REPT(" ",30)),121,30))),0)+IFERROR(VALUE(TRIM(MID(SUBSTITUTE(SUBSTITUTE(SUBSTITUTE(UPPER($H119)," ",""),"D",""),";",REPT(" ",30)),151,30))),0)+IFERROR(VALUE(TRIM(MID(SUBSTITUTE(SUBSTITUTE(SUBSTITUTE(UPPER($H119)," ",""),"D",""),";",REPT(" ",30)),181,30))),0)+IFERROR(VALUE(TRIM(MID(SUBSTITUTE(SUBSTITUTE(SUBSTITUTE(UPPER($H119)," ",""),"D",""),";",REPT(" ",30)),211,30))),0)))))</f>
        <v/>
      </c>
      <c r="K119" s="26" t="n"/>
      <c r="L119" s="6" t="n"/>
      <c r="M119" s="13" t="n"/>
      <c r="N119" s="27">
        <f>IF($C119="","",IF($E119="Falta","-",MAX(0,MIN(10,8+IFERROR(VALUE(TRIM(MID(SUBSTITUTE(SUBSTITUTE(SUBSTITUTE(UPPER($L119)," ",""),"F",""),";",REPT(" ",30)),1,30))),0)+IFERROR(VALUE(TRIM(MID(SUBSTITUTE(SUBSTITUTE(SUBSTITUTE(UPPER($L119)," ",""),"F",""),";",REPT(" ",30)),31,30))),0)+IFERROR(VALUE(TRIM(MID(SUBSTITUTE(SUBSTITUTE(SUBSTITUTE(UPPER($L119)," ",""),"F",""),";",REPT(" ",30)),61,30))),0)+IFERROR(VALUE(TRIM(MID(SUBSTITUTE(SUBSTITUTE(SUBSTITUTE(UPPER($L119)," ",""),"F",""),";",REPT(" ",30)),91,30))),0)+IFERROR(VALUE(TRIM(MID(SUBSTITUTE(SUBSTITUTE(SUBSTITUTE(UPPER($L119)," ",""),"F",""),";",REPT(" ",30)),121,30))),0)+IFERROR(VALUE(TRIM(MID(SUBSTITUTE(SUBSTITUTE(SUBSTITUTE(UPPER($L119)," ",""),"F",""),";",REPT(" ",30)),151,30))),0)+IFERROR(VALUE(TRIM(MID(SUBSTITUTE(SUBSTITUTE(SUBSTITUTE(UPPER($L119)," ",""),"F",""),";",REPT(" ",30)),181,30))),0)+IFERROR(VALUE(TRIM(MID(SUBSTITUTE(SUBSTITUTE(SUBSTITUTE(UPPER($L119)," ",""),"F",""),";",REPT(" ",30)),211,30))),0)))))</f>
        <v/>
      </c>
      <c r="O119" s="26" t="n"/>
      <c r="P119" s="6" t="n"/>
      <c r="Q119" s="13" t="n"/>
      <c r="R119" s="27">
        <f>IF($C119="","",IF($E119="Falta","-",MAX(0,MIN(10,5+IFERROR(VALUE(TRIM(MID(SUBSTITUTE(SUBSTITUTE(SUBSTITUTE(UPPER($P119)," ",""),"C",""),";",REPT(" ",30)),1,30))),0)+IFERROR(VALUE(TRIM(MID(SUBSTITUTE(SUBSTITUTE(SUBSTITUTE(UPPER($P119)," ",""),"C",""),";",REPT(" ",30)),31,30))),0)+IFERROR(VALUE(TRIM(MID(SUBSTITUTE(SUBSTITUTE(SUBSTITUTE(UPPER($P119)," ",""),"C",""),";",REPT(" ",30)),61,30))),0)+IFERROR(VALUE(TRIM(MID(SUBSTITUTE(SUBSTITUTE(SUBSTITUTE(UPPER($P119)," ",""),"C",""),";",REPT(" ",30)),91,30))),0)+IFERROR(VALUE(TRIM(MID(SUBSTITUTE(SUBSTITUTE(SUBSTITUTE(UPPER($P119)," ",""),"C",""),";",REPT(" ",30)),121,30))),0)+IFERROR(VALUE(TRIM(MID(SUBSTITUTE(SUBSTITUTE(SUBSTITUTE(UPPER($P119)," ",""),"C",""),";",REPT(" ",30)),151,30))),0)+IFERROR(VALUE(TRIM(MID(SUBSTITUTE(SUBSTITUTE(SUBSTITUTE(UPPER($P119)," ",""),"C",""),";",REPT(" ",30)),181,30))),0)+IFERROR(VALUE(TRIM(MID(SUBSTITUTE(SUBSTITUTE(SUBSTITUTE(UPPER($P119)," ",""),"C",""),";",REPT(" ",30)),211,30))),0)))))</f>
        <v/>
      </c>
      <c r="S119" s="26" t="n"/>
      <c r="T119" s="6" t="n"/>
      <c r="U119" s="13" t="n"/>
      <c r="V119" s="27">
        <f>IF($C119="","",IF($E119="Falta","-",MAX(0,MIN(10,5+IFERROR(VALUE(TRIM(MID(SUBSTITUTE(SUBSTITUTE(SUBSTITUTE(UPPER($T119)," ",""),"P",""),";",REPT(" ",30)),1,30))),0)+IFERROR(VALUE(TRIM(MID(SUBSTITUTE(SUBSTITUTE(SUBSTITUTE(UPPER($T119)," ",""),"P",""),";",REPT(" ",30)),31,30))),0)+IFERROR(VALUE(TRIM(MID(SUBSTITUTE(SUBSTITUTE(SUBSTITUTE(UPPER($T119)," ",""),"P",""),";",REPT(" ",30)),61,30))),0)+IFERROR(VALUE(TRIM(MID(SUBSTITUTE(SUBSTITUTE(SUBSTITUTE(UPPER($T119)," ",""),"P",""),";",REPT(" ",30)),91,30))),0)+IFERROR(VALUE(TRIM(MID(SUBSTITUTE(SUBSTITUTE(SUBSTITUTE(UPPER($T119)," ",""),"P",""),";",REPT(" ",30)),121,30))),0)+IFERROR(VALUE(TRIM(MID(SUBSTITUTE(SUBSTITUTE(SUBSTITUTE(UPPER($T119)," ",""),"P",""),";",REPT(" ",30)),151,30))),0)+IFERROR(VALUE(TRIM(MID(SUBSTITUTE(SUBSTITUTE(SUBSTITUTE(UPPER($T119)," ",""),"P",""),";",REPT(" ",30)),181,30))),0)+IFERROR(VALUE(TRIM(MID(SUBSTITUTE(SUBSTITUTE(SUBSTITUTE(UPPER($T119)," ",""),"P",""),";",REPT(" ",30)),211,30))),0)))))</f>
        <v/>
      </c>
      <c r="W119" s="26" t="n"/>
      <c r="X119" s="13" t="n"/>
    </row>
    <row r="120">
      <c r="A120" s="6">
        <f>IF($C120="","",24)</f>
        <v/>
      </c>
      <c r="B120" s="6">
        <f>IF($C120="","","2ª Sessão")</f>
        <v/>
      </c>
      <c r="C120" s="6">
        <f>IF(Preenchimento!$B$33="","",Preenchimento!$B$33)</f>
        <v/>
      </c>
      <c r="D120" s="6">
        <f>IF($C120="","",IF(Preenchimento!$C$33="","-",Preenchimento!$C$33))</f>
        <v/>
      </c>
      <c r="E120" s="6" t="n"/>
      <c r="F120" s="6" t="n"/>
      <c r="G120" s="26" t="n"/>
      <c r="H120" s="6" t="n"/>
      <c r="I120" s="13" t="n"/>
      <c r="J120" s="27">
        <f>IF($C120="","",IF($E120="Falta","-",MAX(0,MIN(10,8+IFERROR(VALUE(TRIM(MID(SUBSTITUTE(SUBSTITUTE(SUBSTITUTE(UPPER($H120)," ",""),"D",""),";",REPT(" ",30)),1,30))),0)+IFERROR(VALUE(TRIM(MID(SUBSTITUTE(SUBSTITUTE(SUBSTITUTE(UPPER($H120)," ",""),"D",""),";",REPT(" ",30)),31,30))),0)+IFERROR(VALUE(TRIM(MID(SUBSTITUTE(SUBSTITUTE(SUBSTITUTE(UPPER($H120)," ",""),"D",""),";",REPT(" ",30)),61,30))),0)+IFERROR(VALUE(TRIM(MID(SUBSTITUTE(SUBSTITUTE(SUBSTITUTE(UPPER($H120)," ",""),"D",""),";",REPT(" ",30)),91,30))),0)+IFERROR(VALUE(TRIM(MID(SUBSTITUTE(SUBSTITUTE(SUBSTITUTE(UPPER($H120)," ",""),"D",""),";",REPT(" ",30)),121,30))),0)+IFERROR(VALUE(TRIM(MID(SUBSTITUTE(SUBSTITUTE(SUBSTITUTE(UPPER($H120)," ",""),"D",""),";",REPT(" ",30)),151,30))),0)+IFERROR(VALUE(TRIM(MID(SUBSTITUTE(SUBSTITUTE(SUBSTITUTE(UPPER($H120)," ",""),"D",""),";",REPT(" ",30)),181,30))),0)+IFERROR(VALUE(TRIM(MID(SUBSTITUTE(SUBSTITUTE(SUBSTITUTE(UPPER($H120)," ",""),"D",""),";",REPT(" ",30)),211,30))),0)))))</f>
        <v/>
      </c>
      <c r="K120" s="26" t="n"/>
      <c r="L120" s="6" t="n"/>
      <c r="M120" s="13" t="n"/>
      <c r="N120" s="27">
        <f>IF($C120="","",IF($E120="Falta","-",MAX(0,MIN(10,8+IFERROR(VALUE(TRIM(MID(SUBSTITUTE(SUBSTITUTE(SUBSTITUTE(UPPER($L120)," ",""),"F",""),";",REPT(" ",30)),1,30))),0)+IFERROR(VALUE(TRIM(MID(SUBSTITUTE(SUBSTITUTE(SUBSTITUTE(UPPER($L120)," ",""),"F",""),";",REPT(" ",30)),31,30))),0)+IFERROR(VALUE(TRIM(MID(SUBSTITUTE(SUBSTITUTE(SUBSTITUTE(UPPER($L120)," ",""),"F",""),";",REPT(" ",30)),61,30))),0)+IFERROR(VALUE(TRIM(MID(SUBSTITUTE(SUBSTITUTE(SUBSTITUTE(UPPER($L120)," ",""),"F",""),";",REPT(" ",30)),91,30))),0)+IFERROR(VALUE(TRIM(MID(SUBSTITUTE(SUBSTITUTE(SUBSTITUTE(UPPER($L120)," ",""),"F",""),";",REPT(" ",30)),121,30))),0)+IFERROR(VALUE(TRIM(MID(SUBSTITUTE(SUBSTITUTE(SUBSTITUTE(UPPER($L120)," ",""),"F",""),";",REPT(" ",30)),151,30))),0)+IFERROR(VALUE(TRIM(MID(SUBSTITUTE(SUBSTITUTE(SUBSTITUTE(UPPER($L120)," ",""),"F",""),";",REPT(" ",30)),181,30))),0)+IFERROR(VALUE(TRIM(MID(SUBSTITUTE(SUBSTITUTE(SUBSTITUTE(UPPER($L120)," ",""),"F",""),";",REPT(" ",30)),211,30))),0)))))</f>
        <v/>
      </c>
      <c r="O120" s="26" t="n"/>
      <c r="P120" s="6" t="n"/>
      <c r="Q120" s="13" t="n"/>
      <c r="R120" s="27">
        <f>IF($C120="","",IF($E120="Falta","-",MAX(0,MIN(10,5+IFERROR(VALUE(TRIM(MID(SUBSTITUTE(SUBSTITUTE(SUBSTITUTE(UPPER($P120)," ",""),"C",""),";",REPT(" ",30)),1,30))),0)+IFERROR(VALUE(TRIM(MID(SUBSTITUTE(SUBSTITUTE(SUBSTITUTE(UPPER($P120)," ",""),"C",""),";",REPT(" ",30)),31,30))),0)+IFERROR(VALUE(TRIM(MID(SUBSTITUTE(SUBSTITUTE(SUBSTITUTE(UPPER($P120)," ",""),"C",""),";",REPT(" ",30)),61,30))),0)+IFERROR(VALUE(TRIM(MID(SUBSTITUTE(SUBSTITUTE(SUBSTITUTE(UPPER($P120)," ",""),"C",""),";",REPT(" ",30)),91,30))),0)+IFERROR(VALUE(TRIM(MID(SUBSTITUTE(SUBSTITUTE(SUBSTITUTE(UPPER($P120)," ",""),"C",""),";",REPT(" ",30)),121,30))),0)+IFERROR(VALUE(TRIM(MID(SUBSTITUTE(SUBSTITUTE(SUBSTITUTE(UPPER($P120)," ",""),"C",""),";",REPT(" ",30)),151,30))),0)+IFERROR(VALUE(TRIM(MID(SUBSTITUTE(SUBSTITUTE(SUBSTITUTE(UPPER($P120)," ",""),"C",""),";",REPT(" ",30)),181,30))),0)+IFERROR(VALUE(TRIM(MID(SUBSTITUTE(SUBSTITUTE(SUBSTITUTE(UPPER($P120)," ",""),"C",""),";",REPT(" ",30)),211,30))),0)))))</f>
        <v/>
      </c>
      <c r="S120" s="26" t="n"/>
      <c r="T120" s="6" t="n"/>
      <c r="U120" s="13" t="n"/>
      <c r="V120" s="27">
        <f>IF($C120="","",IF($E120="Falta","-",MAX(0,MIN(10,5+IFERROR(VALUE(TRIM(MID(SUBSTITUTE(SUBSTITUTE(SUBSTITUTE(UPPER($T120)," ",""),"P",""),";",REPT(" ",30)),1,30))),0)+IFERROR(VALUE(TRIM(MID(SUBSTITUTE(SUBSTITUTE(SUBSTITUTE(UPPER($T120)," ",""),"P",""),";",REPT(" ",30)),31,30))),0)+IFERROR(VALUE(TRIM(MID(SUBSTITUTE(SUBSTITUTE(SUBSTITUTE(UPPER($T120)," ",""),"P",""),";",REPT(" ",30)),61,30))),0)+IFERROR(VALUE(TRIM(MID(SUBSTITUTE(SUBSTITUTE(SUBSTITUTE(UPPER($T120)," ",""),"P",""),";",REPT(" ",30)),91,30))),0)+IFERROR(VALUE(TRIM(MID(SUBSTITUTE(SUBSTITUTE(SUBSTITUTE(UPPER($T120)," ",""),"P",""),";",REPT(" ",30)),121,30))),0)+IFERROR(VALUE(TRIM(MID(SUBSTITUTE(SUBSTITUTE(SUBSTITUTE(UPPER($T120)," ",""),"P",""),";",REPT(" ",30)),151,30))),0)+IFERROR(VALUE(TRIM(MID(SUBSTITUTE(SUBSTITUTE(SUBSTITUTE(UPPER($T120)," ",""),"P",""),";",REPT(" ",30)),181,30))),0)+IFERROR(VALUE(TRIM(MID(SUBSTITUTE(SUBSTITUTE(SUBSTITUTE(UPPER($T120)," ",""),"P",""),";",REPT(" ",30)),211,30))),0)))))</f>
        <v/>
      </c>
      <c r="W120" s="26" t="n"/>
      <c r="X120" s="13" t="n"/>
    </row>
    <row r="121">
      <c r="A121" s="6">
        <f>IF($C121="","",24)</f>
        <v/>
      </c>
      <c r="B121" s="6">
        <f>IF($C121="","","3ª Sessão")</f>
        <v/>
      </c>
      <c r="C121" s="6">
        <f>IF(Preenchimento!$B$33="","",Preenchimento!$B$33)</f>
        <v/>
      </c>
      <c r="D121" s="6">
        <f>IF($C121="","",IF(Preenchimento!$C$33="","-",Preenchimento!$C$33))</f>
        <v/>
      </c>
      <c r="E121" s="6" t="n"/>
      <c r="F121" s="6" t="n"/>
      <c r="G121" s="26" t="n"/>
      <c r="H121" s="6" t="n"/>
      <c r="I121" s="13" t="n"/>
      <c r="J121" s="27">
        <f>IF($C121="","",IF($E121="Falta","-",MAX(0,MIN(10,8+IFERROR(VALUE(TRIM(MID(SUBSTITUTE(SUBSTITUTE(SUBSTITUTE(UPPER($H121)," ",""),"D",""),";",REPT(" ",30)),1,30))),0)+IFERROR(VALUE(TRIM(MID(SUBSTITUTE(SUBSTITUTE(SUBSTITUTE(UPPER($H121)," ",""),"D",""),";",REPT(" ",30)),31,30))),0)+IFERROR(VALUE(TRIM(MID(SUBSTITUTE(SUBSTITUTE(SUBSTITUTE(UPPER($H121)," ",""),"D",""),";",REPT(" ",30)),61,30))),0)+IFERROR(VALUE(TRIM(MID(SUBSTITUTE(SUBSTITUTE(SUBSTITUTE(UPPER($H121)," ",""),"D",""),";",REPT(" ",30)),91,30))),0)+IFERROR(VALUE(TRIM(MID(SUBSTITUTE(SUBSTITUTE(SUBSTITUTE(UPPER($H121)," ",""),"D",""),";",REPT(" ",30)),121,30))),0)+IFERROR(VALUE(TRIM(MID(SUBSTITUTE(SUBSTITUTE(SUBSTITUTE(UPPER($H121)," ",""),"D",""),";",REPT(" ",30)),151,30))),0)+IFERROR(VALUE(TRIM(MID(SUBSTITUTE(SUBSTITUTE(SUBSTITUTE(UPPER($H121)," ",""),"D",""),";",REPT(" ",30)),181,30))),0)+IFERROR(VALUE(TRIM(MID(SUBSTITUTE(SUBSTITUTE(SUBSTITUTE(UPPER($H121)," ",""),"D",""),";",REPT(" ",30)),211,30))),0)))))</f>
        <v/>
      </c>
      <c r="K121" s="26" t="n"/>
      <c r="L121" s="6" t="n"/>
      <c r="M121" s="13" t="n"/>
      <c r="N121" s="27">
        <f>IF($C121="","",IF($E121="Falta","-",MAX(0,MIN(10,8+IFERROR(VALUE(TRIM(MID(SUBSTITUTE(SUBSTITUTE(SUBSTITUTE(UPPER($L121)," ",""),"F",""),";",REPT(" ",30)),1,30))),0)+IFERROR(VALUE(TRIM(MID(SUBSTITUTE(SUBSTITUTE(SUBSTITUTE(UPPER($L121)," ",""),"F",""),";",REPT(" ",30)),31,30))),0)+IFERROR(VALUE(TRIM(MID(SUBSTITUTE(SUBSTITUTE(SUBSTITUTE(UPPER($L121)," ",""),"F",""),";",REPT(" ",30)),61,30))),0)+IFERROR(VALUE(TRIM(MID(SUBSTITUTE(SUBSTITUTE(SUBSTITUTE(UPPER($L121)," ",""),"F",""),";",REPT(" ",30)),91,30))),0)+IFERROR(VALUE(TRIM(MID(SUBSTITUTE(SUBSTITUTE(SUBSTITUTE(UPPER($L121)," ",""),"F",""),";",REPT(" ",30)),121,30))),0)+IFERROR(VALUE(TRIM(MID(SUBSTITUTE(SUBSTITUTE(SUBSTITUTE(UPPER($L121)," ",""),"F",""),";",REPT(" ",30)),151,30))),0)+IFERROR(VALUE(TRIM(MID(SUBSTITUTE(SUBSTITUTE(SUBSTITUTE(UPPER($L121)," ",""),"F",""),";",REPT(" ",30)),181,30))),0)+IFERROR(VALUE(TRIM(MID(SUBSTITUTE(SUBSTITUTE(SUBSTITUTE(UPPER($L121)," ",""),"F",""),";",REPT(" ",30)),211,30))),0)))))</f>
        <v/>
      </c>
      <c r="O121" s="26" t="n"/>
      <c r="P121" s="6" t="n"/>
      <c r="Q121" s="13" t="n"/>
      <c r="R121" s="27">
        <f>IF($C121="","",IF($E121="Falta","-",MAX(0,MIN(10,5+IFERROR(VALUE(TRIM(MID(SUBSTITUTE(SUBSTITUTE(SUBSTITUTE(UPPER($P121)," ",""),"C",""),";",REPT(" ",30)),1,30))),0)+IFERROR(VALUE(TRIM(MID(SUBSTITUTE(SUBSTITUTE(SUBSTITUTE(UPPER($P121)," ",""),"C",""),";",REPT(" ",30)),31,30))),0)+IFERROR(VALUE(TRIM(MID(SUBSTITUTE(SUBSTITUTE(SUBSTITUTE(UPPER($P121)," ",""),"C",""),";",REPT(" ",30)),61,30))),0)+IFERROR(VALUE(TRIM(MID(SUBSTITUTE(SUBSTITUTE(SUBSTITUTE(UPPER($P121)," ",""),"C",""),";",REPT(" ",30)),91,30))),0)+IFERROR(VALUE(TRIM(MID(SUBSTITUTE(SUBSTITUTE(SUBSTITUTE(UPPER($P121)," ",""),"C",""),";",REPT(" ",30)),121,30))),0)+IFERROR(VALUE(TRIM(MID(SUBSTITUTE(SUBSTITUTE(SUBSTITUTE(UPPER($P121)," ",""),"C",""),";",REPT(" ",30)),151,30))),0)+IFERROR(VALUE(TRIM(MID(SUBSTITUTE(SUBSTITUTE(SUBSTITUTE(UPPER($P121)," ",""),"C",""),";",REPT(" ",30)),181,30))),0)+IFERROR(VALUE(TRIM(MID(SUBSTITUTE(SUBSTITUTE(SUBSTITUTE(UPPER($P121)," ",""),"C",""),";",REPT(" ",30)),211,30))),0)))))</f>
        <v/>
      </c>
      <c r="S121" s="26" t="n"/>
      <c r="T121" s="6" t="n"/>
      <c r="U121" s="13" t="n"/>
      <c r="V121" s="27">
        <f>IF($C121="","",IF($E121="Falta","-",MAX(0,MIN(10,5+IFERROR(VALUE(TRIM(MID(SUBSTITUTE(SUBSTITUTE(SUBSTITUTE(UPPER($T121)," ",""),"P",""),";",REPT(" ",30)),1,30))),0)+IFERROR(VALUE(TRIM(MID(SUBSTITUTE(SUBSTITUTE(SUBSTITUTE(UPPER($T121)," ",""),"P",""),";",REPT(" ",30)),31,30))),0)+IFERROR(VALUE(TRIM(MID(SUBSTITUTE(SUBSTITUTE(SUBSTITUTE(UPPER($T121)," ",""),"P",""),";",REPT(" ",30)),61,30))),0)+IFERROR(VALUE(TRIM(MID(SUBSTITUTE(SUBSTITUTE(SUBSTITUTE(UPPER($T121)," ",""),"P",""),";",REPT(" ",30)),91,30))),0)+IFERROR(VALUE(TRIM(MID(SUBSTITUTE(SUBSTITUTE(SUBSTITUTE(UPPER($T121)," ",""),"P",""),";",REPT(" ",30)),121,30))),0)+IFERROR(VALUE(TRIM(MID(SUBSTITUTE(SUBSTITUTE(SUBSTITUTE(UPPER($T121)," ",""),"P",""),";",REPT(" ",30)),151,30))),0)+IFERROR(VALUE(TRIM(MID(SUBSTITUTE(SUBSTITUTE(SUBSTITUTE(UPPER($T121)," ",""),"P",""),";",REPT(" ",30)),181,30))),0)+IFERROR(VALUE(TRIM(MID(SUBSTITUTE(SUBSTITUTE(SUBSTITUTE(UPPER($T121)," ",""),"P",""),";",REPT(" ",30)),211,30))),0)))))</f>
        <v/>
      </c>
      <c r="W121" s="26" t="n"/>
      <c r="X121" s="13" t="n"/>
    </row>
    <row r="122">
      <c r="A122" s="6">
        <f>IF($C122="","",24)</f>
        <v/>
      </c>
      <c r="B122" s="6">
        <f>IF($C122="","","4ª Sessão")</f>
        <v/>
      </c>
      <c r="C122" s="6">
        <f>IF(Preenchimento!$B$33="","",Preenchimento!$B$33)</f>
        <v/>
      </c>
      <c r="D122" s="6">
        <f>IF($C122="","",IF(Preenchimento!$C$33="","-",Preenchimento!$C$33))</f>
        <v/>
      </c>
      <c r="E122" s="6" t="n"/>
      <c r="F122" s="6" t="n"/>
      <c r="G122" s="26" t="n"/>
      <c r="H122" s="6" t="n"/>
      <c r="I122" s="13" t="n"/>
      <c r="J122" s="27">
        <f>IF($C122="","",IF($E122="Falta","-",MAX(0,MIN(10,8+IFERROR(VALUE(TRIM(MID(SUBSTITUTE(SUBSTITUTE(SUBSTITUTE(UPPER($H122)," ",""),"D",""),";",REPT(" ",30)),1,30))),0)+IFERROR(VALUE(TRIM(MID(SUBSTITUTE(SUBSTITUTE(SUBSTITUTE(UPPER($H122)," ",""),"D",""),";",REPT(" ",30)),31,30))),0)+IFERROR(VALUE(TRIM(MID(SUBSTITUTE(SUBSTITUTE(SUBSTITUTE(UPPER($H122)," ",""),"D",""),";",REPT(" ",30)),61,30))),0)+IFERROR(VALUE(TRIM(MID(SUBSTITUTE(SUBSTITUTE(SUBSTITUTE(UPPER($H122)," ",""),"D",""),";",REPT(" ",30)),91,30))),0)+IFERROR(VALUE(TRIM(MID(SUBSTITUTE(SUBSTITUTE(SUBSTITUTE(UPPER($H122)," ",""),"D",""),";",REPT(" ",30)),121,30))),0)+IFERROR(VALUE(TRIM(MID(SUBSTITUTE(SUBSTITUTE(SUBSTITUTE(UPPER($H122)," ",""),"D",""),";",REPT(" ",30)),151,30))),0)+IFERROR(VALUE(TRIM(MID(SUBSTITUTE(SUBSTITUTE(SUBSTITUTE(UPPER($H122)," ",""),"D",""),";",REPT(" ",30)),181,30))),0)+IFERROR(VALUE(TRIM(MID(SUBSTITUTE(SUBSTITUTE(SUBSTITUTE(UPPER($H122)," ",""),"D",""),";",REPT(" ",30)),211,30))),0)))))</f>
        <v/>
      </c>
      <c r="K122" s="26" t="n"/>
      <c r="L122" s="6" t="n"/>
      <c r="M122" s="13" t="n"/>
      <c r="N122" s="27">
        <f>IF($C122="","",IF($E122="Falta","-",MAX(0,MIN(10,8+IFERROR(VALUE(TRIM(MID(SUBSTITUTE(SUBSTITUTE(SUBSTITUTE(UPPER($L122)," ",""),"F",""),";",REPT(" ",30)),1,30))),0)+IFERROR(VALUE(TRIM(MID(SUBSTITUTE(SUBSTITUTE(SUBSTITUTE(UPPER($L122)," ",""),"F",""),";",REPT(" ",30)),31,30))),0)+IFERROR(VALUE(TRIM(MID(SUBSTITUTE(SUBSTITUTE(SUBSTITUTE(UPPER($L122)," ",""),"F",""),";",REPT(" ",30)),61,30))),0)+IFERROR(VALUE(TRIM(MID(SUBSTITUTE(SUBSTITUTE(SUBSTITUTE(UPPER($L122)," ",""),"F",""),";",REPT(" ",30)),91,30))),0)+IFERROR(VALUE(TRIM(MID(SUBSTITUTE(SUBSTITUTE(SUBSTITUTE(UPPER($L122)," ",""),"F",""),";",REPT(" ",30)),121,30))),0)+IFERROR(VALUE(TRIM(MID(SUBSTITUTE(SUBSTITUTE(SUBSTITUTE(UPPER($L122)," ",""),"F",""),";",REPT(" ",30)),151,30))),0)+IFERROR(VALUE(TRIM(MID(SUBSTITUTE(SUBSTITUTE(SUBSTITUTE(UPPER($L122)," ",""),"F",""),";",REPT(" ",30)),181,30))),0)+IFERROR(VALUE(TRIM(MID(SUBSTITUTE(SUBSTITUTE(SUBSTITUTE(UPPER($L122)," ",""),"F",""),";",REPT(" ",30)),211,30))),0)))))</f>
        <v/>
      </c>
      <c r="O122" s="26" t="n"/>
      <c r="P122" s="6" t="n"/>
      <c r="Q122" s="13" t="n"/>
      <c r="R122" s="27">
        <f>IF($C122="","",IF($E122="Falta","-",MAX(0,MIN(10,5+IFERROR(VALUE(TRIM(MID(SUBSTITUTE(SUBSTITUTE(SUBSTITUTE(UPPER($P122)," ",""),"C",""),";",REPT(" ",30)),1,30))),0)+IFERROR(VALUE(TRIM(MID(SUBSTITUTE(SUBSTITUTE(SUBSTITUTE(UPPER($P122)," ",""),"C",""),";",REPT(" ",30)),31,30))),0)+IFERROR(VALUE(TRIM(MID(SUBSTITUTE(SUBSTITUTE(SUBSTITUTE(UPPER($P122)," ",""),"C",""),";",REPT(" ",30)),61,30))),0)+IFERROR(VALUE(TRIM(MID(SUBSTITUTE(SUBSTITUTE(SUBSTITUTE(UPPER($P122)," ",""),"C",""),";",REPT(" ",30)),91,30))),0)+IFERROR(VALUE(TRIM(MID(SUBSTITUTE(SUBSTITUTE(SUBSTITUTE(UPPER($P122)," ",""),"C",""),";",REPT(" ",30)),121,30))),0)+IFERROR(VALUE(TRIM(MID(SUBSTITUTE(SUBSTITUTE(SUBSTITUTE(UPPER($P122)," ",""),"C",""),";",REPT(" ",30)),151,30))),0)+IFERROR(VALUE(TRIM(MID(SUBSTITUTE(SUBSTITUTE(SUBSTITUTE(UPPER($P122)," ",""),"C",""),";",REPT(" ",30)),181,30))),0)+IFERROR(VALUE(TRIM(MID(SUBSTITUTE(SUBSTITUTE(SUBSTITUTE(UPPER($P122)," ",""),"C",""),";",REPT(" ",30)),211,30))),0)))))</f>
        <v/>
      </c>
      <c r="S122" s="26" t="n"/>
      <c r="T122" s="6" t="n"/>
      <c r="U122" s="13" t="n"/>
      <c r="V122" s="27">
        <f>IF($C122="","",IF($E122="Falta","-",MAX(0,MIN(10,5+IFERROR(VALUE(TRIM(MID(SUBSTITUTE(SUBSTITUTE(SUBSTITUTE(UPPER($T122)," ",""),"P",""),";",REPT(" ",30)),1,30))),0)+IFERROR(VALUE(TRIM(MID(SUBSTITUTE(SUBSTITUTE(SUBSTITUTE(UPPER($T122)," ",""),"P",""),";",REPT(" ",30)),31,30))),0)+IFERROR(VALUE(TRIM(MID(SUBSTITUTE(SUBSTITUTE(SUBSTITUTE(UPPER($T122)," ",""),"P",""),";",REPT(" ",30)),61,30))),0)+IFERROR(VALUE(TRIM(MID(SUBSTITUTE(SUBSTITUTE(SUBSTITUTE(UPPER($T122)," ",""),"P",""),";",REPT(" ",30)),91,30))),0)+IFERROR(VALUE(TRIM(MID(SUBSTITUTE(SUBSTITUTE(SUBSTITUTE(UPPER($T122)," ",""),"P",""),";",REPT(" ",30)),121,30))),0)+IFERROR(VALUE(TRIM(MID(SUBSTITUTE(SUBSTITUTE(SUBSTITUTE(UPPER($T122)," ",""),"P",""),";",REPT(" ",30)),151,30))),0)+IFERROR(VALUE(TRIM(MID(SUBSTITUTE(SUBSTITUTE(SUBSTITUTE(UPPER($T122)," ",""),"P",""),";",REPT(" ",30)),181,30))),0)+IFERROR(VALUE(TRIM(MID(SUBSTITUTE(SUBSTITUTE(SUBSTITUTE(UPPER($T122)," ",""),"P",""),";",REPT(" ",30)),211,30))),0)))))</f>
        <v/>
      </c>
      <c r="W122" s="26" t="n"/>
      <c r="X122" s="13" t="n"/>
    </row>
    <row r="123">
      <c r="A123" s="6">
        <f>IF($C123="","",24)</f>
        <v/>
      </c>
      <c r="B123" s="6">
        <f>IF($C123="","","5ª Sessão")</f>
        <v/>
      </c>
      <c r="C123" s="6">
        <f>IF(Preenchimento!$B$33="","",Preenchimento!$B$33)</f>
        <v/>
      </c>
      <c r="D123" s="6">
        <f>IF($C123="","",IF(Preenchimento!$C$33="","-",Preenchimento!$C$33))</f>
        <v/>
      </c>
      <c r="E123" s="6" t="n"/>
      <c r="F123" s="6" t="n"/>
      <c r="G123" s="26" t="n"/>
      <c r="H123" s="6" t="n"/>
      <c r="I123" s="13" t="n"/>
      <c r="J123" s="27">
        <f>IF($C123="","",IF($E123="Falta","-",MAX(0,MIN(10,8+IFERROR(VALUE(TRIM(MID(SUBSTITUTE(SUBSTITUTE(SUBSTITUTE(UPPER($H123)," ",""),"D",""),";",REPT(" ",30)),1,30))),0)+IFERROR(VALUE(TRIM(MID(SUBSTITUTE(SUBSTITUTE(SUBSTITUTE(UPPER($H123)," ",""),"D",""),";",REPT(" ",30)),31,30))),0)+IFERROR(VALUE(TRIM(MID(SUBSTITUTE(SUBSTITUTE(SUBSTITUTE(UPPER($H123)," ",""),"D",""),";",REPT(" ",30)),61,30))),0)+IFERROR(VALUE(TRIM(MID(SUBSTITUTE(SUBSTITUTE(SUBSTITUTE(UPPER($H123)," ",""),"D",""),";",REPT(" ",30)),91,30))),0)+IFERROR(VALUE(TRIM(MID(SUBSTITUTE(SUBSTITUTE(SUBSTITUTE(UPPER($H123)," ",""),"D",""),";",REPT(" ",30)),121,30))),0)+IFERROR(VALUE(TRIM(MID(SUBSTITUTE(SUBSTITUTE(SUBSTITUTE(UPPER($H123)," ",""),"D",""),";",REPT(" ",30)),151,30))),0)+IFERROR(VALUE(TRIM(MID(SUBSTITUTE(SUBSTITUTE(SUBSTITUTE(UPPER($H123)," ",""),"D",""),";",REPT(" ",30)),181,30))),0)+IFERROR(VALUE(TRIM(MID(SUBSTITUTE(SUBSTITUTE(SUBSTITUTE(UPPER($H123)," ",""),"D",""),";",REPT(" ",30)),211,30))),0)))))</f>
        <v/>
      </c>
      <c r="K123" s="26" t="n"/>
      <c r="L123" s="6" t="n"/>
      <c r="M123" s="13" t="n"/>
      <c r="N123" s="27">
        <f>IF($C123="","",IF($E123="Falta","-",MAX(0,MIN(10,8+IFERROR(VALUE(TRIM(MID(SUBSTITUTE(SUBSTITUTE(SUBSTITUTE(UPPER($L123)," ",""),"F",""),";",REPT(" ",30)),1,30))),0)+IFERROR(VALUE(TRIM(MID(SUBSTITUTE(SUBSTITUTE(SUBSTITUTE(UPPER($L123)," ",""),"F",""),";",REPT(" ",30)),31,30))),0)+IFERROR(VALUE(TRIM(MID(SUBSTITUTE(SUBSTITUTE(SUBSTITUTE(UPPER($L123)," ",""),"F",""),";",REPT(" ",30)),61,30))),0)+IFERROR(VALUE(TRIM(MID(SUBSTITUTE(SUBSTITUTE(SUBSTITUTE(UPPER($L123)," ",""),"F",""),";",REPT(" ",30)),91,30))),0)+IFERROR(VALUE(TRIM(MID(SUBSTITUTE(SUBSTITUTE(SUBSTITUTE(UPPER($L123)," ",""),"F",""),";",REPT(" ",30)),121,30))),0)+IFERROR(VALUE(TRIM(MID(SUBSTITUTE(SUBSTITUTE(SUBSTITUTE(UPPER($L123)," ",""),"F",""),";",REPT(" ",30)),151,30))),0)+IFERROR(VALUE(TRIM(MID(SUBSTITUTE(SUBSTITUTE(SUBSTITUTE(UPPER($L123)," ",""),"F",""),";",REPT(" ",30)),181,30))),0)+IFERROR(VALUE(TRIM(MID(SUBSTITUTE(SUBSTITUTE(SUBSTITUTE(UPPER($L123)," ",""),"F",""),";",REPT(" ",30)),211,30))),0)))))</f>
        <v/>
      </c>
      <c r="O123" s="26" t="n"/>
      <c r="P123" s="6" t="n"/>
      <c r="Q123" s="13" t="n"/>
      <c r="R123" s="27">
        <f>IF($C123="","",IF($E123="Falta","-",MAX(0,MIN(10,5+IFERROR(VALUE(TRIM(MID(SUBSTITUTE(SUBSTITUTE(SUBSTITUTE(UPPER($P123)," ",""),"C",""),";",REPT(" ",30)),1,30))),0)+IFERROR(VALUE(TRIM(MID(SUBSTITUTE(SUBSTITUTE(SUBSTITUTE(UPPER($P123)," ",""),"C",""),";",REPT(" ",30)),31,30))),0)+IFERROR(VALUE(TRIM(MID(SUBSTITUTE(SUBSTITUTE(SUBSTITUTE(UPPER($P123)," ",""),"C",""),";",REPT(" ",30)),61,30))),0)+IFERROR(VALUE(TRIM(MID(SUBSTITUTE(SUBSTITUTE(SUBSTITUTE(UPPER($P123)," ",""),"C",""),";",REPT(" ",30)),91,30))),0)+IFERROR(VALUE(TRIM(MID(SUBSTITUTE(SUBSTITUTE(SUBSTITUTE(UPPER($P123)," ",""),"C",""),";",REPT(" ",30)),121,30))),0)+IFERROR(VALUE(TRIM(MID(SUBSTITUTE(SUBSTITUTE(SUBSTITUTE(UPPER($P123)," ",""),"C",""),";",REPT(" ",30)),151,30))),0)+IFERROR(VALUE(TRIM(MID(SUBSTITUTE(SUBSTITUTE(SUBSTITUTE(UPPER($P123)," ",""),"C",""),";",REPT(" ",30)),181,30))),0)+IFERROR(VALUE(TRIM(MID(SUBSTITUTE(SUBSTITUTE(SUBSTITUTE(UPPER($P123)," ",""),"C",""),";",REPT(" ",30)),211,30))),0)))))</f>
        <v/>
      </c>
      <c r="S123" s="26" t="n"/>
      <c r="T123" s="6" t="n"/>
      <c r="U123" s="13" t="n"/>
      <c r="V123" s="27">
        <f>IF($C123="","",IF($E123="Falta","-",MAX(0,MIN(10,5+IFERROR(VALUE(TRIM(MID(SUBSTITUTE(SUBSTITUTE(SUBSTITUTE(UPPER($T123)," ",""),"P",""),";",REPT(" ",30)),1,30))),0)+IFERROR(VALUE(TRIM(MID(SUBSTITUTE(SUBSTITUTE(SUBSTITUTE(UPPER($T123)," ",""),"P",""),";",REPT(" ",30)),31,30))),0)+IFERROR(VALUE(TRIM(MID(SUBSTITUTE(SUBSTITUTE(SUBSTITUTE(UPPER($T123)," ",""),"P",""),";",REPT(" ",30)),61,30))),0)+IFERROR(VALUE(TRIM(MID(SUBSTITUTE(SUBSTITUTE(SUBSTITUTE(UPPER($T123)," ",""),"P",""),";",REPT(" ",30)),91,30))),0)+IFERROR(VALUE(TRIM(MID(SUBSTITUTE(SUBSTITUTE(SUBSTITUTE(UPPER($T123)," ",""),"P",""),";",REPT(" ",30)),121,30))),0)+IFERROR(VALUE(TRIM(MID(SUBSTITUTE(SUBSTITUTE(SUBSTITUTE(UPPER($T123)," ",""),"P",""),";",REPT(" ",30)),151,30))),0)+IFERROR(VALUE(TRIM(MID(SUBSTITUTE(SUBSTITUTE(SUBSTITUTE(UPPER($T123)," ",""),"P",""),";",REPT(" ",30)),181,30))),0)+IFERROR(VALUE(TRIM(MID(SUBSTITUTE(SUBSTITUTE(SUBSTITUTE(UPPER($T123)," ",""),"P",""),";",REPT(" ",30)),211,30))),0)))))</f>
        <v/>
      </c>
      <c r="W123" s="26" t="n"/>
      <c r="X123" s="13" t="n"/>
    </row>
    <row r="124">
      <c r="A124" s="8">
        <f>IF($C124="","",25)</f>
        <v/>
      </c>
      <c r="B124" s="8">
        <f>IF($C124="","","1ª Sessão")</f>
        <v/>
      </c>
      <c r="C124" s="8">
        <f>IF(Preenchimento!$B$34="","",Preenchimento!$B$34)</f>
        <v/>
      </c>
      <c r="D124" s="8">
        <f>IF($C124="","",IF(Preenchimento!$C$34="","-",Preenchimento!$C$34))</f>
        <v/>
      </c>
      <c r="E124" s="8" t="n"/>
      <c r="F124" s="8" t="n"/>
      <c r="G124" s="24" t="n"/>
      <c r="H124" s="8" t="n"/>
      <c r="I124" s="14" t="n"/>
      <c r="J124" s="25">
        <f>IF($C124="","",IF($E124="Falta","-",MAX(0,MIN(10,8+IFERROR(VALUE(TRIM(MID(SUBSTITUTE(SUBSTITUTE(SUBSTITUTE(UPPER($H124)," ",""),"D",""),";",REPT(" ",30)),1,30))),0)+IFERROR(VALUE(TRIM(MID(SUBSTITUTE(SUBSTITUTE(SUBSTITUTE(UPPER($H124)," ",""),"D",""),";",REPT(" ",30)),31,30))),0)+IFERROR(VALUE(TRIM(MID(SUBSTITUTE(SUBSTITUTE(SUBSTITUTE(UPPER($H124)," ",""),"D",""),";",REPT(" ",30)),61,30))),0)+IFERROR(VALUE(TRIM(MID(SUBSTITUTE(SUBSTITUTE(SUBSTITUTE(UPPER($H124)," ",""),"D",""),";",REPT(" ",30)),91,30))),0)+IFERROR(VALUE(TRIM(MID(SUBSTITUTE(SUBSTITUTE(SUBSTITUTE(UPPER($H124)," ",""),"D",""),";",REPT(" ",30)),121,30))),0)+IFERROR(VALUE(TRIM(MID(SUBSTITUTE(SUBSTITUTE(SUBSTITUTE(UPPER($H124)," ",""),"D",""),";",REPT(" ",30)),151,30))),0)+IFERROR(VALUE(TRIM(MID(SUBSTITUTE(SUBSTITUTE(SUBSTITUTE(UPPER($H124)," ",""),"D",""),";",REPT(" ",30)),181,30))),0)+IFERROR(VALUE(TRIM(MID(SUBSTITUTE(SUBSTITUTE(SUBSTITUTE(UPPER($H124)," ",""),"D",""),";",REPT(" ",30)),211,30))),0)))))</f>
        <v/>
      </c>
      <c r="K124" s="24" t="n"/>
      <c r="L124" s="8" t="n"/>
      <c r="M124" s="14" t="n"/>
      <c r="N124" s="25">
        <f>IF($C124="","",IF($E124="Falta","-",MAX(0,MIN(10,8+IFERROR(VALUE(TRIM(MID(SUBSTITUTE(SUBSTITUTE(SUBSTITUTE(UPPER($L124)," ",""),"F",""),";",REPT(" ",30)),1,30))),0)+IFERROR(VALUE(TRIM(MID(SUBSTITUTE(SUBSTITUTE(SUBSTITUTE(UPPER($L124)," ",""),"F",""),";",REPT(" ",30)),31,30))),0)+IFERROR(VALUE(TRIM(MID(SUBSTITUTE(SUBSTITUTE(SUBSTITUTE(UPPER($L124)," ",""),"F",""),";",REPT(" ",30)),61,30))),0)+IFERROR(VALUE(TRIM(MID(SUBSTITUTE(SUBSTITUTE(SUBSTITUTE(UPPER($L124)," ",""),"F",""),";",REPT(" ",30)),91,30))),0)+IFERROR(VALUE(TRIM(MID(SUBSTITUTE(SUBSTITUTE(SUBSTITUTE(UPPER($L124)," ",""),"F",""),";",REPT(" ",30)),121,30))),0)+IFERROR(VALUE(TRIM(MID(SUBSTITUTE(SUBSTITUTE(SUBSTITUTE(UPPER($L124)," ",""),"F",""),";",REPT(" ",30)),151,30))),0)+IFERROR(VALUE(TRIM(MID(SUBSTITUTE(SUBSTITUTE(SUBSTITUTE(UPPER($L124)," ",""),"F",""),";",REPT(" ",30)),181,30))),0)+IFERROR(VALUE(TRIM(MID(SUBSTITUTE(SUBSTITUTE(SUBSTITUTE(UPPER($L124)," ",""),"F",""),";",REPT(" ",30)),211,30))),0)))))</f>
        <v/>
      </c>
      <c r="O124" s="24" t="n"/>
      <c r="P124" s="8" t="n"/>
      <c r="Q124" s="14" t="n"/>
      <c r="R124" s="25">
        <f>IF($C124="","",IF($E124="Falta","-",MAX(0,MIN(10,5+IFERROR(VALUE(TRIM(MID(SUBSTITUTE(SUBSTITUTE(SUBSTITUTE(UPPER($P124)," ",""),"C",""),";",REPT(" ",30)),1,30))),0)+IFERROR(VALUE(TRIM(MID(SUBSTITUTE(SUBSTITUTE(SUBSTITUTE(UPPER($P124)," ",""),"C",""),";",REPT(" ",30)),31,30))),0)+IFERROR(VALUE(TRIM(MID(SUBSTITUTE(SUBSTITUTE(SUBSTITUTE(UPPER($P124)," ",""),"C",""),";",REPT(" ",30)),61,30))),0)+IFERROR(VALUE(TRIM(MID(SUBSTITUTE(SUBSTITUTE(SUBSTITUTE(UPPER($P124)," ",""),"C",""),";",REPT(" ",30)),91,30))),0)+IFERROR(VALUE(TRIM(MID(SUBSTITUTE(SUBSTITUTE(SUBSTITUTE(UPPER($P124)," ",""),"C",""),";",REPT(" ",30)),121,30))),0)+IFERROR(VALUE(TRIM(MID(SUBSTITUTE(SUBSTITUTE(SUBSTITUTE(UPPER($P124)," ",""),"C",""),";",REPT(" ",30)),151,30))),0)+IFERROR(VALUE(TRIM(MID(SUBSTITUTE(SUBSTITUTE(SUBSTITUTE(UPPER($P124)," ",""),"C",""),";",REPT(" ",30)),181,30))),0)+IFERROR(VALUE(TRIM(MID(SUBSTITUTE(SUBSTITUTE(SUBSTITUTE(UPPER($P124)," ",""),"C",""),";",REPT(" ",30)),211,30))),0)))))</f>
        <v/>
      </c>
      <c r="S124" s="24" t="n"/>
      <c r="T124" s="8" t="n"/>
      <c r="U124" s="14" t="n"/>
      <c r="V124" s="25">
        <f>IF($C124="","",IF($E124="Falta","-",MAX(0,MIN(10,5+IFERROR(VALUE(TRIM(MID(SUBSTITUTE(SUBSTITUTE(SUBSTITUTE(UPPER($T124)," ",""),"P",""),";",REPT(" ",30)),1,30))),0)+IFERROR(VALUE(TRIM(MID(SUBSTITUTE(SUBSTITUTE(SUBSTITUTE(UPPER($T124)," ",""),"P",""),";",REPT(" ",30)),31,30))),0)+IFERROR(VALUE(TRIM(MID(SUBSTITUTE(SUBSTITUTE(SUBSTITUTE(UPPER($T124)," ",""),"P",""),";",REPT(" ",30)),61,30))),0)+IFERROR(VALUE(TRIM(MID(SUBSTITUTE(SUBSTITUTE(SUBSTITUTE(UPPER($T124)," ",""),"P",""),";",REPT(" ",30)),91,30))),0)+IFERROR(VALUE(TRIM(MID(SUBSTITUTE(SUBSTITUTE(SUBSTITUTE(UPPER($T124)," ",""),"P",""),";",REPT(" ",30)),121,30))),0)+IFERROR(VALUE(TRIM(MID(SUBSTITUTE(SUBSTITUTE(SUBSTITUTE(UPPER($T124)," ",""),"P",""),";",REPT(" ",30)),151,30))),0)+IFERROR(VALUE(TRIM(MID(SUBSTITUTE(SUBSTITUTE(SUBSTITUTE(UPPER($T124)," ",""),"P",""),";",REPT(" ",30)),181,30))),0)+IFERROR(VALUE(TRIM(MID(SUBSTITUTE(SUBSTITUTE(SUBSTITUTE(UPPER($T124)," ",""),"P",""),";",REPT(" ",30)),211,30))),0)))))</f>
        <v/>
      </c>
      <c r="W124" s="24" t="n"/>
      <c r="X124" s="14" t="n"/>
    </row>
    <row r="125">
      <c r="A125" s="8">
        <f>IF($C125="","",25)</f>
        <v/>
      </c>
      <c r="B125" s="8">
        <f>IF($C125="","","2ª Sessão")</f>
        <v/>
      </c>
      <c r="C125" s="8">
        <f>IF(Preenchimento!$B$34="","",Preenchimento!$B$34)</f>
        <v/>
      </c>
      <c r="D125" s="8">
        <f>IF($C125="","",IF(Preenchimento!$C$34="","-",Preenchimento!$C$34))</f>
        <v/>
      </c>
      <c r="E125" s="8" t="n"/>
      <c r="F125" s="8" t="n"/>
      <c r="G125" s="24" t="n"/>
      <c r="H125" s="8" t="n"/>
      <c r="I125" s="14" t="n"/>
      <c r="J125" s="25">
        <f>IF($C125="","",IF($E125="Falta","-",MAX(0,MIN(10,8+IFERROR(VALUE(TRIM(MID(SUBSTITUTE(SUBSTITUTE(SUBSTITUTE(UPPER($H125)," ",""),"D",""),";",REPT(" ",30)),1,30))),0)+IFERROR(VALUE(TRIM(MID(SUBSTITUTE(SUBSTITUTE(SUBSTITUTE(UPPER($H125)," ",""),"D",""),";",REPT(" ",30)),31,30))),0)+IFERROR(VALUE(TRIM(MID(SUBSTITUTE(SUBSTITUTE(SUBSTITUTE(UPPER($H125)," ",""),"D",""),";",REPT(" ",30)),61,30))),0)+IFERROR(VALUE(TRIM(MID(SUBSTITUTE(SUBSTITUTE(SUBSTITUTE(UPPER($H125)," ",""),"D",""),";",REPT(" ",30)),91,30))),0)+IFERROR(VALUE(TRIM(MID(SUBSTITUTE(SUBSTITUTE(SUBSTITUTE(UPPER($H125)," ",""),"D",""),";",REPT(" ",30)),121,30))),0)+IFERROR(VALUE(TRIM(MID(SUBSTITUTE(SUBSTITUTE(SUBSTITUTE(UPPER($H125)," ",""),"D",""),";",REPT(" ",30)),151,30))),0)+IFERROR(VALUE(TRIM(MID(SUBSTITUTE(SUBSTITUTE(SUBSTITUTE(UPPER($H125)," ",""),"D",""),";",REPT(" ",30)),181,30))),0)+IFERROR(VALUE(TRIM(MID(SUBSTITUTE(SUBSTITUTE(SUBSTITUTE(UPPER($H125)," ",""),"D",""),";",REPT(" ",30)),211,30))),0)))))</f>
        <v/>
      </c>
      <c r="K125" s="24" t="n"/>
      <c r="L125" s="8" t="n"/>
      <c r="M125" s="14" t="n"/>
      <c r="N125" s="25">
        <f>IF($C125="","",IF($E125="Falta","-",MAX(0,MIN(10,8+IFERROR(VALUE(TRIM(MID(SUBSTITUTE(SUBSTITUTE(SUBSTITUTE(UPPER($L125)," ",""),"F",""),";",REPT(" ",30)),1,30))),0)+IFERROR(VALUE(TRIM(MID(SUBSTITUTE(SUBSTITUTE(SUBSTITUTE(UPPER($L125)," ",""),"F",""),";",REPT(" ",30)),31,30))),0)+IFERROR(VALUE(TRIM(MID(SUBSTITUTE(SUBSTITUTE(SUBSTITUTE(UPPER($L125)," ",""),"F",""),";",REPT(" ",30)),61,30))),0)+IFERROR(VALUE(TRIM(MID(SUBSTITUTE(SUBSTITUTE(SUBSTITUTE(UPPER($L125)," ",""),"F",""),";",REPT(" ",30)),91,30))),0)+IFERROR(VALUE(TRIM(MID(SUBSTITUTE(SUBSTITUTE(SUBSTITUTE(UPPER($L125)," ",""),"F",""),";",REPT(" ",30)),121,30))),0)+IFERROR(VALUE(TRIM(MID(SUBSTITUTE(SUBSTITUTE(SUBSTITUTE(UPPER($L125)," ",""),"F",""),";",REPT(" ",30)),151,30))),0)+IFERROR(VALUE(TRIM(MID(SUBSTITUTE(SUBSTITUTE(SUBSTITUTE(UPPER($L125)," ",""),"F",""),";",REPT(" ",30)),181,30))),0)+IFERROR(VALUE(TRIM(MID(SUBSTITUTE(SUBSTITUTE(SUBSTITUTE(UPPER($L125)," ",""),"F",""),";",REPT(" ",30)),211,30))),0)))))</f>
        <v/>
      </c>
      <c r="O125" s="24" t="n"/>
      <c r="P125" s="8" t="n"/>
      <c r="Q125" s="14" t="n"/>
      <c r="R125" s="25">
        <f>IF($C125="","",IF($E125="Falta","-",MAX(0,MIN(10,5+IFERROR(VALUE(TRIM(MID(SUBSTITUTE(SUBSTITUTE(SUBSTITUTE(UPPER($P125)," ",""),"C",""),";",REPT(" ",30)),1,30))),0)+IFERROR(VALUE(TRIM(MID(SUBSTITUTE(SUBSTITUTE(SUBSTITUTE(UPPER($P125)," ",""),"C",""),";",REPT(" ",30)),31,30))),0)+IFERROR(VALUE(TRIM(MID(SUBSTITUTE(SUBSTITUTE(SUBSTITUTE(UPPER($P125)," ",""),"C",""),";",REPT(" ",30)),61,30))),0)+IFERROR(VALUE(TRIM(MID(SUBSTITUTE(SUBSTITUTE(SUBSTITUTE(UPPER($P125)," ",""),"C",""),";",REPT(" ",30)),91,30))),0)+IFERROR(VALUE(TRIM(MID(SUBSTITUTE(SUBSTITUTE(SUBSTITUTE(UPPER($P125)," ",""),"C",""),";",REPT(" ",30)),121,30))),0)+IFERROR(VALUE(TRIM(MID(SUBSTITUTE(SUBSTITUTE(SUBSTITUTE(UPPER($P125)," ",""),"C",""),";",REPT(" ",30)),151,30))),0)+IFERROR(VALUE(TRIM(MID(SUBSTITUTE(SUBSTITUTE(SUBSTITUTE(UPPER($P125)," ",""),"C",""),";",REPT(" ",30)),181,30))),0)+IFERROR(VALUE(TRIM(MID(SUBSTITUTE(SUBSTITUTE(SUBSTITUTE(UPPER($P125)," ",""),"C",""),";",REPT(" ",30)),211,30))),0)))))</f>
        <v/>
      </c>
      <c r="S125" s="24" t="n"/>
      <c r="T125" s="8" t="n"/>
      <c r="U125" s="14" t="n"/>
      <c r="V125" s="25">
        <f>IF($C125="","",IF($E125="Falta","-",MAX(0,MIN(10,5+IFERROR(VALUE(TRIM(MID(SUBSTITUTE(SUBSTITUTE(SUBSTITUTE(UPPER($T125)," ",""),"P",""),";",REPT(" ",30)),1,30))),0)+IFERROR(VALUE(TRIM(MID(SUBSTITUTE(SUBSTITUTE(SUBSTITUTE(UPPER($T125)," ",""),"P",""),";",REPT(" ",30)),31,30))),0)+IFERROR(VALUE(TRIM(MID(SUBSTITUTE(SUBSTITUTE(SUBSTITUTE(UPPER($T125)," ",""),"P",""),";",REPT(" ",30)),61,30))),0)+IFERROR(VALUE(TRIM(MID(SUBSTITUTE(SUBSTITUTE(SUBSTITUTE(UPPER($T125)," ",""),"P",""),";",REPT(" ",30)),91,30))),0)+IFERROR(VALUE(TRIM(MID(SUBSTITUTE(SUBSTITUTE(SUBSTITUTE(UPPER($T125)," ",""),"P",""),";",REPT(" ",30)),121,30))),0)+IFERROR(VALUE(TRIM(MID(SUBSTITUTE(SUBSTITUTE(SUBSTITUTE(UPPER($T125)," ",""),"P",""),";",REPT(" ",30)),151,30))),0)+IFERROR(VALUE(TRIM(MID(SUBSTITUTE(SUBSTITUTE(SUBSTITUTE(UPPER($T125)," ",""),"P",""),";",REPT(" ",30)),181,30))),0)+IFERROR(VALUE(TRIM(MID(SUBSTITUTE(SUBSTITUTE(SUBSTITUTE(UPPER($T125)," ",""),"P",""),";",REPT(" ",30)),211,30))),0)))))</f>
        <v/>
      </c>
      <c r="W125" s="24" t="n"/>
      <c r="X125" s="14" t="n"/>
    </row>
    <row r="126">
      <c r="A126" s="8">
        <f>IF($C126="","",25)</f>
        <v/>
      </c>
      <c r="B126" s="8">
        <f>IF($C126="","","3ª Sessão")</f>
        <v/>
      </c>
      <c r="C126" s="8">
        <f>IF(Preenchimento!$B$34="","",Preenchimento!$B$34)</f>
        <v/>
      </c>
      <c r="D126" s="8">
        <f>IF($C126="","",IF(Preenchimento!$C$34="","-",Preenchimento!$C$34))</f>
        <v/>
      </c>
      <c r="E126" s="8" t="n"/>
      <c r="F126" s="8" t="n"/>
      <c r="G126" s="24" t="n"/>
      <c r="H126" s="8" t="n"/>
      <c r="I126" s="14" t="n"/>
      <c r="J126" s="25">
        <f>IF($C126="","",IF($E126="Falta","-",MAX(0,MIN(10,8+IFERROR(VALUE(TRIM(MID(SUBSTITUTE(SUBSTITUTE(SUBSTITUTE(UPPER($H126)," ",""),"D",""),";",REPT(" ",30)),1,30))),0)+IFERROR(VALUE(TRIM(MID(SUBSTITUTE(SUBSTITUTE(SUBSTITUTE(UPPER($H126)," ",""),"D",""),";",REPT(" ",30)),31,30))),0)+IFERROR(VALUE(TRIM(MID(SUBSTITUTE(SUBSTITUTE(SUBSTITUTE(UPPER($H126)," ",""),"D",""),";",REPT(" ",30)),61,30))),0)+IFERROR(VALUE(TRIM(MID(SUBSTITUTE(SUBSTITUTE(SUBSTITUTE(UPPER($H126)," ",""),"D",""),";",REPT(" ",30)),91,30))),0)+IFERROR(VALUE(TRIM(MID(SUBSTITUTE(SUBSTITUTE(SUBSTITUTE(UPPER($H126)," ",""),"D",""),";",REPT(" ",30)),121,30))),0)+IFERROR(VALUE(TRIM(MID(SUBSTITUTE(SUBSTITUTE(SUBSTITUTE(UPPER($H126)," ",""),"D",""),";",REPT(" ",30)),151,30))),0)+IFERROR(VALUE(TRIM(MID(SUBSTITUTE(SUBSTITUTE(SUBSTITUTE(UPPER($H126)," ",""),"D",""),";",REPT(" ",30)),181,30))),0)+IFERROR(VALUE(TRIM(MID(SUBSTITUTE(SUBSTITUTE(SUBSTITUTE(UPPER($H126)," ",""),"D",""),";",REPT(" ",30)),211,30))),0)))))</f>
        <v/>
      </c>
      <c r="K126" s="24" t="n"/>
      <c r="L126" s="8" t="n"/>
      <c r="M126" s="14" t="n"/>
      <c r="N126" s="25">
        <f>IF($C126="","",IF($E126="Falta","-",MAX(0,MIN(10,8+IFERROR(VALUE(TRIM(MID(SUBSTITUTE(SUBSTITUTE(SUBSTITUTE(UPPER($L126)," ",""),"F",""),";",REPT(" ",30)),1,30))),0)+IFERROR(VALUE(TRIM(MID(SUBSTITUTE(SUBSTITUTE(SUBSTITUTE(UPPER($L126)," ",""),"F",""),";",REPT(" ",30)),31,30))),0)+IFERROR(VALUE(TRIM(MID(SUBSTITUTE(SUBSTITUTE(SUBSTITUTE(UPPER($L126)," ",""),"F",""),";",REPT(" ",30)),61,30))),0)+IFERROR(VALUE(TRIM(MID(SUBSTITUTE(SUBSTITUTE(SUBSTITUTE(UPPER($L126)," ",""),"F",""),";",REPT(" ",30)),91,30))),0)+IFERROR(VALUE(TRIM(MID(SUBSTITUTE(SUBSTITUTE(SUBSTITUTE(UPPER($L126)," ",""),"F",""),";",REPT(" ",30)),121,30))),0)+IFERROR(VALUE(TRIM(MID(SUBSTITUTE(SUBSTITUTE(SUBSTITUTE(UPPER($L126)," ",""),"F",""),";",REPT(" ",30)),151,30))),0)+IFERROR(VALUE(TRIM(MID(SUBSTITUTE(SUBSTITUTE(SUBSTITUTE(UPPER($L126)," ",""),"F",""),";",REPT(" ",30)),181,30))),0)+IFERROR(VALUE(TRIM(MID(SUBSTITUTE(SUBSTITUTE(SUBSTITUTE(UPPER($L126)," ",""),"F",""),";",REPT(" ",30)),211,30))),0)))))</f>
        <v/>
      </c>
      <c r="O126" s="24" t="n"/>
      <c r="P126" s="8" t="n"/>
      <c r="Q126" s="14" t="n"/>
      <c r="R126" s="25">
        <f>IF($C126="","",IF($E126="Falta","-",MAX(0,MIN(10,5+IFERROR(VALUE(TRIM(MID(SUBSTITUTE(SUBSTITUTE(SUBSTITUTE(UPPER($P126)," ",""),"C",""),";",REPT(" ",30)),1,30))),0)+IFERROR(VALUE(TRIM(MID(SUBSTITUTE(SUBSTITUTE(SUBSTITUTE(UPPER($P126)," ",""),"C",""),";",REPT(" ",30)),31,30))),0)+IFERROR(VALUE(TRIM(MID(SUBSTITUTE(SUBSTITUTE(SUBSTITUTE(UPPER($P126)," ",""),"C",""),";",REPT(" ",30)),61,30))),0)+IFERROR(VALUE(TRIM(MID(SUBSTITUTE(SUBSTITUTE(SUBSTITUTE(UPPER($P126)," ",""),"C",""),";",REPT(" ",30)),91,30))),0)+IFERROR(VALUE(TRIM(MID(SUBSTITUTE(SUBSTITUTE(SUBSTITUTE(UPPER($P126)," ",""),"C",""),";",REPT(" ",30)),121,30))),0)+IFERROR(VALUE(TRIM(MID(SUBSTITUTE(SUBSTITUTE(SUBSTITUTE(UPPER($P126)," ",""),"C",""),";",REPT(" ",30)),151,30))),0)+IFERROR(VALUE(TRIM(MID(SUBSTITUTE(SUBSTITUTE(SUBSTITUTE(UPPER($P126)," ",""),"C",""),";",REPT(" ",30)),181,30))),0)+IFERROR(VALUE(TRIM(MID(SUBSTITUTE(SUBSTITUTE(SUBSTITUTE(UPPER($P126)," ",""),"C",""),";",REPT(" ",30)),211,30))),0)))))</f>
        <v/>
      </c>
      <c r="S126" s="24" t="n"/>
      <c r="T126" s="8" t="n"/>
      <c r="U126" s="14" t="n"/>
      <c r="V126" s="25">
        <f>IF($C126="","",IF($E126="Falta","-",MAX(0,MIN(10,5+IFERROR(VALUE(TRIM(MID(SUBSTITUTE(SUBSTITUTE(SUBSTITUTE(UPPER($T126)," ",""),"P",""),";",REPT(" ",30)),1,30))),0)+IFERROR(VALUE(TRIM(MID(SUBSTITUTE(SUBSTITUTE(SUBSTITUTE(UPPER($T126)," ",""),"P",""),";",REPT(" ",30)),31,30))),0)+IFERROR(VALUE(TRIM(MID(SUBSTITUTE(SUBSTITUTE(SUBSTITUTE(UPPER($T126)," ",""),"P",""),";",REPT(" ",30)),61,30))),0)+IFERROR(VALUE(TRIM(MID(SUBSTITUTE(SUBSTITUTE(SUBSTITUTE(UPPER($T126)," ",""),"P",""),";",REPT(" ",30)),91,30))),0)+IFERROR(VALUE(TRIM(MID(SUBSTITUTE(SUBSTITUTE(SUBSTITUTE(UPPER($T126)," ",""),"P",""),";",REPT(" ",30)),121,30))),0)+IFERROR(VALUE(TRIM(MID(SUBSTITUTE(SUBSTITUTE(SUBSTITUTE(UPPER($T126)," ",""),"P",""),";",REPT(" ",30)),151,30))),0)+IFERROR(VALUE(TRIM(MID(SUBSTITUTE(SUBSTITUTE(SUBSTITUTE(UPPER($T126)," ",""),"P",""),";",REPT(" ",30)),181,30))),0)+IFERROR(VALUE(TRIM(MID(SUBSTITUTE(SUBSTITUTE(SUBSTITUTE(UPPER($T126)," ",""),"P",""),";",REPT(" ",30)),211,30))),0)))))</f>
        <v/>
      </c>
      <c r="W126" s="24" t="n"/>
      <c r="X126" s="14" t="n"/>
    </row>
    <row r="127">
      <c r="A127" s="8">
        <f>IF($C127="","",25)</f>
        <v/>
      </c>
      <c r="B127" s="8">
        <f>IF($C127="","","4ª Sessão")</f>
        <v/>
      </c>
      <c r="C127" s="8">
        <f>IF(Preenchimento!$B$34="","",Preenchimento!$B$34)</f>
        <v/>
      </c>
      <c r="D127" s="8">
        <f>IF($C127="","",IF(Preenchimento!$C$34="","-",Preenchimento!$C$34))</f>
        <v/>
      </c>
      <c r="E127" s="8" t="n"/>
      <c r="F127" s="8" t="n"/>
      <c r="G127" s="24" t="n"/>
      <c r="H127" s="8" t="n"/>
      <c r="I127" s="14" t="n"/>
      <c r="J127" s="25">
        <f>IF($C127="","",IF($E127="Falta","-",MAX(0,MIN(10,8+IFERROR(VALUE(TRIM(MID(SUBSTITUTE(SUBSTITUTE(SUBSTITUTE(UPPER($H127)," ",""),"D",""),";",REPT(" ",30)),1,30))),0)+IFERROR(VALUE(TRIM(MID(SUBSTITUTE(SUBSTITUTE(SUBSTITUTE(UPPER($H127)," ",""),"D",""),";",REPT(" ",30)),31,30))),0)+IFERROR(VALUE(TRIM(MID(SUBSTITUTE(SUBSTITUTE(SUBSTITUTE(UPPER($H127)," ",""),"D",""),";",REPT(" ",30)),61,30))),0)+IFERROR(VALUE(TRIM(MID(SUBSTITUTE(SUBSTITUTE(SUBSTITUTE(UPPER($H127)," ",""),"D",""),";",REPT(" ",30)),91,30))),0)+IFERROR(VALUE(TRIM(MID(SUBSTITUTE(SUBSTITUTE(SUBSTITUTE(UPPER($H127)," ",""),"D",""),";",REPT(" ",30)),121,30))),0)+IFERROR(VALUE(TRIM(MID(SUBSTITUTE(SUBSTITUTE(SUBSTITUTE(UPPER($H127)," ",""),"D",""),";",REPT(" ",30)),151,30))),0)+IFERROR(VALUE(TRIM(MID(SUBSTITUTE(SUBSTITUTE(SUBSTITUTE(UPPER($H127)," ",""),"D",""),";",REPT(" ",30)),181,30))),0)+IFERROR(VALUE(TRIM(MID(SUBSTITUTE(SUBSTITUTE(SUBSTITUTE(UPPER($H127)," ",""),"D",""),";",REPT(" ",30)),211,30))),0)))))</f>
        <v/>
      </c>
      <c r="K127" s="24" t="n"/>
      <c r="L127" s="8" t="n"/>
      <c r="M127" s="14" t="n"/>
      <c r="N127" s="25">
        <f>IF($C127="","",IF($E127="Falta","-",MAX(0,MIN(10,8+IFERROR(VALUE(TRIM(MID(SUBSTITUTE(SUBSTITUTE(SUBSTITUTE(UPPER($L127)," ",""),"F",""),";",REPT(" ",30)),1,30))),0)+IFERROR(VALUE(TRIM(MID(SUBSTITUTE(SUBSTITUTE(SUBSTITUTE(UPPER($L127)," ",""),"F",""),";",REPT(" ",30)),31,30))),0)+IFERROR(VALUE(TRIM(MID(SUBSTITUTE(SUBSTITUTE(SUBSTITUTE(UPPER($L127)," ",""),"F",""),";",REPT(" ",30)),61,30))),0)+IFERROR(VALUE(TRIM(MID(SUBSTITUTE(SUBSTITUTE(SUBSTITUTE(UPPER($L127)," ",""),"F",""),";",REPT(" ",30)),91,30))),0)+IFERROR(VALUE(TRIM(MID(SUBSTITUTE(SUBSTITUTE(SUBSTITUTE(UPPER($L127)," ",""),"F",""),";",REPT(" ",30)),121,30))),0)+IFERROR(VALUE(TRIM(MID(SUBSTITUTE(SUBSTITUTE(SUBSTITUTE(UPPER($L127)," ",""),"F",""),";",REPT(" ",30)),151,30))),0)+IFERROR(VALUE(TRIM(MID(SUBSTITUTE(SUBSTITUTE(SUBSTITUTE(UPPER($L127)," ",""),"F",""),";",REPT(" ",30)),181,30))),0)+IFERROR(VALUE(TRIM(MID(SUBSTITUTE(SUBSTITUTE(SUBSTITUTE(UPPER($L127)," ",""),"F",""),";",REPT(" ",30)),211,30))),0)))))</f>
        <v/>
      </c>
      <c r="O127" s="24" t="n"/>
      <c r="P127" s="8" t="n"/>
      <c r="Q127" s="14" t="n"/>
      <c r="R127" s="25">
        <f>IF($C127="","",IF($E127="Falta","-",MAX(0,MIN(10,5+IFERROR(VALUE(TRIM(MID(SUBSTITUTE(SUBSTITUTE(SUBSTITUTE(UPPER($P127)," ",""),"C",""),";",REPT(" ",30)),1,30))),0)+IFERROR(VALUE(TRIM(MID(SUBSTITUTE(SUBSTITUTE(SUBSTITUTE(UPPER($P127)," ",""),"C",""),";",REPT(" ",30)),31,30))),0)+IFERROR(VALUE(TRIM(MID(SUBSTITUTE(SUBSTITUTE(SUBSTITUTE(UPPER($P127)," ",""),"C",""),";",REPT(" ",30)),61,30))),0)+IFERROR(VALUE(TRIM(MID(SUBSTITUTE(SUBSTITUTE(SUBSTITUTE(UPPER($P127)," ",""),"C",""),";",REPT(" ",30)),91,30))),0)+IFERROR(VALUE(TRIM(MID(SUBSTITUTE(SUBSTITUTE(SUBSTITUTE(UPPER($P127)," ",""),"C",""),";",REPT(" ",30)),121,30))),0)+IFERROR(VALUE(TRIM(MID(SUBSTITUTE(SUBSTITUTE(SUBSTITUTE(UPPER($P127)," ",""),"C",""),";",REPT(" ",30)),151,30))),0)+IFERROR(VALUE(TRIM(MID(SUBSTITUTE(SUBSTITUTE(SUBSTITUTE(UPPER($P127)," ",""),"C",""),";",REPT(" ",30)),181,30))),0)+IFERROR(VALUE(TRIM(MID(SUBSTITUTE(SUBSTITUTE(SUBSTITUTE(UPPER($P127)," ",""),"C",""),";",REPT(" ",30)),211,30))),0)))))</f>
        <v/>
      </c>
      <c r="S127" s="24" t="n"/>
      <c r="T127" s="8" t="n"/>
      <c r="U127" s="14" t="n"/>
      <c r="V127" s="25">
        <f>IF($C127="","",IF($E127="Falta","-",MAX(0,MIN(10,5+IFERROR(VALUE(TRIM(MID(SUBSTITUTE(SUBSTITUTE(SUBSTITUTE(UPPER($T127)," ",""),"P",""),";",REPT(" ",30)),1,30))),0)+IFERROR(VALUE(TRIM(MID(SUBSTITUTE(SUBSTITUTE(SUBSTITUTE(UPPER($T127)," ",""),"P",""),";",REPT(" ",30)),31,30))),0)+IFERROR(VALUE(TRIM(MID(SUBSTITUTE(SUBSTITUTE(SUBSTITUTE(UPPER($T127)," ",""),"P",""),";",REPT(" ",30)),61,30))),0)+IFERROR(VALUE(TRIM(MID(SUBSTITUTE(SUBSTITUTE(SUBSTITUTE(UPPER($T127)," ",""),"P",""),";",REPT(" ",30)),91,30))),0)+IFERROR(VALUE(TRIM(MID(SUBSTITUTE(SUBSTITUTE(SUBSTITUTE(UPPER($T127)," ",""),"P",""),";",REPT(" ",30)),121,30))),0)+IFERROR(VALUE(TRIM(MID(SUBSTITUTE(SUBSTITUTE(SUBSTITUTE(UPPER($T127)," ",""),"P",""),";",REPT(" ",30)),151,30))),0)+IFERROR(VALUE(TRIM(MID(SUBSTITUTE(SUBSTITUTE(SUBSTITUTE(UPPER($T127)," ",""),"P",""),";",REPT(" ",30)),181,30))),0)+IFERROR(VALUE(TRIM(MID(SUBSTITUTE(SUBSTITUTE(SUBSTITUTE(UPPER($T127)," ",""),"P",""),";",REPT(" ",30)),211,30))),0)))))</f>
        <v/>
      </c>
      <c r="W127" s="24" t="n"/>
      <c r="X127" s="14" t="n"/>
    </row>
    <row r="128">
      <c r="A128" s="8">
        <f>IF($C128="","",25)</f>
        <v/>
      </c>
      <c r="B128" s="8">
        <f>IF($C128="","","5ª Sessão")</f>
        <v/>
      </c>
      <c r="C128" s="8">
        <f>IF(Preenchimento!$B$34="","",Preenchimento!$B$34)</f>
        <v/>
      </c>
      <c r="D128" s="8">
        <f>IF($C128="","",IF(Preenchimento!$C$34="","-",Preenchimento!$C$34))</f>
        <v/>
      </c>
      <c r="E128" s="8" t="n"/>
      <c r="F128" s="8" t="n"/>
      <c r="G128" s="24" t="n"/>
      <c r="H128" s="8" t="n"/>
      <c r="I128" s="14" t="n"/>
      <c r="J128" s="25">
        <f>IF($C128="","",IF($E128="Falta","-",MAX(0,MIN(10,8+IFERROR(VALUE(TRIM(MID(SUBSTITUTE(SUBSTITUTE(SUBSTITUTE(UPPER($H128)," ",""),"D",""),";",REPT(" ",30)),1,30))),0)+IFERROR(VALUE(TRIM(MID(SUBSTITUTE(SUBSTITUTE(SUBSTITUTE(UPPER($H128)," ",""),"D",""),";",REPT(" ",30)),31,30))),0)+IFERROR(VALUE(TRIM(MID(SUBSTITUTE(SUBSTITUTE(SUBSTITUTE(UPPER($H128)," ",""),"D",""),";",REPT(" ",30)),61,30))),0)+IFERROR(VALUE(TRIM(MID(SUBSTITUTE(SUBSTITUTE(SUBSTITUTE(UPPER($H128)," ",""),"D",""),";",REPT(" ",30)),91,30))),0)+IFERROR(VALUE(TRIM(MID(SUBSTITUTE(SUBSTITUTE(SUBSTITUTE(UPPER($H128)," ",""),"D",""),";",REPT(" ",30)),121,30))),0)+IFERROR(VALUE(TRIM(MID(SUBSTITUTE(SUBSTITUTE(SUBSTITUTE(UPPER($H128)," ",""),"D",""),";",REPT(" ",30)),151,30))),0)+IFERROR(VALUE(TRIM(MID(SUBSTITUTE(SUBSTITUTE(SUBSTITUTE(UPPER($H128)," ",""),"D",""),";",REPT(" ",30)),181,30))),0)+IFERROR(VALUE(TRIM(MID(SUBSTITUTE(SUBSTITUTE(SUBSTITUTE(UPPER($H128)," ",""),"D",""),";",REPT(" ",30)),211,30))),0)))))</f>
        <v/>
      </c>
      <c r="K128" s="24" t="n"/>
      <c r="L128" s="8" t="n"/>
      <c r="M128" s="14" t="n"/>
      <c r="N128" s="25">
        <f>IF($C128="","",IF($E128="Falta","-",MAX(0,MIN(10,8+IFERROR(VALUE(TRIM(MID(SUBSTITUTE(SUBSTITUTE(SUBSTITUTE(UPPER($L128)," ",""),"F",""),";",REPT(" ",30)),1,30))),0)+IFERROR(VALUE(TRIM(MID(SUBSTITUTE(SUBSTITUTE(SUBSTITUTE(UPPER($L128)," ",""),"F",""),";",REPT(" ",30)),31,30))),0)+IFERROR(VALUE(TRIM(MID(SUBSTITUTE(SUBSTITUTE(SUBSTITUTE(UPPER($L128)," ",""),"F",""),";",REPT(" ",30)),61,30))),0)+IFERROR(VALUE(TRIM(MID(SUBSTITUTE(SUBSTITUTE(SUBSTITUTE(UPPER($L128)," ",""),"F",""),";",REPT(" ",30)),91,30))),0)+IFERROR(VALUE(TRIM(MID(SUBSTITUTE(SUBSTITUTE(SUBSTITUTE(UPPER($L128)," ",""),"F",""),";",REPT(" ",30)),121,30))),0)+IFERROR(VALUE(TRIM(MID(SUBSTITUTE(SUBSTITUTE(SUBSTITUTE(UPPER($L128)," ",""),"F",""),";",REPT(" ",30)),151,30))),0)+IFERROR(VALUE(TRIM(MID(SUBSTITUTE(SUBSTITUTE(SUBSTITUTE(UPPER($L128)," ",""),"F",""),";",REPT(" ",30)),181,30))),0)+IFERROR(VALUE(TRIM(MID(SUBSTITUTE(SUBSTITUTE(SUBSTITUTE(UPPER($L128)," ",""),"F",""),";",REPT(" ",30)),211,30))),0)))))</f>
        <v/>
      </c>
      <c r="O128" s="24" t="n"/>
      <c r="P128" s="8" t="n"/>
      <c r="Q128" s="14" t="n"/>
      <c r="R128" s="25">
        <f>IF($C128="","",IF($E128="Falta","-",MAX(0,MIN(10,5+IFERROR(VALUE(TRIM(MID(SUBSTITUTE(SUBSTITUTE(SUBSTITUTE(UPPER($P128)," ",""),"C",""),";",REPT(" ",30)),1,30))),0)+IFERROR(VALUE(TRIM(MID(SUBSTITUTE(SUBSTITUTE(SUBSTITUTE(UPPER($P128)," ",""),"C",""),";",REPT(" ",30)),31,30))),0)+IFERROR(VALUE(TRIM(MID(SUBSTITUTE(SUBSTITUTE(SUBSTITUTE(UPPER($P128)," ",""),"C",""),";",REPT(" ",30)),61,30))),0)+IFERROR(VALUE(TRIM(MID(SUBSTITUTE(SUBSTITUTE(SUBSTITUTE(UPPER($P128)," ",""),"C",""),";",REPT(" ",30)),91,30))),0)+IFERROR(VALUE(TRIM(MID(SUBSTITUTE(SUBSTITUTE(SUBSTITUTE(UPPER($P128)," ",""),"C",""),";",REPT(" ",30)),121,30))),0)+IFERROR(VALUE(TRIM(MID(SUBSTITUTE(SUBSTITUTE(SUBSTITUTE(UPPER($P128)," ",""),"C",""),";",REPT(" ",30)),151,30))),0)+IFERROR(VALUE(TRIM(MID(SUBSTITUTE(SUBSTITUTE(SUBSTITUTE(UPPER($P128)," ",""),"C",""),";",REPT(" ",30)),181,30))),0)+IFERROR(VALUE(TRIM(MID(SUBSTITUTE(SUBSTITUTE(SUBSTITUTE(UPPER($P128)," ",""),"C",""),";",REPT(" ",30)),211,30))),0)))))</f>
        <v/>
      </c>
      <c r="S128" s="24" t="n"/>
      <c r="T128" s="8" t="n"/>
      <c r="U128" s="14" t="n"/>
      <c r="V128" s="25">
        <f>IF($C128="","",IF($E128="Falta","-",MAX(0,MIN(10,5+IFERROR(VALUE(TRIM(MID(SUBSTITUTE(SUBSTITUTE(SUBSTITUTE(UPPER($T128)," ",""),"P",""),";",REPT(" ",30)),1,30))),0)+IFERROR(VALUE(TRIM(MID(SUBSTITUTE(SUBSTITUTE(SUBSTITUTE(UPPER($T128)," ",""),"P",""),";",REPT(" ",30)),31,30))),0)+IFERROR(VALUE(TRIM(MID(SUBSTITUTE(SUBSTITUTE(SUBSTITUTE(UPPER($T128)," ",""),"P",""),";",REPT(" ",30)),61,30))),0)+IFERROR(VALUE(TRIM(MID(SUBSTITUTE(SUBSTITUTE(SUBSTITUTE(UPPER($T128)," ",""),"P",""),";",REPT(" ",30)),91,30))),0)+IFERROR(VALUE(TRIM(MID(SUBSTITUTE(SUBSTITUTE(SUBSTITUTE(UPPER($T128)," ",""),"P",""),";",REPT(" ",30)),121,30))),0)+IFERROR(VALUE(TRIM(MID(SUBSTITUTE(SUBSTITUTE(SUBSTITUTE(UPPER($T128)," ",""),"P",""),";",REPT(" ",30)),151,30))),0)+IFERROR(VALUE(TRIM(MID(SUBSTITUTE(SUBSTITUTE(SUBSTITUTE(UPPER($T128)," ",""),"P",""),";",REPT(" ",30)),181,30))),0)+IFERROR(VALUE(TRIM(MID(SUBSTITUTE(SUBSTITUTE(SUBSTITUTE(UPPER($T128)," ",""),"P",""),";",REPT(" ",30)),211,30))),0)))))</f>
        <v/>
      </c>
      <c r="W128" s="24" t="n"/>
      <c r="X128" s="14" t="n"/>
    </row>
    <row r="129">
      <c r="A129" s="6">
        <f>IF($C129="","",26)</f>
        <v/>
      </c>
      <c r="B129" s="6">
        <f>IF($C129="","","1ª Sessão")</f>
        <v/>
      </c>
      <c r="C129" s="6">
        <f>IF(Preenchimento!$B$35="","",Preenchimento!$B$35)</f>
        <v/>
      </c>
      <c r="D129" s="6">
        <f>IF($C129="","",IF(Preenchimento!$C$35="","-",Preenchimento!$C$35))</f>
        <v/>
      </c>
      <c r="E129" s="6" t="n"/>
      <c r="F129" s="6" t="n"/>
      <c r="G129" s="26" t="n"/>
      <c r="H129" s="6" t="n"/>
      <c r="I129" s="13" t="n"/>
      <c r="J129" s="27">
        <f>IF($C129="","",IF($E129="Falta","-",MAX(0,MIN(10,8+IFERROR(VALUE(TRIM(MID(SUBSTITUTE(SUBSTITUTE(SUBSTITUTE(UPPER($H129)," ",""),"D",""),";",REPT(" ",30)),1,30))),0)+IFERROR(VALUE(TRIM(MID(SUBSTITUTE(SUBSTITUTE(SUBSTITUTE(UPPER($H129)," ",""),"D",""),";",REPT(" ",30)),31,30))),0)+IFERROR(VALUE(TRIM(MID(SUBSTITUTE(SUBSTITUTE(SUBSTITUTE(UPPER($H129)," ",""),"D",""),";",REPT(" ",30)),61,30))),0)+IFERROR(VALUE(TRIM(MID(SUBSTITUTE(SUBSTITUTE(SUBSTITUTE(UPPER($H129)," ",""),"D",""),";",REPT(" ",30)),91,30))),0)+IFERROR(VALUE(TRIM(MID(SUBSTITUTE(SUBSTITUTE(SUBSTITUTE(UPPER($H129)," ",""),"D",""),";",REPT(" ",30)),121,30))),0)+IFERROR(VALUE(TRIM(MID(SUBSTITUTE(SUBSTITUTE(SUBSTITUTE(UPPER($H129)," ",""),"D",""),";",REPT(" ",30)),151,30))),0)+IFERROR(VALUE(TRIM(MID(SUBSTITUTE(SUBSTITUTE(SUBSTITUTE(UPPER($H129)," ",""),"D",""),";",REPT(" ",30)),181,30))),0)+IFERROR(VALUE(TRIM(MID(SUBSTITUTE(SUBSTITUTE(SUBSTITUTE(UPPER($H129)," ",""),"D",""),";",REPT(" ",30)),211,30))),0)))))</f>
        <v/>
      </c>
      <c r="K129" s="26" t="n"/>
      <c r="L129" s="6" t="n"/>
      <c r="M129" s="13" t="n"/>
      <c r="N129" s="27">
        <f>IF($C129="","",IF($E129="Falta","-",MAX(0,MIN(10,8+IFERROR(VALUE(TRIM(MID(SUBSTITUTE(SUBSTITUTE(SUBSTITUTE(UPPER($L129)," ",""),"F",""),";",REPT(" ",30)),1,30))),0)+IFERROR(VALUE(TRIM(MID(SUBSTITUTE(SUBSTITUTE(SUBSTITUTE(UPPER($L129)," ",""),"F",""),";",REPT(" ",30)),31,30))),0)+IFERROR(VALUE(TRIM(MID(SUBSTITUTE(SUBSTITUTE(SUBSTITUTE(UPPER($L129)," ",""),"F",""),";",REPT(" ",30)),61,30))),0)+IFERROR(VALUE(TRIM(MID(SUBSTITUTE(SUBSTITUTE(SUBSTITUTE(UPPER($L129)," ",""),"F",""),";",REPT(" ",30)),91,30))),0)+IFERROR(VALUE(TRIM(MID(SUBSTITUTE(SUBSTITUTE(SUBSTITUTE(UPPER($L129)," ",""),"F",""),";",REPT(" ",30)),121,30))),0)+IFERROR(VALUE(TRIM(MID(SUBSTITUTE(SUBSTITUTE(SUBSTITUTE(UPPER($L129)," ",""),"F",""),";",REPT(" ",30)),151,30))),0)+IFERROR(VALUE(TRIM(MID(SUBSTITUTE(SUBSTITUTE(SUBSTITUTE(UPPER($L129)," ",""),"F",""),";",REPT(" ",30)),181,30))),0)+IFERROR(VALUE(TRIM(MID(SUBSTITUTE(SUBSTITUTE(SUBSTITUTE(UPPER($L129)," ",""),"F",""),";",REPT(" ",30)),211,30))),0)))))</f>
        <v/>
      </c>
      <c r="O129" s="26" t="n"/>
      <c r="P129" s="6" t="n"/>
      <c r="Q129" s="13" t="n"/>
      <c r="R129" s="27">
        <f>IF($C129="","",IF($E129="Falta","-",MAX(0,MIN(10,5+IFERROR(VALUE(TRIM(MID(SUBSTITUTE(SUBSTITUTE(SUBSTITUTE(UPPER($P129)," ",""),"C",""),";",REPT(" ",30)),1,30))),0)+IFERROR(VALUE(TRIM(MID(SUBSTITUTE(SUBSTITUTE(SUBSTITUTE(UPPER($P129)," ",""),"C",""),";",REPT(" ",30)),31,30))),0)+IFERROR(VALUE(TRIM(MID(SUBSTITUTE(SUBSTITUTE(SUBSTITUTE(UPPER($P129)," ",""),"C",""),";",REPT(" ",30)),61,30))),0)+IFERROR(VALUE(TRIM(MID(SUBSTITUTE(SUBSTITUTE(SUBSTITUTE(UPPER($P129)," ",""),"C",""),";",REPT(" ",30)),91,30))),0)+IFERROR(VALUE(TRIM(MID(SUBSTITUTE(SUBSTITUTE(SUBSTITUTE(UPPER($P129)," ",""),"C",""),";",REPT(" ",30)),121,30))),0)+IFERROR(VALUE(TRIM(MID(SUBSTITUTE(SUBSTITUTE(SUBSTITUTE(UPPER($P129)," ",""),"C",""),";",REPT(" ",30)),151,30))),0)+IFERROR(VALUE(TRIM(MID(SUBSTITUTE(SUBSTITUTE(SUBSTITUTE(UPPER($P129)," ",""),"C",""),";",REPT(" ",30)),181,30))),0)+IFERROR(VALUE(TRIM(MID(SUBSTITUTE(SUBSTITUTE(SUBSTITUTE(UPPER($P129)," ",""),"C",""),";",REPT(" ",30)),211,30))),0)))))</f>
        <v/>
      </c>
      <c r="S129" s="26" t="n"/>
      <c r="T129" s="6" t="n"/>
      <c r="U129" s="13" t="n"/>
      <c r="V129" s="27">
        <f>IF($C129="","",IF($E129="Falta","-",MAX(0,MIN(10,5+IFERROR(VALUE(TRIM(MID(SUBSTITUTE(SUBSTITUTE(SUBSTITUTE(UPPER($T129)," ",""),"P",""),";",REPT(" ",30)),1,30))),0)+IFERROR(VALUE(TRIM(MID(SUBSTITUTE(SUBSTITUTE(SUBSTITUTE(UPPER($T129)," ",""),"P",""),";",REPT(" ",30)),31,30))),0)+IFERROR(VALUE(TRIM(MID(SUBSTITUTE(SUBSTITUTE(SUBSTITUTE(UPPER($T129)," ",""),"P",""),";",REPT(" ",30)),61,30))),0)+IFERROR(VALUE(TRIM(MID(SUBSTITUTE(SUBSTITUTE(SUBSTITUTE(UPPER($T129)," ",""),"P",""),";",REPT(" ",30)),91,30))),0)+IFERROR(VALUE(TRIM(MID(SUBSTITUTE(SUBSTITUTE(SUBSTITUTE(UPPER($T129)," ",""),"P",""),";",REPT(" ",30)),121,30))),0)+IFERROR(VALUE(TRIM(MID(SUBSTITUTE(SUBSTITUTE(SUBSTITUTE(UPPER($T129)," ",""),"P",""),";",REPT(" ",30)),151,30))),0)+IFERROR(VALUE(TRIM(MID(SUBSTITUTE(SUBSTITUTE(SUBSTITUTE(UPPER($T129)," ",""),"P",""),";",REPT(" ",30)),181,30))),0)+IFERROR(VALUE(TRIM(MID(SUBSTITUTE(SUBSTITUTE(SUBSTITUTE(UPPER($T129)," ",""),"P",""),";",REPT(" ",30)),211,30))),0)))))</f>
        <v/>
      </c>
      <c r="W129" s="26" t="n"/>
      <c r="X129" s="13" t="n"/>
    </row>
    <row r="130">
      <c r="A130" s="6">
        <f>IF($C130="","",26)</f>
        <v/>
      </c>
      <c r="B130" s="6">
        <f>IF($C130="","","2ª Sessão")</f>
        <v/>
      </c>
      <c r="C130" s="6">
        <f>IF(Preenchimento!$B$35="","",Preenchimento!$B$35)</f>
        <v/>
      </c>
      <c r="D130" s="6">
        <f>IF($C130="","",IF(Preenchimento!$C$35="","-",Preenchimento!$C$35))</f>
        <v/>
      </c>
      <c r="E130" s="6" t="n"/>
      <c r="F130" s="6" t="n"/>
      <c r="G130" s="26" t="n"/>
      <c r="H130" s="6" t="n"/>
      <c r="I130" s="13" t="n"/>
      <c r="J130" s="27">
        <f>IF($C130="","",IF($E130="Falta","-",MAX(0,MIN(10,8+IFERROR(VALUE(TRIM(MID(SUBSTITUTE(SUBSTITUTE(SUBSTITUTE(UPPER($H130)," ",""),"D",""),";",REPT(" ",30)),1,30))),0)+IFERROR(VALUE(TRIM(MID(SUBSTITUTE(SUBSTITUTE(SUBSTITUTE(UPPER($H130)," ",""),"D",""),";",REPT(" ",30)),31,30))),0)+IFERROR(VALUE(TRIM(MID(SUBSTITUTE(SUBSTITUTE(SUBSTITUTE(UPPER($H130)," ",""),"D",""),";",REPT(" ",30)),61,30))),0)+IFERROR(VALUE(TRIM(MID(SUBSTITUTE(SUBSTITUTE(SUBSTITUTE(UPPER($H130)," ",""),"D",""),";",REPT(" ",30)),91,30))),0)+IFERROR(VALUE(TRIM(MID(SUBSTITUTE(SUBSTITUTE(SUBSTITUTE(UPPER($H130)," ",""),"D",""),";",REPT(" ",30)),121,30))),0)+IFERROR(VALUE(TRIM(MID(SUBSTITUTE(SUBSTITUTE(SUBSTITUTE(UPPER($H130)," ",""),"D",""),";",REPT(" ",30)),151,30))),0)+IFERROR(VALUE(TRIM(MID(SUBSTITUTE(SUBSTITUTE(SUBSTITUTE(UPPER($H130)," ",""),"D",""),";",REPT(" ",30)),181,30))),0)+IFERROR(VALUE(TRIM(MID(SUBSTITUTE(SUBSTITUTE(SUBSTITUTE(UPPER($H130)," ",""),"D",""),";",REPT(" ",30)),211,30))),0)))))</f>
        <v/>
      </c>
      <c r="K130" s="26" t="n"/>
      <c r="L130" s="6" t="n"/>
      <c r="M130" s="13" t="n"/>
      <c r="N130" s="27">
        <f>IF($C130="","",IF($E130="Falta","-",MAX(0,MIN(10,8+IFERROR(VALUE(TRIM(MID(SUBSTITUTE(SUBSTITUTE(SUBSTITUTE(UPPER($L130)," ",""),"F",""),";",REPT(" ",30)),1,30))),0)+IFERROR(VALUE(TRIM(MID(SUBSTITUTE(SUBSTITUTE(SUBSTITUTE(UPPER($L130)," ",""),"F",""),";",REPT(" ",30)),31,30))),0)+IFERROR(VALUE(TRIM(MID(SUBSTITUTE(SUBSTITUTE(SUBSTITUTE(UPPER($L130)," ",""),"F",""),";",REPT(" ",30)),61,30))),0)+IFERROR(VALUE(TRIM(MID(SUBSTITUTE(SUBSTITUTE(SUBSTITUTE(UPPER($L130)," ",""),"F",""),";",REPT(" ",30)),91,30))),0)+IFERROR(VALUE(TRIM(MID(SUBSTITUTE(SUBSTITUTE(SUBSTITUTE(UPPER($L130)," ",""),"F",""),";",REPT(" ",30)),121,30))),0)+IFERROR(VALUE(TRIM(MID(SUBSTITUTE(SUBSTITUTE(SUBSTITUTE(UPPER($L130)," ",""),"F",""),";",REPT(" ",30)),151,30))),0)+IFERROR(VALUE(TRIM(MID(SUBSTITUTE(SUBSTITUTE(SUBSTITUTE(UPPER($L130)," ",""),"F",""),";",REPT(" ",30)),181,30))),0)+IFERROR(VALUE(TRIM(MID(SUBSTITUTE(SUBSTITUTE(SUBSTITUTE(UPPER($L130)," ",""),"F",""),";",REPT(" ",30)),211,30))),0)))))</f>
        <v/>
      </c>
      <c r="O130" s="26" t="n"/>
      <c r="P130" s="6" t="n"/>
      <c r="Q130" s="13" t="n"/>
      <c r="R130" s="27">
        <f>IF($C130="","",IF($E130="Falta","-",MAX(0,MIN(10,5+IFERROR(VALUE(TRIM(MID(SUBSTITUTE(SUBSTITUTE(SUBSTITUTE(UPPER($P130)," ",""),"C",""),";",REPT(" ",30)),1,30))),0)+IFERROR(VALUE(TRIM(MID(SUBSTITUTE(SUBSTITUTE(SUBSTITUTE(UPPER($P130)," ",""),"C",""),";",REPT(" ",30)),31,30))),0)+IFERROR(VALUE(TRIM(MID(SUBSTITUTE(SUBSTITUTE(SUBSTITUTE(UPPER($P130)," ",""),"C",""),";",REPT(" ",30)),61,30))),0)+IFERROR(VALUE(TRIM(MID(SUBSTITUTE(SUBSTITUTE(SUBSTITUTE(UPPER($P130)," ",""),"C",""),";",REPT(" ",30)),91,30))),0)+IFERROR(VALUE(TRIM(MID(SUBSTITUTE(SUBSTITUTE(SUBSTITUTE(UPPER($P130)," ",""),"C",""),";",REPT(" ",30)),121,30))),0)+IFERROR(VALUE(TRIM(MID(SUBSTITUTE(SUBSTITUTE(SUBSTITUTE(UPPER($P130)," ",""),"C",""),";",REPT(" ",30)),151,30))),0)+IFERROR(VALUE(TRIM(MID(SUBSTITUTE(SUBSTITUTE(SUBSTITUTE(UPPER($P130)," ",""),"C",""),";",REPT(" ",30)),181,30))),0)+IFERROR(VALUE(TRIM(MID(SUBSTITUTE(SUBSTITUTE(SUBSTITUTE(UPPER($P130)," ",""),"C",""),";",REPT(" ",30)),211,30))),0)))))</f>
        <v/>
      </c>
      <c r="S130" s="26" t="n"/>
      <c r="T130" s="6" t="n"/>
      <c r="U130" s="13" t="n"/>
      <c r="V130" s="27">
        <f>IF($C130="","",IF($E130="Falta","-",MAX(0,MIN(10,5+IFERROR(VALUE(TRIM(MID(SUBSTITUTE(SUBSTITUTE(SUBSTITUTE(UPPER($T130)," ",""),"P",""),";",REPT(" ",30)),1,30))),0)+IFERROR(VALUE(TRIM(MID(SUBSTITUTE(SUBSTITUTE(SUBSTITUTE(UPPER($T130)," ",""),"P",""),";",REPT(" ",30)),31,30))),0)+IFERROR(VALUE(TRIM(MID(SUBSTITUTE(SUBSTITUTE(SUBSTITUTE(UPPER($T130)," ",""),"P",""),";",REPT(" ",30)),61,30))),0)+IFERROR(VALUE(TRIM(MID(SUBSTITUTE(SUBSTITUTE(SUBSTITUTE(UPPER($T130)," ",""),"P",""),";",REPT(" ",30)),91,30))),0)+IFERROR(VALUE(TRIM(MID(SUBSTITUTE(SUBSTITUTE(SUBSTITUTE(UPPER($T130)," ",""),"P",""),";",REPT(" ",30)),121,30))),0)+IFERROR(VALUE(TRIM(MID(SUBSTITUTE(SUBSTITUTE(SUBSTITUTE(UPPER($T130)," ",""),"P",""),";",REPT(" ",30)),151,30))),0)+IFERROR(VALUE(TRIM(MID(SUBSTITUTE(SUBSTITUTE(SUBSTITUTE(UPPER($T130)," ",""),"P",""),";",REPT(" ",30)),181,30))),0)+IFERROR(VALUE(TRIM(MID(SUBSTITUTE(SUBSTITUTE(SUBSTITUTE(UPPER($T130)," ",""),"P",""),";",REPT(" ",30)),211,30))),0)))))</f>
        <v/>
      </c>
      <c r="W130" s="26" t="n"/>
      <c r="X130" s="13" t="n"/>
    </row>
    <row r="131">
      <c r="A131" s="6">
        <f>IF($C131="","",26)</f>
        <v/>
      </c>
      <c r="B131" s="6">
        <f>IF($C131="","","3ª Sessão")</f>
        <v/>
      </c>
      <c r="C131" s="6">
        <f>IF(Preenchimento!$B$35="","",Preenchimento!$B$35)</f>
        <v/>
      </c>
      <c r="D131" s="6">
        <f>IF($C131="","",IF(Preenchimento!$C$35="","-",Preenchimento!$C$35))</f>
        <v/>
      </c>
      <c r="E131" s="6" t="n"/>
      <c r="F131" s="6" t="n"/>
      <c r="G131" s="26" t="n"/>
      <c r="H131" s="6" t="n"/>
      <c r="I131" s="13" t="n"/>
      <c r="J131" s="27">
        <f>IF($C131="","",IF($E131="Falta","-",MAX(0,MIN(10,8+IFERROR(VALUE(TRIM(MID(SUBSTITUTE(SUBSTITUTE(SUBSTITUTE(UPPER($H131)," ",""),"D",""),";",REPT(" ",30)),1,30))),0)+IFERROR(VALUE(TRIM(MID(SUBSTITUTE(SUBSTITUTE(SUBSTITUTE(UPPER($H131)," ",""),"D",""),";",REPT(" ",30)),31,30))),0)+IFERROR(VALUE(TRIM(MID(SUBSTITUTE(SUBSTITUTE(SUBSTITUTE(UPPER($H131)," ",""),"D",""),";",REPT(" ",30)),61,30))),0)+IFERROR(VALUE(TRIM(MID(SUBSTITUTE(SUBSTITUTE(SUBSTITUTE(UPPER($H131)," ",""),"D",""),";",REPT(" ",30)),91,30))),0)+IFERROR(VALUE(TRIM(MID(SUBSTITUTE(SUBSTITUTE(SUBSTITUTE(UPPER($H131)," ",""),"D",""),";",REPT(" ",30)),121,30))),0)+IFERROR(VALUE(TRIM(MID(SUBSTITUTE(SUBSTITUTE(SUBSTITUTE(UPPER($H131)," ",""),"D",""),";",REPT(" ",30)),151,30))),0)+IFERROR(VALUE(TRIM(MID(SUBSTITUTE(SUBSTITUTE(SUBSTITUTE(UPPER($H131)," ",""),"D",""),";",REPT(" ",30)),181,30))),0)+IFERROR(VALUE(TRIM(MID(SUBSTITUTE(SUBSTITUTE(SUBSTITUTE(UPPER($H131)," ",""),"D",""),";",REPT(" ",30)),211,30))),0)))))</f>
        <v/>
      </c>
      <c r="K131" s="26" t="n"/>
      <c r="L131" s="6" t="n"/>
      <c r="M131" s="13" t="n"/>
      <c r="N131" s="27">
        <f>IF($C131="","",IF($E131="Falta","-",MAX(0,MIN(10,8+IFERROR(VALUE(TRIM(MID(SUBSTITUTE(SUBSTITUTE(SUBSTITUTE(UPPER($L131)," ",""),"F",""),";",REPT(" ",30)),1,30))),0)+IFERROR(VALUE(TRIM(MID(SUBSTITUTE(SUBSTITUTE(SUBSTITUTE(UPPER($L131)," ",""),"F",""),";",REPT(" ",30)),31,30))),0)+IFERROR(VALUE(TRIM(MID(SUBSTITUTE(SUBSTITUTE(SUBSTITUTE(UPPER($L131)," ",""),"F",""),";",REPT(" ",30)),61,30))),0)+IFERROR(VALUE(TRIM(MID(SUBSTITUTE(SUBSTITUTE(SUBSTITUTE(UPPER($L131)," ",""),"F",""),";",REPT(" ",30)),91,30))),0)+IFERROR(VALUE(TRIM(MID(SUBSTITUTE(SUBSTITUTE(SUBSTITUTE(UPPER($L131)," ",""),"F",""),";",REPT(" ",30)),121,30))),0)+IFERROR(VALUE(TRIM(MID(SUBSTITUTE(SUBSTITUTE(SUBSTITUTE(UPPER($L131)," ",""),"F",""),";",REPT(" ",30)),151,30))),0)+IFERROR(VALUE(TRIM(MID(SUBSTITUTE(SUBSTITUTE(SUBSTITUTE(UPPER($L131)," ",""),"F",""),";",REPT(" ",30)),181,30))),0)+IFERROR(VALUE(TRIM(MID(SUBSTITUTE(SUBSTITUTE(SUBSTITUTE(UPPER($L131)," ",""),"F",""),";",REPT(" ",30)),211,30))),0)))))</f>
        <v/>
      </c>
      <c r="O131" s="26" t="n"/>
      <c r="P131" s="6" t="n"/>
      <c r="Q131" s="13" t="n"/>
      <c r="R131" s="27">
        <f>IF($C131="","",IF($E131="Falta","-",MAX(0,MIN(10,5+IFERROR(VALUE(TRIM(MID(SUBSTITUTE(SUBSTITUTE(SUBSTITUTE(UPPER($P131)," ",""),"C",""),";",REPT(" ",30)),1,30))),0)+IFERROR(VALUE(TRIM(MID(SUBSTITUTE(SUBSTITUTE(SUBSTITUTE(UPPER($P131)," ",""),"C",""),";",REPT(" ",30)),31,30))),0)+IFERROR(VALUE(TRIM(MID(SUBSTITUTE(SUBSTITUTE(SUBSTITUTE(UPPER($P131)," ",""),"C",""),";",REPT(" ",30)),61,30))),0)+IFERROR(VALUE(TRIM(MID(SUBSTITUTE(SUBSTITUTE(SUBSTITUTE(UPPER($P131)," ",""),"C",""),";",REPT(" ",30)),91,30))),0)+IFERROR(VALUE(TRIM(MID(SUBSTITUTE(SUBSTITUTE(SUBSTITUTE(UPPER($P131)," ",""),"C",""),";",REPT(" ",30)),121,30))),0)+IFERROR(VALUE(TRIM(MID(SUBSTITUTE(SUBSTITUTE(SUBSTITUTE(UPPER($P131)," ",""),"C",""),";",REPT(" ",30)),151,30))),0)+IFERROR(VALUE(TRIM(MID(SUBSTITUTE(SUBSTITUTE(SUBSTITUTE(UPPER($P131)," ",""),"C",""),";",REPT(" ",30)),181,30))),0)+IFERROR(VALUE(TRIM(MID(SUBSTITUTE(SUBSTITUTE(SUBSTITUTE(UPPER($P131)," ",""),"C",""),";",REPT(" ",30)),211,30))),0)))))</f>
        <v/>
      </c>
      <c r="S131" s="26" t="n"/>
      <c r="T131" s="6" t="n"/>
      <c r="U131" s="13" t="n"/>
      <c r="V131" s="27">
        <f>IF($C131="","",IF($E131="Falta","-",MAX(0,MIN(10,5+IFERROR(VALUE(TRIM(MID(SUBSTITUTE(SUBSTITUTE(SUBSTITUTE(UPPER($T131)," ",""),"P",""),";",REPT(" ",30)),1,30))),0)+IFERROR(VALUE(TRIM(MID(SUBSTITUTE(SUBSTITUTE(SUBSTITUTE(UPPER($T131)," ",""),"P",""),";",REPT(" ",30)),31,30))),0)+IFERROR(VALUE(TRIM(MID(SUBSTITUTE(SUBSTITUTE(SUBSTITUTE(UPPER($T131)," ",""),"P",""),";",REPT(" ",30)),61,30))),0)+IFERROR(VALUE(TRIM(MID(SUBSTITUTE(SUBSTITUTE(SUBSTITUTE(UPPER($T131)," ",""),"P",""),";",REPT(" ",30)),91,30))),0)+IFERROR(VALUE(TRIM(MID(SUBSTITUTE(SUBSTITUTE(SUBSTITUTE(UPPER($T131)," ",""),"P",""),";",REPT(" ",30)),121,30))),0)+IFERROR(VALUE(TRIM(MID(SUBSTITUTE(SUBSTITUTE(SUBSTITUTE(UPPER($T131)," ",""),"P",""),";",REPT(" ",30)),151,30))),0)+IFERROR(VALUE(TRIM(MID(SUBSTITUTE(SUBSTITUTE(SUBSTITUTE(UPPER($T131)," ",""),"P",""),";",REPT(" ",30)),181,30))),0)+IFERROR(VALUE(TRIM(MID(SUBSTITUTE(SUBSTITUTE(SUBSTITUTE(UPPER($T131)," ",""),"P",""),";",REPT(" ",30)),211,30))),0)))))</f>
        <v/>
      </c>
      <c r="W131" s="26" t="n"/>
      <c r="X131" s="13" t="n"/>
    </row>
    <row r="132">
      <c r="A132" s="6">
        <f>IF($C132="","",26)</f>
        <v/>
      </c>
      <c r="B132" s="6">
        <f>IF($C132="","","4ª Sessão")</f>
        <v/>
      </c>
      <c r="C132" s="6">
        <f>IF(Preenchimento!$B$35="","",Preenchimento!$B$35)</f>
        <v/>
      </c>
      <c r="D132" s="6">
        <f>IF($C132="","",IF(Preenchimento!$C$35="","-",Preenchimento!$C$35))</f>
        <v/>
      </c>
      <c r="E132" s="6" t="n"/>
      <c r="F132" s="6" t="n"/>
      <c r="G132" s="26" t="n"/>
      <c r="H132" s="6" t="n"/>
      <c r="I132" s="13" t="n"/>
      <c r="J132" s="27">
        <f>IF($C132="","",IF($E132="Falta","-",MAX(0,MIN(10,8+IFERROR(VALUE(TRIM(MID(SUBSTITUTE(SUBSTITUTE(SUBSTITUTE(UPPER($H132)," ",""),"D",""),";",REPT(" ",30)),1,30))),0)+IFERROR(VALUE(TRIM(MID(SUBSTITUTE(SUBSTITUTE(SUBSTITUTE(UPPER($H132)," ",""),"D",""),";",REPT(" ",30)),31,30))),0)+IFERROR(VALUE(TRIM(MID(SUBSTITUTE(SUBSTITUTE(SUBSTITUTE(UPPER($H132)," ",""),"D",""),";",REPT(" ",30)),61,30))),0)+IFERROR(VALUE(TRIM(MID(SUBSTITUTE(SUBSTITUTE(SUBSTITUTE(UPPER($H132)," ",""),"D",""),";",REPT(" ",30)),91,30))),0)+IFERROR(VALUE(TRIM(MID(SUBSTITUTE(SUBSTITUTE(SUBSTITUTE(UPPER($H132)," ",""),"D",""),";",REPT(" ",30)),121,30))),0)+IFERROR(VALUE(TRIM(MID(SUBSTITUTE(SUBSTITUTE(SUBSTITUTE(UPPER($H132)," ",""),"D",""),";",REPT(" ",30)),151,30))),0)+IFERROR(VALUE(TRIM(MID(SUBSTITUTE(SUBSTITUTE(SUBSTITUTE(UPPER($H132)," ",""),"D",""),";",REPT(" ",30)),181,30))),0)+IFERROR(VALUE(TRIM(MID(SUBSTITUTE(SUBSTITUTE(SUBSTITUTE(UPPER($H132)," ",""),"D",""),";",REPT(" ",30)),211,30))),0)))))</f>
        <v/>
      </c>
      <c r="K132" s="26" t="n"/>
      <c r="L132" s="6" t="n"/>
      <c r="M132" s="13" t="n"/>
      <c r="N132" s="27">
        <f>IF($C132="","",IF($E132="Falta","-",MAX(0,MIN(10,8+IFERROR(VALUE(TRIM(MID(SUBSTITUTE(SUBSTITUTE(SUBSTITUTE(UPPER($L132)," ",""),"F",""),";",REPT(" ",30)),1,30))),0)+IFERROR(VALUE(TRIM(MID(SUBSTITUTE(SUBSTITUTE(SUBSTITUTE(UPPER($L132)," ",""),"F",""),";",REPT(" ",30)),31,30))),0)+IFERROR(VALUE(TRIM(MID(SUBSTITUTE(SUBSTITUTE(SUBSTITUTE(UPPER($L132)," ",""),"F",""),";",REPT(" ",30)),61,30))),0)+IFERROR(VALUE(TRIM(MID(SUBSTITUTE(SUBSTITUTE(SUBSTITUTE(UPPER($L132)," ",""),"F",""),";",REPT(" ",30)),91,30))),0)+IFERROR(VALUE(TRIM(MID(SUBSTITUTE(SUBSTITUTE(SUBSTITUTE(UPPER($L132)," ",""),"F",""),";",REPT(" ",30)),121,30))),0)+IFERROR(VALUE(TRIM(MID(SUBSTITUTE(SUBSTITUTE(SUBSTITUTE(UPPER($L132)," ",""),"F",""),";",REPT(" ",30)),151,30))),0)+IFERROR(VALUE(TRIM(MID(SUBSTITUTE(SUBSTITUTE(SUBSTITUTE(UPPER($L132)," ",""),"F",""),";",REPT(" ",30)),181,30))),0)+IFERROR(VALUE(TRIM(MID(SUBSTITUTE(SUBSTITUTE(SUBSTITUTE(UPPER($L132)," ",""),"F",""),";",REPT(" ",30)),211,30))),0)))))</f>
        <v/>
      </c>
      <c r="O132" s="26" t="n"/>
      <c r="P132" s="6" t="n"/>
      <c r="Q132" s="13" t="n"/>
      <c r="R132" s="27">
        <f>IF($C132="","",IF($E132="Falta","-",MAX(0,MIN(10,5+IFERROR(VALUE(TRIM(MID(SUBSTITUTE(SUBSTITUTE(SUBSTITUTE(UPPER($P132)," ",""),"C",""),";",REPT(" ",30)),1,30))),0)+IFERROR(VALUE(TRIM(MID(SUBSTITUTE(SUBSTITUTE(SUBSTITUTE(UPPER($P132)," ",""),"C",""),";",REPT(" ",30)),31,30))),0)+IFERROR(VALUE(TRIM(MID(SUBSTITUTE(SUBSTITUTE(SUBSTITUTE(UPPER($P132)," ",""),"C",""),";",REPT(" ",30)),61,30))),0)+IFERROR(VALUE(TRIM(MID(SUBSTITUTE(SUBSTITUTE(SUBSTITUTE(UPPER($P132)," ",""),"C",""),";",REPT(" ",30)),91,30))),0)+IFERROR(VALUE(TRIM(MID(SUBSTITUTE(SUBSTITUTE(SUBSTITUTE(UPPER($P132)," ",""),"C",""),";",REPT(" ",30)),121,30))),0)+IFERROR(VALUE(TRIM(MID(SUBSTITUTE(SUBSTITUTE(SUBSTITUTE(UPPER($P132)," ",""),"C",""),";",REPT(" ",30)),151,30))),0)+IFERROR(VALUE(TRIM(MID(SUBSTITUTE(SUBSTITUTE(SUBSTITUTE(UPPER($P132)," ",""),"C",""),";",REPT(" ",30)),181,30))),0)+IFERROR(VALUE(TRIM(MID(SUBSTITUTE(SUBSTITUTE(SUBSTITUTE(UPPER($P132)," ",""),"C",""),";",REPT(" ",30)),211,30))),0)))))</f>
        <v/>
      </c>
      <c r="S132" s="26" t="n"/>
      <c r="T132" s="6" t="n"/>
      <c r="U132" s="13" t="n"/>
      <c r="V132" s="27">
        <f>IF($C132="","",IF($E132="Falta","-",MAX(0,MIN(10,5+IFERROR(VALUE(TRIM(MID(SUBSTITUTE(SUBSTITUTE(SUBSTITUTE(UPPER($T132)," ",""),"P",""),";",REPT(" ",30)),1,30))),0)+IFERROR(VALUE(TRIM(MID(SUBSTITUTE(SUBSTITUTE(SUBSTITUTE(UPPER($T132)," ",""),"P",""),";",REPT(" ",30)),31,30))),0)+IFERROR(VALUE(TRIM(MID(SUBSTITUTE(SUBSTITUTE(SUBSTITUTE(UPPER($T132)," ",""),"P",""),";",REPT(" ",30)),61,30))),0)+IFERROR(VALUE(TRIM(MID(SUBSTITUTE(SUBSTITUTE(SUBSTITUTE(UPPER($T132)," ",""),"P",""),";",REPT(" ",30)),91,30))),0)+IFERROR(VALUE(TRIM(MID(SUBSTITUTE(SUBSTITUTE(SUBSTITUTE(UPPER($T132)," ",""),"P",""),";",REPT(" ",30)),121,30))),0)+IFERROR(VALUE(TRIM(MID(SUBSTITUTE(SUBSTITUTE(SUBSTITUTE(UPPER($T132)," ",""),"P",""),";",REPT(" ",30)),151,30))),0)+IFERROR(VALUE(TRIM(MID(SUBSTITUTE(SUBSTITUTE(SUBSTITUTE(UPPER($T132)," ",""),"P",""),";",REPT(" ",30)),181,30))),0)+IFERROR(VALUE(TRIM(MID(SUBSTITUTE(SUBSTITUTE(SUBSTITUTE(UPPER($T132)," ",""),"P",""),";",REPT(" ",30)),211,30))),0)))))</f>
        <v/>
      </c>
      <c r="W132" s="26" t="n"/>
      <c r="X132" s="13" t="n"/>
    </row>
    <row r="133">
      <c r="A133" s="6">
        <f>IF($C133="","",26)</f>
        <v/>
      </c>
      <c r="B133" s="6">
        <f>IF($C133="","","5ª Sessão")</f>
        <v/>
      </c>
      <c r="C133" s="6">
        <f>IF(Preenchimento!$B$35="","",Preenchimento!$B$35)</f>
        <v/>
      </c>
      <c r="D133" s="6">
        <f>IF($C133="","",IF(Preenchimento!$C$35="","-",Preenchimento!$C$35))</f>
        <v/>
      </c>
      <c r="E133" s="6" t="n"/>
      <c r="F133" s="6" t="n"/>
      <c r="G133" s="26" t="n"/>
      <c r="H133" s="6" t="n"/>
      <c r="I133" s="13" t="n"/>
      <c r="J133" s="27">
        <f>IF($C133="","",IF($E133="Falta","-",MAX(0,MIN(10,8+IFERROR(VALUE(TRIM(MID(SUBSTITUTE(SUBSTITUTE(SUBSTITUTE(UPPER($H133)," ",""),"D",""),";",REPT(" ",30)),1,30))),0)+IFERROR(VALUE(TRIM(MID(SUBSTITUTE(SUBSTITUTE(SUBSTITUTE(UPPER($H133)," ",""),"D",""),";",REPT(" ",30)),31,30))),0)+IFERROR(VALUE(TRIM(MID(SUBSTITUTE(SUBSTITUTE(SUBSTITUTE(UPPER($H133)," ",""),"D",""),";",REPT(" ",30)),61,30))),0)+IFERROR(VALUE(TRIM(MID(SUBSTITUTE(SUBSTITUTE(SUBSTITUTE(UPPER($H133)," ",""),"D",""),";",REPT(" ",30)),91,30))),0)+IFERROR(VALUE(TRIM(MID(SUBSTITUTE(SUBSTITUTE(SUBSTITUTE(UPPER($H133)," ",""),"D",""),";",REPT(" ",30)),121,30))),0)+IFERROR(VALUE(TRIM(MID(SUBSTITUTE(SUBSTITUTE(SUBSTITUTE(UPPER($H133)," ",""),"D",""),";",REPT(" ",30)),151,30))),0)+IFERROR(VALUE(TRIM(MID(SUBSTITUTE(SUBSTITUTE(SUBSTITUTE(UPPER($H133)," ",""),"D",""),";",REPT(" ",30)),181,30))),0)+IFERROR(VALUE(TRIM(MID(SUBSTITUTE(SUBSTITUTE(SUBSTITUTE(UPPER($H133)," ",""),"D",""),";",REPT(" ",30)),211,30))),0)))))</f>
        <v/>
      </c>
      <c r="K133" s="26" t="n"/>
      <c r="L133" s="6" t="n"/>
      <c r="M133" s="13" t="n"/>
      <c r="N133" s="27">
        <f>IF($C133="","",IF($E133="Falta","-",MAX(0,MIN(10,8+IFERROR(VALUE(TRIM(MID(SUBSTITUTE(SUBSTITUTE(SUBSTITUTE(UPPER($L133)," ",""),"F",""),";",REPT(" ",30)),1,30))),0)+IFERROR(VALUE(TRIM(MID(SUBSTITUTE(SUBSTITUTE(SUBSTITUTE(UPPER($L133)," ",""),"F",""),";",REPT(" ",30)),31,30))),0)+IFERROR(VALUE(TRIM(MID(SUBSTITUTE(SUBSTITUTE(SUBSTITUTE(UPPER($L133)," ",""),"F",""),";",REPT(" ",30)),61,30))),0)+IFERROR(VALUE(TRIM(MID(SUBSTITUTE(SUBSTITUTE(SUBSTITUTE(UPPER($L133)," ",""),"F",""),";",REPT(" ",30)),91,30))),0)+IFERROR(VALUE(TRIM(MID(SUBSTITUTE(SUBSTITUTE(SUBSTITUTE(UPPER($L133)," ",""),"F",""),";",REPT(" ",30)),121,30))),0)+IFERROR(VALUE(TRIM(MID(SUBSTITUTE(SUBSTITUTE(SUBSTITUTE(UPPER($L133)," ",""),"F",""),";",REPT(" ",30)),151,30))),0)+IFERROR(VALUE(TRIM(MID(SUBSTITUTE(SUBSTITUTE(SUBSTITUTE(UPPER($L133)," ",""),"F",""),";",REPT(" ",30)),181,30))),0)+IFERROR(VALUE(TRIM(MID(SUBSTITUTE(SUBSTITUTE(SUBSTITUTE(UPPER($L133)," ",""),"F",""),";",REPT(" ",30)),211,30))),0)))))</f>
        <v/>
      </c>
      <c r="O133" s="26" t="n"/>
      <c r="P133" s="6" t="n"/>
      <c r="Q133" s="13" t="n"/>
      <c r="R133" s="27">
        <f>IF($C133="","",IF($E133="Falta","-",MAX(0,MIN(10,5+IFERROR(VALUE(TRIM(MID(SUBSTITUTE(SUBSTITUTE(SUBSTITUTE(UPPER($P133)," ",""),"C",""),";",REPT(" ",30)),1,30))),0)+IFERROR(VALUE(TRIM(MID(SUBSTITUTE(SUBSTITUTE(SUBSTITUTE(UPPER($P133)," ",""),"C",""),";",REPT(" ",30)),31,30))),0)+IFERROR(VALUE(TRIM(MID(SUBSTITUTE(SUBSTITUTE(SUBSTITUTE(UPPER($P133)," ",""),"C",""),";",REPT(" ",30)),61,30))),0)+IFERROR(VALUE(TRIM(MID(SUBSTITUTE(SUBSTITUTE(SUBSTITUTE(UPPER($P133)," ",""),"C",""),";",REPT(" ",30)),91,30))),0)+IFERROR(VALUE(TRIM(MID(SUBSTITUTE(SUBSTITUTE(SUBSTITUTE(UPPER($P133)," ",""),"C",""),";",REPT(" ",30)),121,30))),0)+IFERROR(VALUE(TRIM(MID(SUBSTITUTE(SUBSTITUTE(SUBSTITUTE(UPPER($P133)," ",""),"C",""),";",REPT(" ",30)),151,30))),0)+IFERROR(VALUE(TRIM(MID(SUBSTITUTE(SUBSTITUTE(SUBSTITUTE(UPPER($P133)," ",""),"C",""),";",REPT(" ",30)),181,30))),0)+IFERROR(VALUE(TRIM(MID(SUBSTITUTE(SUBSTITUTE(SUBSTITUTE(UPPER($P133)," ",""),"C",""),";",REPT(" ",30)),211,30))),0)))))</f>
        <v/>
      </c>
      <c r="S133" s="26" t="n"/>
      <c r="T133" s="6" t="n"/>
      <c r="U133" s="13" t="n"/>
      <c r="V133" s="27">
        <f>IF($C133="","",IF($E133="Falta","-",MAX(0,MIN(10,5+IFERROR(VALUE(TRIM(MID(SUBSTITUTE(SUBSTITUTE(SUBSTITUTE(UPPER($T133)," ",""),"P",""),";",REPT(" ",30)),1,30))),0)+IFERROR(VALUE(TRIM(MID(SUBSTITUTE(SUBSTITUTE(SUBSTITUTE(UPPER($T133)," ",""),"P",""),";",REPT(" ",30)),31,30))),0)+IFERROR(VALUE(TRIM(MID(SUBSTITUTE(SUBSTITUTE(SUBSTITUTE(UPPER($T133)," ",""),"P",""),";",REPT(" ",30)),61,30))),0)+IFERROR(VALUE(TRIM(MID(SUBSTITUTE(SUBSTITUTE(SUBSTITUTE(UPPER($T133)," ",""),"P",""),";",REPT(" ",30)),91,30))),0)+IFERROR(VALUE(TRIM(MID(SUBSTITUTE(SUBSTITUTE(SUBSTITUTE(UPPER($T133)," ",""),"P",""),";",REPT(" ",30)),121,30))),0)+IFERROR(VALUE(TRIM(MID(SUBSTITUTE(SUBSTITUTE(SUBSTITUTE(UPPER($T133)," ",""),"P",""),";",REPT(" ",30)),151,30))),0)+IFERROR(VALUE(TRIM(MID(SUBSTITUTE(SUBSTITUTE(SUBSTITUTE(UPPER($T133)," ",""),"P",""),";",REPT(" ",30)),181,30))),0)+IFERROR(VALUE(TRIM(MID(SUBSTITUTE(SUBSTITUTE(SUBSTITUTE(UPPER($T133)," ",""),"P",""),";",REPT(" ",30)),211,30))),0)))))</f>
        <v/>
      </c>
      <c r="W133" s="26" t="n"/>
      <c r="X133" s="13" t="n"/>
    </row>
    <row r="134">
      <c r="A134" s="8">
        <f>IF($C134="","",27)</f>
        <v/>
      </c>
      <c r="B134" s="8">
        <f>IF($C134="","","1ª Sessão")</f>
        <v/>
      </c>
      <c r="C134" s="8">
        <f>IF(Preenchimento!$B$36="","",Preenchimento!$B$36)</f>
        <v/>
      </c>
      <c r="D134" s="8">
        <f>IF($C134="","",IF(Preenchimento!$C$36="","-",Preenchimento!$C$36))</f>
        <v/>
      </c>
      <c r="E134" s="8" t="n"/>
      <c r="F134" s="8" t="n"/>
      <c r="G134" s="24" t="n"/>
      <c r="H134" s="8" t="n"/>
      <c r="I134" s="14" t="n"/>
      <c r="J134" s="25">
        <f>IF($C134="","",IF($E134="Falta","-",MAX(0,MIN(10,8+IFERROR(VALUE(TRIM(MID(SUBSTITUTE(SUBSTITUTE(SUBSTITUTE(UPPER($H134)," ",""),"D",""),";",REPT(" ",30)),1,30))),0)+IFERROR(VALUE(TRIM(MID(SUBSTITUTE(SUBSTITUTE(SUBSTITUTE(UPPER($H134)," ",""),"D",""),";",REPT(" ",30)),31,30))),0)+IFERROR(VALUE(TRIM(MID(SUBSTITUTE(SUBSTITUTE(SUBSTITUTE(UPPER($H134)," ",""),"D",""),";",REPT(" ",30)),61,30))),0)+IFERROR(VALUE(TRIM(MID(SUBSTITUTE(SUBSTITUTE(SUBSTITUTE(UPPER($H134)," ",""),"D",""),";",REPT(" ",30)),91,30))),0)+IFERROR(VALUE(TRIM(MID(SUBSTITUTE(SUBSTITUTE(SUBSTITUTE(UPPER($H134)," ",""),"D",""),";",REPT(" ",30)),121,30))),0)+IFERROR(VALUE(TRIM(MID(SUBSTITUTE(SUBSTITUTE(SUBSTITUTE(UPPER($H134)," ",""),"D",""),";",REPT(" ",30)),151,30))),0)+IFERROR(VALUE(TRIM(MID(SUBSTITUTE(SUBSTITUTE(SUBSTITUTE(UPPER($H134)," ",""),"D",""),";",REPT(" ",30)),181,30))),0)+IFERROR(VALUE(TRIM(MID(SUBSTITUTE(SUBSTITUTE(SUBSTITUTE(UPPER($H134)," ",""),"D",""),";",REPT(" ",30)),211,30))),0)))))</f>
        <v/>
      </c>
      <c r="K134" s="24" t="n"/>
      <c r="L134" s="8" t="n"/>
      <c r="M134" s="14" t="n"/>
      <c r="N134" s="25">
        <f>IF($C134="","",IF($E134="Falta","-",MAX(0,MIN(10,8+IFERROR(VALUE(TRIM(MID(SUBSTITUTE(SUBSTITUTE(SUBSTITUTE(UPPER($L134)," ",""),"F",""),";",REPT(" ",30)),1,30))),0)+IFERROR(VALUE(TRIM(MID(SUBSTITUTE(SUBSTITUTE(SUBSTITUTE(UPPER($L134)," ",""),"F",""),";",REPT(" ",30)),31,30))),0)+IFERROR(VALUE(TRIM(MID(SUBSTITUTE(SUBSTITUTE(SUBSTITUTE(UPPER($L134)," ",""),"F",""),";",REPT(" ",30)),61,30))),0)+IFERROR(VALUE(TRIM(MID(SUBSTITUTE(SUBSTITUTE(SUBSTITUTE(UPPER($L134)," ",""),"F",""),";",REPT(" ",30)),91,30))),0)+IFERROR(VALUE(TRIM(MID(SUBSTITUTE(SUBSTITUTE(SUBSTITUTE(UPPER($L134)," ",""),"F",""),";",REPT(" ",30)),121,30))),0)+IFERROR(VALUE(TRIM(MID(SUBSTITUTE(SUBSTITUTE(SUBSTITUTE(UPPER($L134)," ",""),"F",""),";",REPT(" ",30)),151,30))),0)+IFERROR(VALUE(TRIM(MID(SUBSTITUTE(SUBSTITUTE(SUBSTITUTE(UPPER($L134)," ",""),"F",""),";",REPT(" ",30)),181,30))),0)+IFERROR(VALUE(TRIM(MID(SUBSTITUTE(SUBSTITUTE(SUBSTITUTE(UPPER($L134)," ",""),"F",""),";",REPT(" ",30)),211,30))),0)))))</f>
        <v/>
      </c>
      <c r="O134" s="24" t="n"/>
      <c r="P134" s="8" t="n"/>
      <c r="Q134" s="14" t="n"/>
      <c r="R134" s="25">
        <f>IF($C134="","",IF($E134="Falta","-",MAX(0,MIN(10,5+IFERROR(VALUE(TRIM(MID(SUBSTITUTE(SUBSTITUTE(SUBSTITUTE(UPPER($P134)," ",""),"C",""),";",REPT(" ",30)),1,30))),0)+IFERROR(VALUE(TRIM(MID(SUBSTITUTE(SUBSTITUTE(SUBSTITUTE(UPPER($P134)," ",""),"C",""),";",REPT(" ",30)),31,30))),0)+IFERROR(VALUE(TRIM(MID(SUBSTITUTE(SUBSTITUTE(SUBSTITUTE(UPPER($P134)," ",""),"C",""),";",REPT(" ",30)),61,30))),0)+IFERROR(VALUE(TRIM(MID(SUBSTITUTE(SUBSTITUTE(SUBSTITUTE(UPPER($P134)," ",""),"C",""),";",REPT(" ",30)),91,30))),0)+IFERROR(VALUE(TRIM(MID(SUBSTITUTE(SUBSTITUTE(SUBSTITUTE(UPPER($P134)," ",""),"C",""),";",REPT(" ",30)),121,30))),0)+IFERROR(VALUE(TRIM(MID(SUBSTITUTE(SUBSTITUTE(SUBSTITUTE(UPPER($P134)," ",""),"C",""),";",REPT(" ",30)),151,30))),0)+IFERROR(VALUE(TRIM(MID(SUBSTITUTE(SUBSTITUTE(SUBSTITUTE(UPPER($P134)," ",""),"C",""),";",REPT(" ",30)),181,30))),0)+IFERROR(VALUE(TRIM(MID(SUBSTITUTE(SUBSTITUTE(SUBSTITUTE(UPPER($P134)," ",""),"C",""),";",REPT(" ",30)),211,30))),0)))))</f>
        <v/>
      </c>
      <c r="S134" s="24" t="n"/>
      <c r="T134" s="8" t="n"/>
      <c r="U134" s="14" t="n"/>
      <c r="V134" s="25">
        <f>IF($C134="","",IF($E134="Falta","-",MAX(0,MIN(10,5+IFERROR(VALUE(TRIM(MID(SUBSTITUTE(SUBSTITUTE(SUBSTITUTE(UPPER($T134)," ",""),"P",""),";",REPT(" ",30)),1,30))),0)+IFERROR(VALUE(TRIM(MID(SUBSTITUTE(SUBSTITUTE(SUBSTITUTE(UPPER($T134)," ",""),"P",""),";",REPT(" ",30)),31,30))),0)+IFERROR(VALUE(TRIM(MID(SUBSTITUTE(SUBSTITUTE(SUBSTITUTE(UPPER($T134)," ",""),"P",""),";",REPT(" ",30)),61,30))),0)+IFERROR(VALUE(TRIM(MID(SUBSTITUTE(SUBSTITUTE(SUBSTITUTE(UPPER($T134)," ",""),"P",""),";",REPT(" ",30)),91,30))),0)+IFERROR(VALUE(TRIM(MID(SUBSTITUTE(SUBSTITUTE(SUBSTITUTE(UPPER($T134)," ",""),"P",""),";",REPT(" ",30)),121,30))),0)+IFERROR(VALUE(TRIM(MID(SUBSTITUTE(SUBSTITUTE(SUBSTITUTE(UPPER($T134)," ",""),"P",""),";",REPT(" ",30)),151,30))),0)+IFERROR(VALUE(TRIM(MID(SUBSTITUTE(SUBSTITUTE(SUBSTITUTE(UPPER($T134)," ",""),"P",""),";",REPT(" ",30)),181,30))),0)+IFERROR(VALUE(TRIM(MID(SUBSTITUTE(SUBSTITUTE(SUBSTITUTE(UPPER($T134)," ",""),"P",""),";",REPT(" ",30)),211,30))),0)))))</f>
        <v/>
      </c>
      <c r="W134" s="24" t="n"/>
      <c r="X134" s="14" t="n"/>
    </row>
    <row r="135">
      <c r="A135" s="8">
        <f>IF($C135="","",27)</f>
        <v/>
      </c>
      <c r="B135" s="8">
        <f>IF($C135="","","2ª Sessão")</f>
        <v/>
      </c>
      <c r="C135" s="8">
        <f>IF(Preenchimento!$B$36="","",Preenchimento!$B$36)</f>
        <v/>
      </c>
      <c r="D135" s="8">
        <f>IF($C135="","",IF(Preenchimento!$C$36="","-",Preenchimento!$C$36))</f>
        <v/>
      </c>
      <c r="E135" s="8" t="n"/>
      <c r="F135" s="8" t="n"/>
      <c r="G135" s="24" t="n"/>
      <c r="H135" s="8" t="n"/>
      <c r="I135" s="14" t="n"/>
      <c r="J135" s="25">
        <f>IF($C135="","",IF($E135="Falta","-",MAX(0,MIN(10,8+IFERROR(VALUE(TRIM(MID(SUBSTITUTE(SUBSTITUTE(SUBSTITUTE(UPPER($H135)," ",""),"D",""),";",REPT(" ",30)),1,30))),0)+IFERROR(VALUE(TRIM(MID(SUBSTITUTE(SUBSTITUTE(SUBSTITUTE(UPPER($H135)," ",""),"D",""),";",REPT(" ",30)),31,30))),0)+IFERROR(VALUE(TRIM(MID(SUBSTITUTE(SUBSTITUTE(SUBSTITUTE(UPPER($H135)," ",""),"D",""),";",REPT(" ",30)),61,30))),0)+IFERROR(VALUE(TRIM(MID(SUBSTITUTE(SUBSTITUTE(SUBSTITUTE(UPPER($H135)," ",""),"D",""),";",REPT(" ",30)),91,30))),0)+IFERROR(VALUE(TRIM(MID(SUBSTITUTE(SUBSTITUTE(SUBSTITUTE(UPPER($H135)," ",""),"D",""),";",REPT(" ",30)),121,30))),0)+IFERROR(VALUE(TRIM(MID(SUBSTITUTE(SUBSTITUTE(SUBSTITUTE(UPPER($H135)," ",""),"D",""),";",REPT(" ",30)),151,30))),0)+IFERROR(VALUE(TRIM(MID(SUBSTITUTE(SUBSTITUTE(SUBSTITUTE(UPPER($H135)," ",""),"D",""),";",REPT(" ",30)),181,30))),0)+IFERROR(VALUE(TRIM(MID(SUBSTITUTE(SUBSTITUTE(SUBSTITUTE(UPPER($H135)," ",""),"D",""),";",REPT(" ",30)),211,30))),0)))))</f>
        <v/>
      </c>
      <c r="K135" s="24" t="n"/>
      <c r="L135" s="8" t="n"/>
      <c r="M135" s="14" t="n"/>
      <c r="N135" s="25">
        <f>IF($C135="","",IF($E135="Falta","-",MAX(0,MIN(10,8+IFERROR(VALUE(TRIM(MID(SUBSTITUTE(SUBSTITUTE(SUBSTITUTE(UPPER($L135)," ",""),"F",""),";",REPT(" ",30)),1,30))),0)+IFERROR(VALUE(TRIM(MID(SUBSTITUTE(SUBSTITUTE(SUBSTITUTE(UPPER($L135)," ",""),"F",""),";",REPT(" ",30)),31,30))),0)+IFERROR(VALUE(TRIM(MID(SUBSTITUTE(SUBSTITUTE(SUBSTITUTE(UPPER($L135)," ",""),"F",""),";",REPT(" ",30)),61,30))),0)+IFERROR(VALUE(TRIM(MID(SUBSTITUTE(SUBSTITUTE(SUBSTITUTE(UPPER($L135)," ",""),"F",""),";",REPT(" ",30)),91,30))),0)+IFERROR(VALUE(TRIM(MID(SUBSTITUTE(SUBSTITUTE(SUBSTITUTE(UPPER($L135)," ",""),"F",""),";",REPT(" ",30)),121,30))),0)+IFERROR(VALUE(TRIM(MID(SUBSTITUTE(SUBSTITUTE(SUBSTITUTE(UPPER($L135)," ",""),"F",""),";",REPT(" ",30)),151,30))),0)+IFERROR(VALUE(TRIM(MID(SUBSTITUTE(SUBSTITUTE(SUBSTITUTE(UPPER($L135)," ",""),"F",""),";",REPT(" ",30)),181,30))),0)+IFERROR(VALUE(TRIM(MID(SUBSTITUTE(SUBSTITUTE(SUBSTITUTE(UPPER($L135)," ",""),"F",""),";",REPT(" ",30)),211,30))),0)))))</f>
        <v/>
      </c>
      <c r="O135" s="24" t="n"/>
      <c r="P135" s="8" t="n"/>
      <c r="Q135" s="14" t="n"/>
      <c r="R135" s="25">
        <f>IF($C135="","",IF($E135="Falta","-",MAX(0,MIN(10,5+IFERROR(VALUE(TRIM(MID(SUBSTITUTE(SUBSTITUTE(SUBSTITUTE(UPPER($P135)," ",""),"C",""),";",REPT(" ",30)),1,30))),0)+IFERROR(VALUE(TRIM(MID(SUBSTITUTE(SUBSTITUTE(SUBSTITUTE(UPPER($P135)," ",""),"C",""),";",REPT(" ",30)),31,30))),0)+IFERROR(VALUE(TRIM(MID(SUBSTITUTE(SUBSTITUTE(SUBSTITUTE(UPPER($P135)," ",""),"C",""),";",REPT(" ",30)),61,30))),0)+IFERROR(VALUE(TRIM(MID(SUBSTITUTE(SUBSTITUTE(SUBSTITUTE(UPPER($P135)," ",""),"C",""),";",REPT(" ",30)),91,30))),0)+IFERROR(VALUE(TRIM(MID(SUBSTITUTE(SUBSTITUTE(SUBSTITUTE(UPPER($P135)," ",""),"C",""),";",REPT(" ",30)),121,30))),0)+IFERROR(VALUE(TRIM(MID(SUBSTITUTE(SUBSTITUTE(SUBSTITUTE(UPPER($P135)," ",""),"C",""),";",REPT(" ",30)),151,30))),0)+IFERROR(VALUE(TRIM(MID(SUBSTITUTE(SUBSTITUTE(SUBSTITUTE(UPPER($P135)," ",""),"C",""),";",REPT(" ",30)),181,30))),0)+IFERROR(VALUE(TRIM(MID(SUBSTITUTE(SUBSTITUTE(SUBSTITUTE(UPPER($P135)," ",""),"C",""),";",REPT(" ",30)),211,30))),0)))))</f>
        <v/>
      </c>
      <c r="S135" s="24" t="n"/>
      <c r="T135" s="8" t="n"/>
      <c r="U135" s="14" t="n"/>
      <c r="V135" s="25">
        <f>IF($C135="","",IF($E135="Falta","-",MAX(0,MIN(10,5+IFERROR(VALUE(TRIM(MID(SUBSTITUTE(SUBSTITUTE(SUBSTITUTE(UPPER($T135)," ",""),"P",""),";",REPT(" ",30)),1,30))),0)+IFERROR(VALUE(TRIM(MID(SUBSTITUTE(SUBSTITUTE(SUBSTITUTE(UPPER($T135)," ",""),"P",""),";",REPT(" ",30)),31,30))),0)+IFERROR(VALUE(TRIM(MID(SUBSTITUTE(SUBSTITUTE(SUBSTITUTE(UPPER($T135)," ",""),"P",""),";",REPT(" ",30)),61,30))),0)+IFERROR(VALUE(TRIM(MID(SUBSTITUTE(SUBSTITUTE(SUBSTITUTE(UPPER($T135)," ",""),"P",""),";",REPT(" ",30)),91,30))),0)+IFERROR(VALUE(TRIM(MID(SUBSTITUTE(SUBSTITUTE(SUBSTITUTE(UPPER($T135)," ",""),"P",""),";",REPT(" ",30)),121,30))),0)+IFERROR(VALUE(TRIM(MID(SUBSTITUTE(SUBSTITUTE(SUBSTITUTE(UPPER($T135)," ",""),"P",""),";",REPT(" ",30)),151,30))),0)+IFERROR(VALUE(TRIM(MID(SUBSTITUTE(SUBSTITUTE(SUBSTITUTE(UPPER($T135)," ",""),"P",""),";",REPT(" ",30)),181,30))),0)+IFERROR(VALUE(TRIM(MID(SUBSTITUTE(SUBSTITUTE(SUBSTITUTE(UPPER($T135)," ",""),"P",""),";",REPT(" ",30)),211,30))),0)))))</f>
        <v/>
      </c>
      <c r="W135" s="24" t="n"/>
      <c r="X135" s="14" t="n"/>
    </row>
    <row r="136">
      <c r="A136" s="8">
        <f>IF($C136="","",27)</f>
        <v/>
      </c>
      <c r="B136" s="8">
        <f>IF($C136="","","3ª Sessão")</f>
        <v/>
      </c>
      <c r="C136" s="8">
        <f>IF(Preenchimento!$B$36="","",Preenchimento!$B$36)</f>
        <v/>
      </c>
      <c r="D136" s="8">
        <f>IF($C136="","",IF(Preenchimento!$C$36="","-",Preenchimento!$C$36))</f>
        <v/>
      </c>
      <c r="E136" s="8" t="n"/>
      <c r="F136" s="8" t="n"/>
      <c r="G136" s="24" t="n"/>
      <c r="H136" s="8" t="n"/>
      <c r="I136" s="14" t="n"/>
      <c r="J136" s="25">
        <f>IF($C136="","",IF($E136="Falta","-",MAX(0,MIN(10,8+IFERROR(VALUE(TRIM(MID(SUBSTITUTE(SUBSTITUTE(SUBSTITUTE(UPPER($H136)," ",""),"D",""),";",REPT(" ",30)),1,30))),0)+IFERROR(VALUE(TRIM(MID(SUBSTITUTE(SUBSTITUTE(SUBSTITUTE(UPPER($H136)," ",""),"D",""),";",REPT(" ",30)),31,30))),0)+IFERROR(VALUE(TRIM(MID(SUBSTITUTE(SUBSTITUTE(SUBSTITUTE(UPPER($H136)," ",""),"D",""),";",REPT(" ",30)),61,30))),0)+IFERROR(VALUE(TRIM(MID(SUBSTITUTE(SUBSTITUTE(SUBSTITUTE(UPPER($H136)," ",""),"D",""),";",REPT(" ",30)),91,30))),0)+IFERROR(VALUE(TRIM(MID(SUBSTITUTE(SUBSTITUTE(SUBSTITUTE(UPPER($H136)," ",""),"D",""),";",REPT(" ",30)),121,30))),0)+IFERROR(VALUE(TRIM(MID(SUBSTITUTE(SUBSTITUTE(SUBSTITUTE(UPPER($H136)," ",""),"D",""),";",REPT(" ",30)),151,30))),0)+IFERROR(VALUE(TRIM(MID(SUBSTITUTE(SUBSTITUTE(SUBSTITUTE(UPPER($H136)," ",""),"D",""),";",REPT(" ",30)),181,30))),0)+IFERROR(VALUE(TRIM(MID(SUBSTITUTE(SUBSTITUTE(SUBSTITUTE(UPPER($H136)," ",""),"D",""),";",REPT(" ",30)),211,30))),0)))))</f>
        <v/>
      </c>
      <c r="K136" s="24" t="n"/>
      <c r="L136" s="8" t="n"/>
      <c r="M136" s="14" t="n"/>
      <c r="N136" s="25">
        <f>IF($C136="","",IF($E136="Falta","-",MAX(0,MIN(10,8+IFERROR(VALUE(TRIM(MID(SUBSTITUTE(SUBSTITUTE(SUBSTITUTE(UPPER($L136)," ",""),"F",""),";",REPT(" ",30)),1,30))),0)+IFERROR(VALUE(TRIM(MID(SUBSTITUTE(SUBSTITUTE(SUBSTITUTE(UPPER($L136)," ",""),"F",""),";",REPT(" ",30)),31,30))),0)+IFERROR(VALUE(TRIM(MID(SUBSTITUTE(SUBSTITUTE(SUBSTITUTE(UPPER($L136)," ",""),"F",""),";",REPT(" ",30)),61,30))),0)+IFERROR(VALUE(TRIM(MID(SUBSTITUTE(SUBSTITUTE(SUBSTITUTE(UPPER($L136)," ",""),"F",""),";",REPT(" ",30)),91,30))),0)+IFERROR(VALUE(TRIM(MID(SUBSTITUTE(SUBSTITUTE(SUBSTITUTE(UPPER($L136)," ",""),"F",""),";",REPT(" ",30)),121,30))),0)+IFERROR(VALUE(TRIM(MID(SUBSTITUTE(SUBSTITUTE(SUBSTITUTE(UPPER($L136)," ",""),"F",""),";",REPT(" ",30)),151,30))),0)+IFERROR(VALUE(TRIM(MID(SUBSTITUTE(SUBSTITUTE(SUBSTITUTE(UPPER($L136)," ",""),"F",""),";",REPT(" ",30)),181,30))),0)+IFERROR(VALUE(TRIM(MID(SUBSTITUTE(SUBSTITUTE(SUBSTITUTE(UPPER($L136)," ",""),"F",""),";",REPT(" ",30)),211,30))),0)))))</f>
        <v/>
      </c>
      <c r="O136" s="24" t="n"/>
      <c r="P136" s="8" t="n"/>
      <c r="Q136" s="14" t="n"/>
      <c r="R136" s="25">
        <f>IF($C136="","",IF($E136="Falta","-",MAX(0,MIN(10,5+IFERROR(VALUE(TRIM(MID(SUBSTITUTE(SUBSTITUTE(SUBSTITUTE(UPPER($P136)," ",""),"C",""),";",REPT(" ",30)),1,30))),0)+IFERROR(VALUE(TRIM(MID(SUBSTITUTE(SUBSTITUTE(SUBSTITUTE(UPPER($P136)," ",""),"C",""),";",REPT(" ",30)),31,30))),0)+IFERROR(VALUE(TRIM(MID(SUBSTITUTE(SUBSTITUTE(SUBSTITUTE(UPPER($P136)," ",""),"C",""),";",REPT(" ",30)),61,30))),0)+IFERROR(VALUE(TRIM(MID(SUBSTITUTE(SUBSTITUTE(SUBSTITUTE(UPPER($P136)," ",""),"C",""),";",REPT(" ",30)),91,30))),0)+IFERROR(VALUE(TRIM(MID(SUBSTITUTE(SUBSTITUTE(SUBSTITUTE(UPPER($P136)," ",""),"C",""),";",REPT(" ",30)),121,30))),0)+IFERROR(VALUE(TRIM(MID(SUBSTITUTE(SUBSTITUTE(SUBSTITUTE(UPPER($P136)," ",""),"C",""),";",REPT(" ",30)),151,30))),0)+IFERROR(VALUE(TRIM(MID(SUBSTITUTE(SUBSTITUTE(SUBSTITUTE(UPPER($P136)," ",""),"C",""),";",REPT(" ",30)),181,30))),0)+IFERROR(VALUE(TRIM(MID(SUBSTITUTE(SUBSTITUTE(SUBSTITUTE(UPPER($P136)," ",""),"C",""),";",REPT(" ",30)),211,30))),0)))))</f>
        <v/>
      </c>
      <c r="S136" s="24" t="n"/>
      <c r="T136" s="8" t="n"/>
      <c r="U136" s="14" t="n"/>
      <c r="V136" s="25">
        <f>IF($C136="","",IF($E136="Falta","-",MAX(0,MIN(10,5+IFERROR(VALUE(TRIM(MID(SUBSTITUTE(SUBSTITUTE(SUBSTITUTE(UPPER($T136)," ",""),"P",""),";",REPT(" ",30)),1,30))),0)+IFERROR(VALUE(TRIM(MID(SUBSTITUTE(SUBSTITUTE(SUBSTITUTE(UPPER($T136)," ",""),"P",""),";",REPT(" ",30)),31,30))),0)+IFERROR(VALUE(TRIM(MID(SUBSTITUTE(SUBSTITUTE(SUBSTITUTE(UPPER($T136)," ",""),"P",""),";",REPT(" ",30)),61,30))),0)+IFERROR(VALUE(TRIM(MID(SUBSTITUTE(SUBSTITUTE(SUBSTITUTE(UPPER($T136)," ",""),"P",""),";",REPT(" ",30)),91,30))),0)+IFERROR(VALUE(TRIM(MID(SUBSTITUTE(SUBSTITUTE(SUBSTITUTE(UPPER($T136)," ",""),"P",""),";",REPT(" ",30)),121,30))),0)+IFERROR(VALUE(TRIM(MID(SUBSTITUTE(SUBSTITUTE(SUBSTITUTE(UPPER($T136)," ",""),"P",""),";",REPT(" ",30)),151,30))),0)+IFERROR(VALUE(TRIM(MID(SUBSTITUTE(SUBSTITUTE(SUBSTITUTE(UPPER($T136)," ",""),"P",""),";",REPT(" ",30)),181,30))),0)+IFERROR(VALUE(TRIM(MID(SUBSTITUTE(SUBSTITUTE(SUBSTITUTE(UPPER($T136)," ",""),"P",""),";",REPT(" ",30)),211,30))),0)))))</f>
        <v/>
      </c>
      <c r="W136" s="24" t="n"/>
      <c r="X136" s="14" t="n"/>
    </row>
    <row r="137">
      <c r="A137" s="8">
        <f>IF($C137="","",27)</f>
        <v/>
      </c>
      <c r="B137" s="8">
        <f>IF($C137="","","4ª Sessão")</f>
        <v/>
      </c>
      <c r="C137" s="8">
        <f>IF(Preenchimento!$B$36="","",Preenchimento!$B$36)</f>
        <v/>
      </c>
      <c r="D137" s="8">
        <f>IF($C137="","",IF(Preenchimento!$C$36="","-",Preenchimento!$C$36))</f>
        <v/>
      </c>
      <c r="E137" s="8" t="n"/>
      <c r="F137" s="8" t="n"/>
      <c r="G137" s="24" t="n"/>
      <c r="H137" s="8" t="n"/>
      <c r="I137" s="14" t="n"/>
      <c r="J137" s="25">
        <f>IF($C137="","",IF($E137="Falta","-",MAX(0,MIN(10,8+IFERROR(VALUE(TRIM(MID(SUBSTITUTE(SUBSTITUTE(SUBSTITUTE(UPPER($H137)," ",""),"D",""),";",REPT(" ",30)),1,30))),0)+IFERROR(VALUE(TRIM(MID(SUBSTITUTE(SUBSTITUTE(SUBSTITUTE(UPPER($H137)," ",""),"D",""),";",REPT(" ",30)),31,30))),0)+IFERROR(VALUE(TRIM(MID(SUBSTITUTE(SUBSTITUTE(SUBSTITUTE(UPPER($H137)," ",""),"D",""),";",REPT(" ",30)),61,30))),0)+IFERROR(VALUE(TRIM(MID(SUBSTITUTE(SUBSTITUTE(SUBSTITUTE(UPPER($H137)," ",""),"D",""),";",REPT(" ",30)),91,30))),0)+IFERROR(VALUE(TRIM(MID(SUBSTITUTE(SUBSTITUTE(SUBSTITUTE(UPPER($H137)," ",""),"D",""),";",REPT(" ",30)),121,30))),0)+IFERROR(VALUE(TRIM(MID(SUBSTITUTE(SUBSTITUTE(SUBSTITUTE(UPPER($H137)," ",""),"D",""),";",REPT(" ",30)),151,30))),0)+IFERROR(VALUE(TRIM(MID(SUBSTITUTE(SUBSTITUTE(SUBSTITUTE(UPPER($H137)," ",""),"D",""),";",REPT(" ",30)),181,30))),0)+IFERROR(VALUE(TRIM(MID(SUBSTITUTE(SUBSTITUTE(SUBSTITUTE(UPPER($H137)," ",""),"D",""),";",REPT(" ",30)),211,30))),0)))))</f>
        <v/>
      </c>
      <c r="K137" s="24" t="n"/>
      <c r="L137" s="8" t="n"/>
      <c r="M137" s="14" t="n"/>
      <c r="N137" s="25">
        <f>IF($C137="","",IF($E137="Falta","-",MAX(0,MIN(10,8+IFERROR(VALUE(TRIM(MID(SUBSTITUTE(SUBSTITUTE(SUBSTITUTE(UPPER($L137)," ",""),"F",""),";",REPT(" ",30)),1,30))),0)+IFERROR(VALUE(TRIM(MID(SUBSTITUTE(SUBSTITUTE(SUBSTITUTE(UPPER($L137)," ",""),"F",""),";",REPT(" ",30)),31,30))),0)+IFERROR(VALUE(TRIM(MID(SUBSTITUTE(SUBSTITUTE(SUBSTITUTE(UPPER($L137)," ",""),"F",""),";",REPT(" ",30)),61,30))),0)+IFERROR(VALUE(TRIM(MID(SUBSTITUTE(SUBSTITUTE(SUBSTITUTE(UPPER($L137)," ",""),"F",""),";",REPT(" ",30)),91,30))),0)+IFERROR(VALUE(TRIM(MID(SUBSTITUTE(SUBSTITUTE(SUBSTITUTE(UPPER($L137)," ",""),"F",""),";",REPT(" ",30)),121,30))),0)+IFERROR(VALUE(TRIM(MID(SUBSTITUTE(SUBSTITUTE(SUBSTITUTE(UPPER($L137)," ",""),"F",""),";",REPT(" ",30)),151,30))),0)+IFERROR(VALUE(TRIM(MID(SUBSTITUTE(SUBSTITUTE(SUBSTITUTE(UPPER($L137)," ",""),"F",""),";",REPT(" ",30)),181,30))),0)+IFERROR(VALUE(TRIM(MID(SUBSTITUTE(SUBSTITUTE(SUBSTITUTE(UPPER($L137)," ",""),"F",""),";",REPT(" ",30)),211,30))),0)))))</f>
        <v/>
      </c>
      <c r="O137" s="24" t="n"/>
      <c r="P137" s="8" t="n"/>
      <c r="Q137" s="14" t="n"/>
      <c r="R137" s="25">
        <f>IF($C137="","",IF($E137="Falta","-",MAX(0,MIN(10,5+IFERROR(VALUE(TRIM(MID(SUBSTITUTE(SUBSTITUTE(SUBSTITUTE(UPPER($P137)," ",""),"C",""),";",REPT(" ",30)),1,30))),0)+IFERROR(VALUE(TRIM(MID(SUBSTITUTE(SUBSTITUTE(SUBSTITUTE(UPPER($P137)," ",""),"C",""),";",REPT(" ",30)),31,30))),0)+IFERROR(VALUE(TRIM(MID(SUBSTITUTE(SUBSTITUTE(SUBSTITUTE(UPPER($P137)," ",""),"C",""),";",REPT(" ",30)),61,30))),0)+IFERROR(VALUE(TRIM(MID(SUBSTITUTE(SUBSTITUTE(SUBSTITUTE(UPPER($P137)," ",""),"C",""),";",REPT(" ",30)),91,30))),0)+IFERROR(VALUE(TRIM(MID(SUBSTITUTE(SUBSTITUTE(SUBSTITUTE(UPPER($P137)," ",""),"C",""),";",REPT(" ",30)),121,30))),0)+IFERROR(VALUE(TRIM(MID(SUBSTITUTE(SUBSTITUTE(SUBSTITUTE(UPPER($P137)," ",""),"C",""),";",REPT(" ",30)),151,30))),0)+IFERROR(VALUE(TRIM(MID(SUBSTITUTE(SUBSTITUTE(SUBSTITUTE(UPPER($P137)," ",""),"C",""),";",REPT(" ",30)),181,30))),0)+IFERROR(VALUE(TRIM(MID(SUBSTITUTE(SUBSTITUTE(SUBSTITUTE(UPPER($P137)," ",""),"C",""),";",REPT(" ",30)),211,30))),0)))))</f>
        <v/>
      </c>
      <c r="S137" s="24" t="n"/>
      <c r="T137" s="8" t="n"/>
      <c r="U137" s="14" t="n"/>
      <c r="V137" s="25">
        <f>IF($C137="","",IF($E137="Falta","-",MAX(0,MIN(10,5+IFERROR(VALUE(TRIM(MID(SUBSTITUTE(SUBSTITUTE(SUBSTITUTE(UPPER($T137)," ",""),"P",""),";",REPT(" ",30)),1,30))),0)+IFERROR(VALUE(TRIM(MID(SUBSTITUTE(SUBSTITUTE(SUBSTITUTE(UPPER($T137)," ",""),"P",""),";",REPT(" ",30)),31,30))),0)+IFERROR(VALUE(TRIM(MID(SUBSTITUTE(SUBSTITUTE(SUBSTITUTE(UPPER($T137)," ",""),"P",""),";",REPT(" ",30)),61,30))),0)+IFERROR(VALUE(TRIM(MID(SUBSTITUTE(SUBSTITUTE(SUBSTITUTE(UPPER($T137)," ",""),"P",""),";",REPT(" ",30)),91,30))),0)+IFERROR(VALUE(TRIM(MID(SUBSTITUTE(SUBSTITUTE(SUBSTITUTE(UPPER($T137)," ",""),"P",""),";",REPT(" ",30)),121,30))),0)+IFERROR(VALUE(TRIM(MID(SUBSTITUTE(SUBSTITUTE(SUBSTITUTE(UPPER($T137)," ",""),"P",""),";",REPT(" ",30)),151,30))),0)+IFERROR(VALUE(TRIM(MID(SUBSTITUTE(SUBSTITUTE(SUBSTITUTE(UPPER($T137)," ",""),"P",""),";",REPT(" ",30)),181,30))),0)+IFERROR(VALUE(TRIM(MID(SUBSTITUTE(SUBSTITUTE(SUBSTITUTE(UPPER($T137)," ",""),"P",""),";",REPT(" ",30)),211,30))),0)))))</f>
        <v/>
      </c>
      <c r="W137" s="24" t="n"/>
      <c r="X137" s="14" t="n"/>
    </row>
    <row r="138">
      <c r="A138" s="8">
        <f>IF($C138="","",27)</f>
        <v/>
      </c>
      <c r="B138" s="8">
        <f>IF($C138="","","5ª Sessão")</f>
        <v/>
      </c>
      <c r="C138" s="8">
        <f>IF(Preenchimento!$B$36="","",Preenchimento!$B$36)</f>
        <v/>
      </c>
      <c r="D138" s="8">
        <f>IF($C138="","",IF(Preenchimento!$C$36="","-",Preenchimento!$C$36))</f>
        <v/>
      </c>
      <c r="E138" s="8" t="n"/>
      <c r="F138" s="8" t="n"/>
      <c r="G138" s="24" t="n"/>
      <c r="H138" s="8" t="n"/>
      <c r="I138" s="14" t="n"/>
      <c r="J138" s="25">
        <f>IF($C138="","",IF($E138="Falta","-",MAX(0,MIN(10,8+IFERROR(VALUE(TRIM(MID(SUBSTITUTE(SUBSTITUTE(SUBSTITUTE(UPPER($H138)," ",""),"D",""),";",REPT(" ",30)),1,30))),0)+IFERROR(VALUE(TRIM(MID(SUBSTITUTE(SUBSTITUTE(SUBSTITUTE(UPPER($H138)," ",""),"D",""),";",REPT(" ",30)),31,30))),0)+IFERROR(VALUE(TRIM(MID(SUBSTITUTE(SUBSTITUTE(SUBSTITUTE(UPPER($H138)," ",""),"D",""),";",REPT(" ",30)),61,30))),0)+IFERROR(VALUE(TRIM(MID(SUBSTITUTE(SUBSTITUTE(SUBSTITUTE(UPPER($H138)," ",""),"D",""),";",REPT(" ",30)),91,30))),0)+IFERROR(VALUE(TRIM(MID(SUBSTITUTE(SUBSTITUTE(SUBSTITUTE(UPPER($H138)," ",""),"D",""),";",REPT(" ",30)),121,30))),0)+IFERROR(VALUE(TRIM(MID(SUBSTITUTE(SUBSTITUTE(SUBSTITUTE(UPPER($H138)," ",""),"D",""),";",REPT(" ",30)),151,30))),0)+IFERROR(VALUE(TRIM(MID(SUBSTITUTE(SUBSTITUTE(SUBSTITUTE(UPPER($H138)," ",""),"D",""),";",REPT(" ",30)),181,30))),0)+IFERROR(VALUE(TRIM(MID(SUBSTITUTE(SUBSTITUTE(SUBSTITUTE(UPPER($H138)," ",""),"D",""),";",REPT(" ",30)),211,30))),0)))))</f>
        <v/>
      </c>
      <c r="K138" s="24" t="n"/>
      <c r="L138" s="8" t="n"/>
      <c r="M138" s="14" t="n"/>
      <c r="N138" s="25">
        <f>IF($C138="","",IF($E138="Falta","-",MAX(0,MIN(10,8+IFERROR(VALUE(TRIM(MID(SUBSTITUTE(SUBSTITUTE(SUBSTITUTE(UPPER($L138)," ",""),"F",""),";",REPT(" ",30)),1,30))),0)+IFERROR(VALUE(TRIM(MID(SUBSTITUTE(SUBSTITUTE(SUBSTITUTE(UPPER($L138)," ",""),"F",""),";",REPT(" ",30)),31,30))),0)+IFERROR(VALUE(TRIM(MID(SUBSTITUTE(SUBSTITUTE(SUBSTITUTE(UPPER($L138)," ",""),"F",""),";",REPT(" ",30)),61,30))),0)+IFERROR(VALUE(TRIM(MID(SUBSTITUTE(SUBSTITUTE(SUBSTITUTE(UPPER($L138)," ",""),"F",""),";",REPT(" ",30)),91,30))),0)+IFERROR(VALUE(TRIM(MID(SUBSTITUTE(SUBSTITUTE(SUBSTITUTE(UPPER($L138)," ",""),"F",""),";",REPT(" ",30)),121,30))),0)+IFERROR(VALUE(TRIM(MID(SUBSTITUTE(SUBSTITUTE(SUBSTITUTE(UPPER($L138)," ",""),"F",""),";",REPT(" ",30)),151,30))),0)+IFERROR(VALUE(TRIM(MID(SUBSTITUTE(SUBSTITUTE(SUBSTITUTE(UPPER($L138)," ",""),"F",""),";",REPT(" ",30)),181,30))),0)+IFERROR(VALUE(TRIM(MID(SUBSTITUTE(SUBSTITUTE(SUBSTITUTE(UPPER($L138)," ",""),"F",""),";",REPT(" ",30)),211,30))),0)))))</f>
        <v/>
      </c>
      <c r="O138" s="24" t="n"/>
      <c r="P138" s="8" t="n"/>
      <c r="Q138" s="14" t="n"/>
      <c r="R138" s="25">
        <f>IF($C138="","",IF($E138="Falta","-",MAX(0,MIN(10,5+IFERROR(VALUE(TRIM(MID(SUBSTITUTE(SUBSTITUTE(SUBSTITUTE(UPPER($P138)," ",""),"C",""),";",REPT(" ",30)),1,30))),0)+IFERROR(VALUE(TRIM(MID(SUBSTITUTE(SUBSTITUTE(SUBSTITUTE(UPPER($P138)," ",""),"C",""),";",REPT(" ",30)),31,30))),0)+IFERROR(VALUE(TRIM(MID(SUBSTITUTE(SUBSTITUTE(SUBSTITUTE(UPPER($P138)," ",""),"C",""),";",REPT(" ",30)),61,30))),0)+IFERROR(VALUE(TRIM(MID(SUBSTITUTE(SUBSTITUTE(SUBSTITUTE(UPPER($P138)," ",""),"C",""),";",REPT(" ",30)),91,30))),0)+IFERROR(VALUE(TRIM(MID(SUBSTITUTE(SUBSTITUTE(SUBSTITUTE(UPPER($P138)," ",""),"C",""),";",REPT(" ",30)),121,30))),0)+IFERROR(VALUE(TRIM(MID(SUBSTITUTE(SUBSTITUTE(SUBSTITUTE(UPPER($P138)," ",""),"C",""),";",REPT(" ",30)),151,30))),0)+IFERROR(VALUE(TRIM(MID(SUBSTITUTE(SUBSTITUTE(SUBSTITUTE(UPPER($P138)," ",""),"C",""),";",REPT(" ",30)),181,30))),0)+IFERROR(VALUE(TRIM(MID(SUBSTITUTE(SUBSTITUTE(SUBSTITUTE(UPPER($P138)," ",""),"C",""),";",REPT(" ",30)),211,30))),0)))))</f>
        <v/>
      </c>
      <c r="S138" s="24" t="n"/>
      <c r="T138" s="8" t="n"/>
      <c r="U138" s="14" t="n"/>
      <c r="V138" s="25">
        <f>IF($C138="","",IF($E138="Falta","-",MAX(0,MIN(10,5+IFERROR(VALUE(TRIM(MID(SUBSTITUTE(SUBSTITUTE(SUBSTITUTE(UPPER($T138)," ",""),"P",""),";",REPT(" ",30)),1,30))),0)+IFERROR(VALUE(TRIM(MID(SUBSTITUTE(SUBSTITUTE(SUBSTITUTE(UPPER($T138)," ",""),"P",""),";",REPT(" ",30)),31,30))),0)+IFERROR(VALUE(TRIM(MID(SUBSTITUTE(SUBSTITUTE(SUBSTITUTE(UPPER($T138)," ",""),"P",""),";",REPT(" ",30)),61,30))),0)+IFERROR(VALUE(TRIM(MID(SUBSTITUTE(SUBSTITUTE(SUBSTITUTE(UPPER($T138)," ",""),"P",""),";",REPT(" ",30)),91,30))),0)+IFERROR(VALUE(TRIM(MID(SUBSTITUTE(SUBSTITUTE(SUBSTITUTE(UPPER($T138)," ",""),"P",""),";",REPT(" ",30)),121,30))),0)+IFERROR(VALUE(TRIM(MID(SUBSTITUTE(SUBSTITUTE(SUBSTITUTE(UPPER($T138)," ",""),"P",""),";",REPT(" ",30)),151,30))),0)+IFERROR(VALUE(TRIM(MID(SUBSTITUTE(SUBSTITUTE(SUBSTITUTE(UPPER($T138)," ",""),"P",""),";",REPT(" ",30)),181,30))),0)+IFERROR(VALUE(TRIM(MID(SUBSTITUTE(SUBSTITUTE(SUBSTITUTE(UPPER($T138)," ",""),"P",""),";",REPT(" ",30)),211,30))),0)))))</f>
        <v/>
      </c>
      <c r="W138" s="24" t="n"/>
      <c r="X138" s="14" t="n"/>
    </row>
    <row r="139">
      <c r="A139" s="6">
        <f>IF($C139="","",28)</f>
        <v/>
      </c>
      <c r="B139" s="6">
        <f>IF($C139="","","1ª Sessão")</f>
        <v/>
      </c>
      <c r="C139" s="6">
        <f>IF(Preenchimento!$B$37="","",Preenchimento!$B$37)</f>
        <v/>
      </c>
      <c r="D139" s="6">
        <f>IF($C139="","",IF(Preenchimento!$C$37="","-",Preenchimento!$C$37))</f>
        <v/>
      </c>
      <c r="E139" s="6" t="n"/>
      <c r="F139" s="6" t="n"/>
      <c r="G139" s="26" t="n"/>
      <c r="H139" s="6" t="n"/>
      <c r="I139" s="13" t="n"/>
      <c r="J139" s="27">
        <f>IF($C139="","",IF($E139="Falta","-",MAX(0,MIN(10,8+IFERROR(VALUE(TRIM(MID(SUBSTITUTE(SUBSTITUTE(SUBSTITUTE(UPPER($H139)," ",""),"D",""),";",REPT(" ",30)),1,30))),0)+IFERROR(VALUE(TRIM(MID(SUBSTITUTE(SUBSTITUTE(SUBSTITUTE(UPPER($H139)," ",""),"D",""),";",REPT(" ",30)),31,30))),0)+IFERROR(VALUE(TRIM(MID(SUBSTITUTE(SUBSTITUTE(SUBSTITUTE(UPPER($H139)," ",""),"D",""),";",REPT(" ",30)),61,30))),0)+IFERROR(VALUE(TRIM(MID(SUBSTITUTE(SUBSTITUTE(SUBSTITUTE(UPPER($H139)," ",""),"D",""),";",REPT(" ",30)),91,30))),0)+IFERROR(VALUE(TRIM(MID(SUBSTITUTE(SUBSTITUTE(SUBSTITUTE(UPPER($H139)," ",""),"D",""),";",REPT(" ",30)),121,30))),0)+IFERROR(VALUE(TRIM(MID(SUBSTITUTE(SUBSTITUTE(SUBSTITUTE(UPPER($H139)," ",""),"D",""),";",REPT(" ",30)),151,30))),0)+IFERROR(VALUE(TRIM(MID(SUBSTITUTE(SUBSTITUTE(SUBSTITUTE(UPPER($H139)," ",""),"D",""),";",REPT(" ",30)),181,30))),0)+IFERROR(VALUE(TRIM(MID(SUBSTITUTE(SUBSTITUTE(SUBSTITUTE(UPPER($H139)," ",""),"D",""),";",REPT(" ",30)),211,30))),0)))))</f>
        <v/>
      </c>
      <c r="K139" s="26" t="n"/>
      <c r="L139" s="6" t="n"/>
      <c r="M139" s="13" t="n"/>
      <c r="N139" s="27">
        <f>IF($C139="","",IF($E139="Falta","-",MAX(0,MIN(10,8+IFERROR(VALUE(TRIM(MID(SUBSTITUTE(SUBSTITUTE(SUBSTITUTE(UPPER($L139)," ",""),"F",""),";",REPT(" ",30)),1,30))),0)+IFERROR(VALUE(TRIM(MID(SUBSTITUTE(SUBSTITUTE(SUBSTITUTE(UPPER($L139)," ",""),"F",""),";",REPT(" ",30)),31,30))),0)+IFERROR(VALUE(TRIM(MID(SUBSTITUTE(SUBSTITUTE(SUBSTITUTE(UPPER($L139)," ",""),"F",""),";",REPT(" ",30)),61,30))),0)+IFERROR(VALUE(TRIM(MID(SUBSTITUTE(SUBSTITUTE(SUBSTITUTE(UPPER($L139)," ",""),"F",""),";",REPT(" ",30)),91,30))),0)+IFERROR(VALUE(TRIM(MID(SUBSTITUTE(SUBSTITUTE(SUBSTITUTE(UPPER($L139)," ",""),"F",""),";",REPT(" ",30)),121,30))),0)+IFERROR(VALUE(TRIM(MID(SUBSTITUTE(SUBSTITUTE(SUBSTITUTE(UPPER($L139)," ",""),"F",""),";",REPT(" ",30)),151,30))),0)+IFERROR(VALUE(TRIM(MID(SUBSTITUTE(SUBSTITUTE(SUBSTITUTE(UPPER($L139)," ",""),"F",""),";",REPT(" ",30)),181,30))),0)+IFERROR(VALUE(TRIM(MID(SUBSTITUTE(SUBSTITUTE(SUBSTITUTE(UPPER($L139)," ",""),"F",""),";",REPT(" ",30)),211,30))),0)))))</f>
        <v/>
      </c>
      <c r="O139" s="26" t="n"/>
      <c r="P139" s="6" t="n"/>
      <c r="Q139" s="13" t="n"/>
      <c r="R139" s="27">
        <f>IF($C139="","",IF($E139="Falta","-",MAX(0,MIN(10,5+IFERROR(VALUE(TRIM(MID(SUBSTITUTE(SUBSTITUTE(SUBSTITUTE(UPPER($P139)," ",""),"C",""),";",REPT(" ",30)),1,30))),0)+IFERROR(VALUE(TRIM(MID(SUBSTITUTE(SUBSTITUTE(SUBSTITUTE(UPPER($P139)," ",""),"C",""),";",REPT(" ",30)),31,30))),0)+IFERROR(VALUE(TRIM(MID(SUBSTITUTE(SUBSTITUTE(SUBSTITUTE(UPPER($P139)," ",""),"C",""),";",REPT(" ",30)),61,30))),0)+IFERROR(VALUE(TRIM(MID(SUBSTITUTE(SUBSTITUTE(SUBSTITUTE(UPPER($P139)," ",""),"C",""),";",REPT(" ",30)),91,30))),0)+IFERROR(VALUE(TRIM(MID(SUBSTITUTE(SUBSTITUTE(SUBSTITUTE(UPPER($P139)," ",""),"C",""),";",REPT(" ",30)),121,30))),0)+IFERROR(VALUE(TRIM(MID(SUBSTITUTE(SUBSTITUTE(SUBSTITUTE(UPPER($P139)," ",""),"C",""),";",REPT(" ",30)),151,30))),0)+IFERROR(VALUE(TRIM(MID(SUBSTITUTE(SUBSTITUTE(SUBSTITUTE(UPPER($P139)," ",""),"C",""),";",REPT(" ",30)),181,30))),0)+IFERROR(VALUE(TRIM(MID(SUBSTITUTE(SUBSTITUTE(SUBSTITUTE(UPPER($P139)," ",""),"C",""),";",REPT(" ",30)),211,30))),0)))))</f>
        <v/>
      </c>
      <c r="S139" s="26" t="n"/>
      <c r="T139" s="6" t="n"/>
      <c r="U139" s="13" t="n"/>
      <c r="V139" s="27">
        <f>IF($C139="","",IF($E139="Falta","-",MAX(0,MIN(10,5+IFERROR(VALUE(TRIM(MID(SUBSTITUTE(SUBSTITUTE(SUBSTITUTE(UPPER($T139)," ",""),"P",""),";",REPT(" ",30)),1,30))),0)+IFERROR(VALUE(TRIM(MID(SUBSTITUTE(SUBSTITUTE(SUBSTITUTE(UPPER($T139)," ",""),"P",""),";",REPT(" ",30)),31,30))),0)+IFERROR(VALUE(TRIM(MID(SUBSTITUTE(SUBSTITUTE(SUBSTITUTE(UPPER($T139)," ",""),"P",""),";",REPT(" ",30)),61,30))),0)+IFERROR(VALUE(TRIM(MID(SUBSTITUTE(SUBSTITUTE(SUBSTITUTE(UPPER($T139)," ",""),"P",""),";",REPT(" ",30)),91,30))),0)+IFERROR(VALUE(TRIM(MID(SUBSTITUTE(SUBSTITUTE(SUBSTITUTE(UPPER($T139)," ",""),"P",""),";",REPT(" ",30)),121,30))),0)+IFERROR(VALUE(TRIM(MID(SUBSTITUTE(SUBSTITUTE(SUBSTITUTE(UPPER($T139)," ",""),"P",""),";",REPT(" ",30)),151,30))),0)+IFERROR(VALUE(TRIM(MID(SUBSTITUTE(SUBSTITUTE(SUBSTITUTE(UPPER($T139)," ",""),"P",""),";",REPT(" ",30)),181,30))),0)+IFERROR(VALUE(TRIM(MID(SUBSTITUTE(SUBSTITUTE(SUBSTITUTE(UPPER($T139)," ",""),"P",""),";",REPT(" ",30)),211,30))),0)))))</f>
        <v/>
      </c>
      <c r="W139" s="26" t="n"/>
      <c r="X139" s="13" t="n"/>
    </row>
    <row r="140">
      <c r="A140" s="6">
        <f>IF($C140="","",28)</f>
        <v/>
      </c>
      <c r="B140" s="6">
        <f>IF($C140="","","2ª Sessão")</f>
        <v/>
      </c>
      <c r="C140" s="6">
        <f>IF(Preenchimento!$B$37="","",Preenchimento!$B$37)</f>
        <v/>
      </c>
      <c r="D140" s="6">
        <f>IF($C140="","",IF(Preenchimento!$C$37="","-",Preenchimento!$C$37))</f>
        <v/>
      </c>
      <c r="E140" s="6" t="n"/>
      <c r="F140" s="6" t="n"/>
      <c r="G140" s="26" t="n"/>
      <c r="H140" s="6" t="n"/>
      <c r="I140" s="13" t="n"/>
      <c r="J140" s="27">
        <f>IF($C140="","",IF($E140="Falta","-",MAX(0,MIN(10,8+IFERROR(VALUE(TRIM(MID(SUBSTITUTE(SUBSTITUTE(SUBSTITUTE(UPPER($H140)," ",""),"D",""),";",REPT(" ",30)),1,30))),0)+IFERROR(VALUE(TRIM(MID(SUBSTITUTE(SUBSTITUTE(SUBSTITUTE(UPPER($H140)," ",""),"D",""),";",REPT(" ",30)),31,30))),0)+IFERROR(VALUE(TRIM(MID(SUBSTITUTE(SUBSTITUTE(SUBSTITUTE(UPPER($H140)," ",""),"D",""),";",REPT(" ",30)),61,30))),0)+IFERROR(VALUE(TRIM(MID(SUBSTITUTE(SUBSTITUTE(SUBSTITUTE(UPPER($H140)," ",""),"D",""),";",REPT(" ",30)),91,30))),0)+IFERROR(VALUE(TRIM(MID(SUBSTITUTE(SUBSTITUTE(SUBSTITUTE(UPPER($H140)," ",""),"D",""),";",REPT(" ",30)),121,30))),0)+IFERROR(VALUE(TRIM(MID(SUBSTITUTE(SUBSTITUTE(SUBSTITUTE(UPPER($H140)," ",""),"D",""),";",REPT(" ",30)),151,30))),0)+IFERROR(VALUE(TRIM(MID(SUBSTITUTE(SUBSTITUTE(SUBSTITUTE(UPPER($H140)," ",""),"D",""),";",REPT(" ",30)),181,30))),0)+IFERROR(VALUE(TRIM(MID(SUBSTITUTE(SUBSTITUTE(SUBSTITUTE(UPPER($H140)," ",""),"D",""),";",REPT(" ",30)),211,30))),0)))))</f>
        <v/>
      </c>
      <c r="K140" s="26" t="n"/>
      <c r="L140" s="6" t="n"/>
      <c r="M140" s="13" t="n"/>
      <c r="N140" s="27">
        <f>IF($C140="","",IF($E140="Falta","-",MAX(0,MIN(10,8+IFERROR(VALUE(TRIM(MID(SUBSTITUTE(SUBSTITUTE(SUBSTITUTE(UPPER($L140)," ",""),"F",""),";",REPT(" ",30)),1,30))),0)+IFERROR(VALUE(TRIM(MID(SUBSTITUTE(SUBSTITUTE(SUBSTITUTE(UPPER($L140)," ",""),"F",""),";",REPT(" ",30)),31,30))),0)+IFERROR(VALUE(TRIM(MID(SUBSTITUTE(SUBSTITUTE(SUBSTITUTE(UPPER($L140)," ",""),"F",""),";",REPT(" ",30)),61,30))),0)+IFERROR(VALUE(TRIM(MID(SUBSTITUTE(SUBSTITUTE(SUBSTITUTE(UPPER($L140)," ",""),"F",""),";",REPT(" ",30)),91,30))),0)+IFERROR(VALUE(TRIM(MID(SUBSTITUTE(SUBSTITUTE(SUBSTITUTE(UPPER($L140)," ",""),"F",""),";",REPT(" ",30)),121,30))),0)+IFERROR(VALUE(TRIM(MID(SUBSTITUTE(SUBSTITUTE(SUBSTITUTE(UPPER($L140)," ",""),"F",""),";",REPT(" ",30)),151,30))),0)+IFERROR(VALUE(TRIM(MID(SUBSTITUTE(SUBSTITUTE(SUBSTITUTE(UPPER($L140)," ",""),"F",""),";",REPT(" ",30)),181,30))),0)+IFERROR(VALUE(TRIM(MID(SUBSTITUTE(SUBSTITUTE(SUBSTITUTE(UPPER($L140)," ",""),"F",""),";",REPT(" ",30)),211,30))),0)))))</f>
        <v/>
      </c>
      <c r="O140" s="26" t="n"/>
      <c r="P140" s="6" t="n"/>
      <c r="Q140" s="13" t="n"/>
      <c r="R140" s="27">
        <f>IF($C140="","",IF($E140="Falta","-",MAX(0,MIN(10,5+IFERROR(VALUE(TRIM(MID(SUBSTITUTE(SUBSTITUTE(SUBSTITUTE(UPPER($P140)," ",""),"C",""),";",REPT(" ",30)),1,30))),0)+IFERROR(VALUE(TRIM(MID(SUBSTITUTE(SUBSTITUTE(SUBSTITUTE(UPPER($P140)," ",""),"C",""),";",REPT(" ",30)),31,30))),0)+IFERROR(VALUE(TRIM(MID(SUBSTITUTE(SUBSTITUTE(SUBSTITUTE(UPPER($P140)," ",""),"C",""),";",REPT(" ",30)),61,30))),0)+IFERROR(VALUE(TRIM(MID(SUBSTITUTE(SUBSTITUTE(SUBSTITUTE(UPPER($P140)," ",""),"C",""),";",REPT(" ",30)),91,30))),0)+IFERROR(VALUE(TRIM(MID(SUBSTITUTE(SUBSTITUTE(SUBSTITUTE(UPPER($P140)," ",""),"C",""),";",REPT(" ",30)),121,30))),0)+IFERROR(VALUE(TRIM(MID(SUBSTITUTE(SUBSTITUTE(SUBSTITUTE(UPPER($P140)," ",""),"C",""),";",REPT(" ",30)),151,30))),0)+IFERROR(VALUE(TRIM(MID(SUBSTITUTE(SUBSTITUTE(SUBSTITUTE(UPPER($P140)," ",""),"C",""),";",REPT(" ",30)),181,30))),0)+IFERROR(VALUE(TRIM(MID(SUBSTITUTE(SUBSTITUTE(SUBSTITUTE(UPPER($P140)," ",""),"C",""),";",REPT(" ",30)),211,30))),0)))))</f>
        <v/>
      </c>
      <c r="S140" s="26" t="n"/>
      <c r="T140" s="6" t="n"/>
      <c r="U140" s="13" t="n"/>
      <c r="V140" s="27">
        <f>IF($C140="","",IF($E140="Falta","-",MAX(0,MIN(10,5+IFERROR(VALUE(TRIM(MID(SUBSTITUTE(SUBSTITUTE(SUBSTITUTE(UPPER($T140)," ",""),"P",""),";",REPT(" ",30)),1,30))),0)+IFERROR(VALUE(TRIM(MID(SUBSTITUTE(SUBSTITUTE(SUBSTITUTE(UPPER($T140)," ",""),"P",""),";",REPT(" ",30)),31,30))),0)+IFERROR(VALUE(TRIM(MID(SUBSTITUTE(SUBSTITUTE(SUBSTITUTE(UPPER($T140)," ",""),"P",""),";",REPT(" ",30)),61,30))),0)+IFERROR(VALUE(TRIM(MID(SUBSTITUTE(SUBSTITUTE(SUBSTITUTE(UPPER($T140)," ",""),"P",""),";",REPT(" ",30)),91,30))),0)+IFERROR(VALUE(TRIM(MID(SUBSTITUTE(SUBSTITUTE(SUBSTITUTE(UPPER($T140)," ",""),"P",""),";",REPT(" ",30)),121,30))),0)+IFERROR(VALUE(TRIM(MID(SUBSTITUTE(SUBSTITUTE(SUBSTITUTE(UPPER($T140)," ",""),"P",""),";",REPT(" ",30)),151,30))),0)+IFERROR(VALUE(TRIM(MID(SUBSTITUTE(SUBSTITUTE(SUBSTITUTE(UPPER($T140)," ",""),"P",""),";",REPT(" ",30)),181,30))),0)+IFERROR(VALUE(TRIM(MID(SUBSTITUTE(SUBSTITUTE(SUBSTITUTE(UPPER($T140)," ",""),"P",""),";",REPT(" ",30)),211,30))),0)))))</f>
        <v/>
      </c>
      <c r="W140" s="26" t="n"/>
      <c r="X140" s="13" t="n"/>
    </row>
    <row r="141">
      <c r="A141" s="6">
        <f>IF($C141="","",28)</f>
        <v/>
      </c>
      <c r="B141" s="6">
        <f>IF($C141="","","3ª Sessão")</f>
        <v/>
      </c>
      <c r="C141" s="6">
        <f>IF(Preenchimento!$B$37="","",Preenchimento!$B$37)</f>
        <v/>
      </c>
      <c r="D141" s="6">
        <f>IF($C141="","",IF(Preenchimento!$C$37="","-",Preenchimento!$C$37))</f>
        <v/>
      </c>
      <c r="E141" s="6" t="n"/>
      <c r="F141" s="6" t="n"/>
      <c r="G141" s="26" t="n"/>
      <c r="H141" s="6" t="n"/>
      <c r="I141" s="13" t="n"/>
      <c r="J141" s="27">
        <f>IF($C141="","",IF($E141="Falta","-",MAX(0,MIN(10,8+IFERROR(VALUE(TRIM(MID(SUBSTITUTE(SUBSTITUTE(SUBSTITUTE(UPPER($H141)," ",""),"D",""),";",REPT(" ",30)),1,30))),0)+IFERROR(VALUE(TRIM(MID(SUBSTITUTE(SUBSTITUTE(SUBSTITUTE(UPPER($H141)," ",""),"D",""),";",REPT(" ",30)),31,30))),0)+IFERROR(VALUE(TRIM(MID(SUBSTITUTE(SUBSTITUTE(SUBSTITUTE(UPPER($H141)," ",""),"D",""),";",REPT(" ",30)),61,30))),0)+IFERROR(VALUE(TRIM(MID(SUBSTITUTE(SUBSTITUTE(SUBSTITUTE(UPPER($H141)," ",""),"D",""),";",REPT(" ",30)),91,30))),0)+IFERROR(VALUE(TRIM(MID(SUBSTITUTE(SUBSTITUTE(SUBSTITUTE(UPPER($H141)," ",""),"D",""),";",REPT(" ",30)),121,30))),0)+IFERROR(VALUE(TRIM(MID(SUBSTITUTE(SUBSTITUTE(SUBSTITUTE(UPPER($H141)," ",""),"D",""),";",REPT(" ",30)),151,30))),0)+IFERROR(VALUE(TRIM(MID(SUBSTITUTE(SUBSTITUTE(SUBSTITUTE(UPPER($H141)," ",""),"D",""),";",REPT(" ",30)),181,30))),0)+IFERROR(VALUE(TRIM(MID(SUBSTITUTE(SUBSTITUTE(SUBSTITUTE(UPPER($H141)," ",""),"D",""),";",REPT(" ",30)),211,30))),0)))))</f>
        <v/>
      </c>
      <c r="K141" s="26" t="n"/>
      <c r="L141" s="6" t="n"/>
      <c r="M141" s="13" t="n"/>
      <c r="N141" s="27">
        <f>IF($C141="","",IF($E141="Falta","-",MAX(0,MIN(10,8+IFERROR(VALUE(TRIM(MID(SUBSTITUTE(SUBSTITUTE(SUBSTITUTE(UPPER($L141)," ",""),"F",""),";",REPT(" ",30)),1,30))),0)+IFERROR(VALUE(TRIM(MID(SUBSTITUTE(SUBSTITUTE(SUBSTITUTE(UPPER($L141)," ",""),"F",""),";",REPT(" ",30)),31,30))),0)+IFERROR(VALUE(TRIM(MID(SUBSTITUTE(SUBSTITUTE(SUBSTITUTE(UPPER($L141)," ",""),"F",""),";",REPT(" ",30)),61,30))),0)+IFERROR(VALUE(TRIM(MID(SUBSTITUTE(SUBSTITUTE(SUBSTITUTE(UPPER($L141)," ",""),"F",""),";",REPT(" ",30)),91,30))),0)+IFERROR(VALUE(TRIM(MID(SUBSTITUTE(SUBSTITUTE(SUBSTITUTE(UPPER($L141)," ",""),"F",""),";",REPT(" ",30)),121,30))),0)+IFERROR(VALUE(TRIM(MID(SUBSTITUTE(SUBSTITUTE(SUBSTITUTE(UPPER($L141)," ",""),"F",""),";",REPT(" ",30)),151,30))),0)+IFERROR(VALUE(TRIM(MID(SUBSTITUTE(SUBSTITUTE(SUBSTITUTE(UPPER($L141)," ",""),"F",""),";",REPT(" ",30)),181,30))),0)+IFERROR(VALUE(TRIM(MID(SUBSTITUTE(SUBSTITUTE(SUBSTITUTE(UPPER($L141)," ",""),"F",""),";",REPT(" ",30)),211,30))),0)))))</f>
        <v/>
      </c>
      <c r="O141" s="26" t="n"/>
      <c r="P141" s="6" t="n"/>
      <c r="Q141" s="13" t="n"/>
      <c r="R141" s="27">
        <f>IF($C141="","",IF($E141="Falta","-",MAX(0,MIN(10,5+IFERROR(VALUE(TRIM(MID(SUBSTITUTE(SUBSTITUTE(SUBSTITUTE(UPPER($P141)," ",""),"C",""),";",REPT(" ",30)),1,30))),0)+IFERROR(VALUE(TRIM(MID(SUBSTITUTE(SUBSTITUTE(SUBSTITUTE(UPPER($P141)," ",""),"C",""),";",REPT(" ",30)),31,30))),0)+IFERROR(VALUE(TRIM(MID(SUBSTITUTE(SUBSTITUTE(SUBSTITUTE(UPPER($P141)," ",""),"C",""),";",REPT(" ",30)),61,30))),0)+IFERROR(VALUE(TRIM(MID(SUBSTITUTE(SUBSTITUTE(SUBSTITUTE(UPPER($P141)," ",""),"C",""),";",REPT(" ",30)),91,30))),0)+IFERROR(VALUE(TRIM(MID(SUBSTITUTE(SUBSTITUTE(SUBSTITUTE(UPPER($P141)," ",""),"C",""),";",REPT(" ",30)),121,30))),0)+IFERROR(VALUE(TRIM(MID(SUBSTITUTE(SUBSTITUTE(SUBSTITUTE(UPPER($P141)," ",""),"C",""),";",REPT(" ",30)),151,30))),0)+IFERROR(VALUE(TRIM(MID(SUBSTITUTE(SUBSTITUTE(SUBSTITUTE(UPPER($P141)," ",""),"C",""),";",REPT(" ",30)),181,30))),0)+IFERROR(VALUE(TRIM(MID(SUBSTITUTE(SUBSTITUTE(SUBSTITUTE(UPPER($P141)," ",""),"C",""),";",REPT(" ",30)),211,30))),0)))))</f>
        <v/>
      </c>
      <c r="S141" s="26" t="n"/>
      <c r="T141" s="6" t="n"/>
      <c r="U141" s="13" t="n"/>
      <c r="V141" s="27">
        <f>IF($C141="","",IF($E141="Falta","-",MAX(0,MIN(10,5+IFERROR(VALUE(TRIM(MID(SUBSTITUTE(SUBSTITUTE(SUBSTITUTE(UPPER($T141)," ",""),"P",""),";",REPT(" ",30)),1,30))),0)+IFERROR(VALUE(TRIM(MID(SUBSTITUTE(SUBSTITUTE(SUBSTITUTE(UPPER($T141)," ",""),"P",""),";",REPT(" ",30)),31,30))),0)+IFERROR(VALUE(TRIM(MID(SUBSTITUTE(SUBSTITUTE(SUBSTITUTE(UPPER($T141)," ",""),"P",""),";",REPT(" ",30)),61,30))),0)+IFERROR(VALUE(TRIM(MID(SUBSTITUTE(SUBSTITUTE(SUBSTITUTE(UPPER($T141)," ",""),"P",""),";",REPT(" ",30)),91,30))),0)+IFERROR(VALUE(TRIM(MID(SUBSTITUTE(SUBSTITUTE(SUBSTITUTE(UPPER($T141)," ",""),"P",""),";",REPT(" ",30)),121,30))),0)+IFERROR(VALUE(TRIM(MID(SUBSTITUTE(SUBSTITUTE(SUBSTITUTE(UPPER($T141)," ",""),"P",""),";",REPT(" ",30)),151,30))),0)+IFERROR(VALUE(TRIM(MID(SUBSTITUTE(SUBSTITUTE(SUBSTITUTE(UPPER($T141)," ",""),"P",""),";",REPT(" ",30)),181,30))),0)+IFERROR(VALUE(TRIM(MID(SUBSTITUTE(SUBSTITUTE(SUBSTITUTE(UPPER($T141)," ",""),"P",""),";",REPT(" ",30)),211,30))),0)))))</f>
        <v/>
      </c>
      <c r="W141" s="26" t="n"/>
      <c r="X141" s="13" t="n"/>
    </row>
    <row r="142">
      <c r="A142" s="6">
        <f>IF($C142="","",28)</f>
        <v/>
      </c>
      <c r="B142" s="6">
        <f>IF($C142="","","4ª Sessão")</f>
        <v/>
      </c>
      <c r="C142" s="6">
        <f>IF(Preenchimento!$B$37="","",Preenchimento!$B$37)</f>
        <v/>
      </c>
      <c r="D142" s="6">
        <f>IF($C142="","",IF(Preenchimento!$C$37="","-",Preenchimento!$C$37))</f>
        <v/>
      </c>
      <c r="E142" s="6" t="n"/>
      <c r="F142" s="6" t="n"/>
      <c r="G142" s="26" t="n"/>
      <c r="H142" s="6" t="n"/>
      <c r="I142" s="13" t="n"/>
      <c r="J142" s="27">
        <f>IF($C142="","",IF($E142="Falta","-",MAX(0,MIN(10,8+IFERROR(VALUE(TRIM(MID(SUBSTITUTE(SUBSTITUTE(SUBSTITUTE(UPPER($H142)," ",""),"D",""),";",REPT(" ",30)),1,30))),0)+IFERROR(VALUE(TRIM(MID(SUBSTITUTE(SUBSTITUTE(SUBSTITUTE(UPPER($H142)," ",""),"D",""),";",REPT(" ",30)),31,30))),0)+IFERROR(VALUE(TRIM(MID(SUBSTITUTE(SUBSTITUTE(SUBSTITUTE(UPPER($H142)," ",""),"D",""),";",REPT(" ",30)),61,30))),0)+IFERROR(VALUE(TRIM(MID(SUBSTITUTE(SUBSTITUTE(SUBSTITUTE(UPPER($H142)," ",""),"D",""),";",REPT(" ",30)),91,30))),0)+IFERROR(VALUE(TRIM(MID(SUBSTITUTE(SUBSTITUTE(SUBSTITUTE(UPPER($H142)," ",""),"D",""),";",REPT(" ",30)),121,30))),0)+IFERROR(VALUE(TRIM(MID(SUBSTITUTE(SUBSTITUTE(SUBSTITUTE(UPPER($H142)," ",""),"D",""),";",REPT(" ",30)),151,30))),0)+IFERROR(VALUE(TRIM(MID(SUBSTITUTE(SUBSTITUTE(SUBSTITUTE(UPPER($H142)," ",""),"D",""),";",REPT(" ",30)),181,30))),0)+IFERROR(VALUE(TRIM(MID(SUBSTITUTE(SUBSTITUTE(SUBSTITUTE(UPPER($H142)," ",""),"D",""),";",REPT(" ",30)),211,30))),0)))))</f>
        <v/>
      </c>
      <c r="K142" s="26" t="n"/>
      <c r="L142" s="6" t="n"/>
      <c r="M142" s="13" t="n"/>
      <c r="N142" s="27">
        <f>IF($C142="","",IF($E142="Falta","-",MAX(0,MIN(10,8+IFERROR(VALUE(TRIM(MID(SUBSTITUTE(SUBSTITUTE(SUBSTITUTE(UPPER($L142)," ",""),"F",""),";",REPT(" ",30)),1,30))),0)+IFERROR(VALUE(TRIM(MID(SUBSTITUTE(SUBSTITUTE(SUBSTITUTE(UPPER($L142)," ",""),"F",""),";",REPT(" ",30)),31,30))),0)+IFERROR(VALUE(TRIM(MID(SUBSTITUTE(SUBSTITUTE(SUBSTITUTE(UPPER($L142)," ",""),"F",""),";",REPT(" ",30)),61,30))),0)+IFERROR(VALUE(TRIM(MID(SUBSTITUTE(SUBSTITUTE(SUBSTITUTE(UPPER($L142)," ",""),"F",""),";",REPT(" ",30)),91,30))),0)+IFERROR(VALUE(TRIM(MID(SUBSTITUTE(SUBSTITUTE(SUBSTITUTE(UPPER($L142)," ",""),"F",""),";",REPT(" ",30)),121,30))),0)+IFERROR(VALUE(TRIM(MID(SUBSTITUTE(SUBSTITUTE(SUBSTITUTE(UPPER($L142)," ",""),"F",""),";",REPT(" ",30)),151,30))),0)+IFERROR(VALUE(TRIM(MID(SUBSTITUTE(SUBSTITUTE(SUBSTITUTE(UPPER($L142)," ",""),"F",""),";",REPT(" ",30)),181,30))),0)+IFERROR(VALUE(TRIM(MID(SUBSTITUTE(SUBSTITUTE(SUBSTITUTE(UPPER($L142)," ",""),"F",""),";",REPT(" ",30)),211,30))),0)))))</f>
        <v/>
      </c>
      <c r="O142" s="26" t="n"/>
      <c r="P142" s="6" t="n"/>
      <c r="Q142" s="13" t="n"/>
      <c r="R142" s="27">
        <f>IF($C142="","",IF($E142="Falta","-",MAX(0,MIN(10,5+IFERROR(VALUE(TRIM(MID(SUBSTITUTE(SUBSTITUTE(SUBSTITUTE(UPPER($P142)," ",""),"C",""),";",REPT(" ",30)),1,30))),0)+IFERROR(VALUE(TRIM(MID(SUBSTITUTE(SUBSTITUTE(SUBSTITUTE(UPPER($P142)," ",""),"C",""),";",REPT(" ",30)),31,30))),0)+IFERROR(VALUE(TRIM(MID(SUBSTITUTE(SUBSTITUTE(SUBSTITUTE(UPPER($P142)," ",""),"C",""),";",REPT(" ",30)),61,30))),0)+IFERROR(VALUE(TRIM(MID(SUBSTITUTE(SUBSTITUTE(SUBSTITUTE(UPPER($P142)," ",""),"C",""),";",REPT(" ",30)),91,30))),0)+IFERROR(VALUE(TRIM(MID(SUBSTITUTE(SUBSTITUTE(SUBSTITUTE(UPPER($P142)," ",""),"C",""),";",REPT(" ",30)),121,30))),0)+IFERROR(VALUE(TRIM(MID(SUBSTITUTE(SUBSTITUTE(SUBSTITUTE(UPPER($P142)," ",""),"C",""),";",REPT(" ",30)),151,30))),0)+IFERROR(VALUE(TRIM(MID(SUBSTITUTE(SUBSTITUTE(SUBSTITUTE(UPPER($P142)," ",""),"C",""),";",REPT(" ",30)),181,30))),0)+IFERROR(VALUE(TRIM(MID(SUBSTITUTE(SUBSTITUTE(SUBSTITUTE(UPPER($P142)," ",""),"C",""),";",REPT(" ",30)),211,30))),0)))))</f>
        <v/>
      </c>
      <c r="S142" s="26" t="n"/>
      <c r="T142" s="6" t="n"/>
      <c r="U142" s="13" t="n"/>
      <c r="V142" s="27">
        <f>IF($C142="","",IF($E142="Falta","-",MAX(0,MIN(10,5+IFERROR(VALUE(TRIM(MID(SUBSTITUTE(SUBSTITUTE(SUBSTITUTE(UPPER($T142)," ",""),"P",""),";",REPT(" ",30)),1,30))),0)+IFERROR(VALUE(TRIM(MID(SUBSTITUTE(SUBSTITUTE(SUBSTITUTE(UPPER($T142)," ",""),"P",""),";",REPT(" ",30)),31,30))),0)+IFERROR(VALUE(TRIM(MID(SUBSTITUTE(SUBSTITUTE(SUBSTITUTE(UPPER($T142)," ",""),"P",""),";",REPT(" ",30)),61,30))),0)+IFERROR(VALUE(TRIM(MID(SUBSTITUTE(SUBSTITUTE(SUBSTITUTE(UPPER($T142)," ",""),"P",""),";",REPT(" ",30)),91,30))),0)+IFERROR(VALUE(TRIM(MID(SUBSTITUTE(SUBSTITUTE(SUBSTITUTE(UPPER($T142)," ",""),"P",""),";",REPT(" ",30)),121,30))),0)+IFERROR(VALUE(TRIM(MID(SUBSTITUTE(SUBSTITUTE(SUBSTITUTE(UPPER($T142)," ",""),"P",""),";",REPT(" ",30)),151,30))),0)+IFERROR(VALUE(TRIM(MID(SUBSTITUTE(SUBSTITUTE(SUBSTITUTE(UPPER($T142)," ",""),"P",""),";",REPT(" ",30)),181,30))),0)+IFERROR(VALUE(TRIM(MID(SUBSTITUTE(SUBSTITUTE(SUBSTITUTE(UPPER($T142)," ",""),"P",""),";",REPT(" ",30)),211,30))),0)))))</f>
        <v/>
      </c>
      <c r="W142" s="26" t="n"/>
      <c r="X142" s="13" t="n"/>
    </row>
    <row r="143">
      <c r="A143" s="6">
        <f>IF($C143="","",28)</f>
        <v/>
      </c>
      <c r="B143" s="6">
        <f>IF($C143="","","5ª Sessão")</f>
        <v/>
      </c>
      <c r="C143" s="6">
        <f>IF(Preenchimento!$B$37="","",Preenchimento!$B$37)</f>
        <v/>
      </c>
      <c r="D143" s="6">
        <f>IF($C143="","",IF(Preenchimento!$C$37="","-",Preenchimento!$C$37))</f>
        <v/>
      </c>
      <c r="E143" s="6" t="n"/>
      <c r="F143" s="6" t="n"/>
      <c r="G143" s="26" t="n"/>
      <c r="H143" s="6" t="n"/>
      <c r="I143" s="13" t="n"/>
      <c r="J143" s="27">
        <f>IF($C143="","",IF($E143="Falta","-",MAX(0,MIN(10,8+IFERROR(VALUE(TRIM(MID(SUBSTITUTE(SUBSTITUTE(SUBSTITUTE(UPPER($H143)," ",""),"D",""),";",REPT(" ",30)),1,30))),0)+IFERROR(VALUE(TRIM(MID(SUBSTITUTE(SUBSTITUTE(SUBSTITUTE(UPPER($H143)," ",""),"D",""),";",REPT(" ",30)),31,30))),0)+IFERROR(VALUE(TRIM(MID(SUBSTITUTE(SUBSTITUTE(SUBSTITUTE(UPPER($H143)," ",""),"D",""),";",REPT(" ",30)),61,30))),0)+IFERROR(VALUE(TRIM(MID(SUBSTITUTE(SUBSTITUTE(SUBSTITUTE(UPPER($H143)," ",""),"D",""),";",REPT(" ",30)),91,30))),0)+IFERROR(VALUE(TRIM(MID(SUBSTITUTE(SUBSTITUTE(SUBSTITUTE(UPPER($H143)," ",""),"D",""),";",REPT(" ",30)),121,30))),0)+IFERROR(VALUE(TRIM(MID(SUBSTITUTE(SUBSTITUTE(SUBSTITUTE(UPPER($H143)," ",""),"D",""),";",REPT(" ",30)),151,30))),0)+IFERROR(VALUE(TRIM(MID(SUBSTITUTE(SUBSTITUTE(SUBSTITUTE(UPPER($H143)," ",""),"D",""),";",REPT(" ",30)),181,30))),0)+IFERROR(VALUE(TRIM(MID(SUBSTITUTE(SUBSTITUTE(SUBSTITUTE(UPPER($H143)," ",""),"D",""),";",REPT(" ",30)),211,30))),0)))))</f>
        <v/>
      </c>
      <c r="K143" s="26" t="n"/>
      <c r="L143" s="6" t="n"/>
      <c r="M143" s="13" t="n"/>
      <c r="N143" s="27">
        <f>IF($C143="","",IF($E143="Falta","-",MAX(0,MIN(10,8+IFERROR(VALUE(TRIM(MID(SUBSTITUTE(SUBSTITUTE(SUBSTITUTE(UPPER($L143)," ",""),"F",""),";",REPT(" ",30)),1,30))),0)+IFERROR(VALUE(TRIM(MID(SUBSTITUTE(SUBSTITUTE(SUBSTITUTE(UPPER($L143)," ",""),"F",""),";",REPT(" ",30)),31,30))),0)+IFERROR(VALUE(TRIM(MID(SUBSTITUTE(SUBSTITUTE(SUBSTITUTE(UPPER($L143)," ",""),"F",""),";",REPT(" ",30)),61,30))),0)+IFERROR(VALUE(TRIM(MID(SUBSTITUTE(SUBSTITUTE(SUBSTITUTE(UPPER($L143)," ",""),"F",""),";",REPT(" ",30)),91,30))),0)+IFERROR(VALUE(TRIM(MID(SUBSTITUTE(SUBSTITUTE(SUBSTITUTE(UPPER($L143)," ",""),"F",""),";",REPT(" ",30)),121,30))),0)+IFERROR(VALUE(TRIM(MID(SUBSTITUTE(SUBSTITUTE(SUBSTITUTE(UPPER($L143)," ",""),"F",""),";",REPT(" ",30)),151,30))),0)+IFERROR(VALUE(TRIM(MID(SUBSTITUTE(SUBSTITUTE(SUBSTITUTE(UPPER($L143)," ",""),"F",""),";",REPT(" ",30)),181,30))),0)+IFERROR(VALUE(TRIM(MID(SUBSTITUTE(SUBSTITUTE(SUBSTITUTE(UPPER($L143)," ",""),"F",""),";",REPT(" ",30)),211,30))),0)))))</f>
        <v/>
      </c>
      <c r="O143" s="26" t="n"/>
      <c r="P143" s="6" t="n"/>
      <c r="Q143" s="13" t="n"/>
      <c r="R143" s="27">
        <f>IF($C143="","",IF($E143="Falta","-",MAX(0,MIN(10,5+IFERROR(VALUE(TRIM(MID(SUBSTITUTE(SUBSTITUTE(SUBSTITUTE(UPPER($P143)," ",""),"C",""),";",REPT(" ",30)),1,30))),0)+IFERROR(VALUE(TRIM(MID(SUBSTITUTE(SUBSTITUTE(SUBSTITUTE(UPPER($P143)," ",""),"C",""),";",REPT(" ",30)),31,30))),0)+IFERROR(VALUE(TRIM(MID(SUBSTITUTE(SUBSTITUTE(SUBSTITUTE(UPPER($P143)," ",""),"C",""),";",REPT(" ",30)),61,30))),0)+IFERROR(VALUE(TRIM(MID(SUBSTITUTE(SUBSTITUTE(SUBSTITUTE(UPPER($P143)," ",""),"C",""),";",REPT(" ",30)),91,30))),0)+IFERROR(VALUE(TRIM(MID(SUBSTITUTE(SUBSTITUTE(SUBSTITUTE(UPPER($P143)," ",""),"C",""),";",REPT(" ",30)),121,30))),0)+IFERROR(VALUE(TRIM(MID(SUBSTITUTE(SUBSTITUTE(SUBSTITUTE(UPPER($P143)," ",""),"C",""),";",REPT(" ",30)),151,30))),0)+IFERROR(VALUE(TRIM(MID(SUBSTITUTE(SUBSTITUTE(SUBSTITUTE(UPPER($P143)," ",""),"C",""),";",REPT(" ",30)),181,30))),0)+IFERROR(VALUE(TRIM(MID(SUBSTITUTE(SUBSTITUTE(SUBSTITUTE(UPPER($P143)," ",""),"C",""),";",REPT(" ",30)),211,30))),0)))))</f>
        <v/>
      </c>
      <c r="S143" s="26" t="n"/>
      <c r="T143" s="6" t="n"/>
      <c r="U143" s="13" t="n"/>
      <c r="V143" s="27">
        <f>IF($C143="","",IF($E143="Falta","-",MAX(0,MIN(10,5+IFERROR(VALUE(TRIM(MID(SUBSTITUTE(SUBSTITUTE(SUBSTITUTE(UPPER($T143)," ",""),"P",""),";",REPT(" ",30)),1,30))),0)+IFERROR(VALUE(TRIM(MID(SUBSTITUTE(SUBSTITUTE(SUBSTITUTE(UPPER($T143)," ",""),"P",""),";",REPT(" ",30)),31,30))),0)+IFERROR(VALUE(TRIM(MID(SUBSTITUTE(SUBSTITUTE(SUBSTITUTE(UPPER($T143)," ",""),"P",""),";",REPT(" ",30)),61,30))),0)+IFERROR(VALUE(TRIM(MID(SUBSTITUTE(SUBSTITUTE(SUBSTITUTE(UPPER($T143)," ",""),"P",""),";",REPT(" ",30)),91,30))),0)+IFERROR(VALUE(TRIM(MID(SUBSTITUTE(SUBSTITUTE(SUBSTITUTE(UPPER($T143)," ",""),"P",""),";",REPT(" ",30)),121,30))),0)+IFERROR(VALUE(TRIM(MID(SUBSTITUTE(SUBSTITUTE(SUBSTITUTE(UPPER($T143)," ",""),"P",""),";",REPT(" ",30)),151,30))),0)+IFERROR(VALUE(TRIM(MID(SUBSTITUTE(SUBSTITUTE(SUBSTITUTE(UPPER($T143)," ",""),"P",""),";",REPT(" ",30)),181,30))),0)+IFERROR(VALUE(TRIM(MID(SUBSTITUTE(SUBSTITUTE(SUBSTITUTE(UPPER($T143)," ",""),"P",""),";",REPT(" ",30)),211,30))),0)))))</f>
        <v/>
      </c>
      <c r="W143" s="26" t="n"/>
      <c r="X143" s="13" t="n"/>
    </row>
    <row r="144">
      <c r="A144" s="8">
        <f>IF($C144="","",29)</f>
        <v/>
      </c>
      <c r="B144" s="8">
        <f>IF($C144="","","1ª Sessão")</f>
        <v/>
      </c>
      <c r="C144" s="8">
        <f>IF(Preenchimento!$B$38="","",Preenchimento!$B$38)</f>
        <v/>
      </c>
      <c r="D144" s="8">
        <f>IF($C144="","",IF(Preenchimento!$C$38="","-",Preenchimento!$C$38))</f>
        <v/>
      </c>
      <c r="E144" s="8" t="n"/>
      <c r="F144" s="8" t="n"/>
      <c r="G144" s="24" t="n"/>
      <c r="H144" s="8" t="n"/>
      <c r="I144" s="14" t="n"/>
      <c r="J144" s="25">
        <f>IF($C144="","",IF($E144="Falta","-",MAX(0,MIN(10,8+IFERROR(VALUE(TRIM(MID(SUBSTITUTE(SUBSTITUTE(SUBSTITUTE(UPPER($H144)," ",""),"D",""),";",REPT(" ",30)),1,30))),0)+IFERROR(VALUE(TRIM(MID(SUBSTITUTE(SUBSTITUTE(SUBSTITUTE(UPPER($H144)," ",""),"D",""),";",REPT(" ",30)),31,30))),0)+IFERROR(VALUE(TRIM(MID(SUBSTITUTE(SUBSTITUTE(SUBSTITUTE(UPPER($H144)," ",""),"D",""),";",REPT(" ",30)),61,30))),0)+IFERROR(VALUE(TRIM(MID(SUBSTITUTE(SUBSTITUTE(SUBSTITUTE(UPPER($H144)," ",""),"D",""),";",REPT(" ",30)),91,30))),0)+IFERROR(VALUE(TRIM(MID(SUBSTITUTE(SUBSTITUTE(SUBSTITUTE(UPPER($H144)," ",""),"D",""),";",REPT(" ",30)),121,30))),0)+IFERROR(VALUE(TRIM(MID(SUBSTITUTE(SUBSTITUTE(SUBSTITUTE(UPPER($H144)," ",""),"D",""),";",REPT(" ",30)),151,30))),0)+IFERROR(VALUE(TRIM(MID(SUBSTITUTE(SUBSTITUTE(SUBSTITUTE(UPPER($H144)," ",""),"D",""),";",REPT(" ",30)),181,30))),0)+IFERROR(VALUE(TRIM(MID(SUBSTITUTE(SUBSTITUTE(SUBSTITUTE(UPPER($H144)," ",""),"D",""),";",REPT(" ",30)),211,30))),0)))))</f>
        <v/>
      </c>
      <c r="K144" s="24" t="n"/>
      <c r="L144" s="8" t="n"/>
      <c r="M144" s="14" t="n"/>
      <c r="N144" s="25">
        <f>IF($C144="","",IF($E144="Falta","-",MAX(0,MIN(10,8+IFERROR(VALUE(TRIM(MID(SUBSTITUTE(SUBSTITUTE(SUBSTITUTE(UPPER($L144)," ",""),"F",""),";",REPT(" ",30)),1,30))),0)+IFERROR(VALUE(TRIM(MID(SUBSTITUTE(SUBSTITUTE(SUBSTITUTE(UPPER($L144)," ",""),"F",""),";",REPT(" ",30)),31,30))),0)+IFERROR(VALUE(TRIM(MID(SUBSTITUTE(SUBSTITUTE(SUBSTITUTE(UPPER($L144)," ",""),"F",""),";",REPT(" ",30)),61,30))),0)+IFERROR(VALUE(TRIM(MID(SUBSTITUTE(SUBSTITUTE(SUBSTITUTE(UPPER($L144)," ",""),"F",""),";",REPT(" ",30)),91,30))),0)+IFERROR(VALUE(TRIM(MID(SUBSTITUTE(SUBSTITUTE(SUBSTITUTE(UPPER($L144)," ",""),"F",""),";",REPT(" ",30)),121,30))),0)+IFERROR(VALUE(TRIM(MID(SUBSTITUTE(SUBSTITUTE(SUBSTITUTE(UPPER($L144)," ",""),"F",""),";",REPT(" ",30)),151,30))),0)+IFERROR(VALUE(TRIM(MID(SUBSTITUTE(SUBSTITUTE(SUBSTITUTE(UPPER($L144)," ",""),"F",""),";",REPT(" ",30)),181,30))),0)+IFERROR(VALUE(TRIM(MID(SUBSTITUTE(SUBSTITUTE(SUBSTITUTE(UPPER($L144)," ",""),"F",""),";",REPT(" ",30)),211,30))),0)))))</f>
        <v/>
      </c>
      <c r="O144" s="24" t="n"/>
      <c r="P144" s="8" t="n"/>
      <c r="Q144" s="14" t="n"/>
      <c r="R144" s="25">
        <f>IF($C144="","",IF($E144="Falta","-",MAX(0,MIN(10,5+IFERROR(VALUE(TRIM(MID(SUBSTITUTE(SUBSTITUTE(SUBSTITUTE(UPPER($P144)," ",""),"C",""),";",REPT(" ",30)),1,30))),0)+IFERROR(VALUE(TRIM(MID(SUBSTITUTE(SUBSTITUTE(SUBSTITUTE(UPPER($P144)," ",""),"C",""),";",REPT(" ",30)),31,30))),0)+IFERROR(VALUE(TRIM(MID(SUBSTITUTE(SUBSTITUTE(SUBSTITUTE(UPPER($P144)," ",""),"C",""),";",REPT(" ",30)),61,30))),0)+IFERROR(VALUE(TRIM(MID(SUBSTITUTE(SUBSTITUTE(SUBSTITUTE(UPPER($P144)," ",""),"C",""),";",REPT(" ",30)),91,30))),0)+IFERROR(VALUE(TRIM(MID(SUBSTITUTE(SUBSTITUTE(SUBSTITUTE(UPPER($P144)," ",""),"C",""),";",REPT(" ",30)),121,30))),0)+IFERROR(VALUE(TRIM(MID(SUBSTITUTE(SUBSTITUTE(SUBSTITUTE(UPPER($P144)," ",""),"C",""),";",REPT(" ",30)),151,30))),0)+IFERROR(VALUE(TRIM(MID(SUBSTITUTE(SUBSTITUTE(SUBSTITUTE(UPPER($P144)," ",""),"C",""),";",REPT(" ",30)),181,30))),0)+IFERROR(VALUE(TRIM(MID(SUBSTITUTE(SUBSTITUTE(SUBSTITUTE(UPPER($P144)," ",""),"C",""),";",REPT(" ",30)),211,30))),0)))))</f>
        <v/>
      </c>
      <c r="S144" s="24" t="n"/>
      <c r="T144" s="8" t="n"/>
      <c r="U144" s="14" t="n"/>
      <c r="V144" s="25">
        <f>IF($C144="","",IF($E144="Falta","-",MAX(0,MIN(10,5+IFERROR(VALUE(TRIM(MID(SUBSTITUTE(SUBSTITUTE(SUBSTITUTE(UPPER($T144)," ",""),"P",""),";",REPT(" ",30)),1,30))),0)+IFERROR(VALUE(TRIM(MID(SUBSTITUTE(SUBSTITUTE(SUBSTITUTE(UPPER($T144)," ",""),"P",""),";",REPT(" ",30)),31,30))),0)+IFERROR(VALUE(TRIM(MID(SUBSTITUTE(SUBSTITUTE(SUBSTITUTE(UPPER($T144)," ",""),"P",""),";",REPT(" ",30)),61,30))),0)+IFERROR(VALUE(TRIM(MID(SUBSTITUTE(SUBSTITUTE(SUBSTITUTE(UPPER($T144)," ",""),"P",""),";",REPT(" ",30)),91,30))),0)+IFERROR(VALUE(TRIM(MID(SUBSTITUTE(SUBSTITUTE(SUBSTITUTE(UPPER($T144)," ",""),"P",""),";",REPT(" ",30)),121,30))),0)+IFERROR(VALUE(TRIM(MID(SUBSTITUTE(SUBSTITUTE(SUBSTITUTE(UPPER($T144)," ",""),"P",""),";",REPT(" ",30)),151,30))),0)+IFERROR(VALUE(TRIM(MID(SUBSTITUTE(SUBSTITUTE(SUBSTITUTE(UPPER($T144)," ",""),"P",""),";",REPT(" ",30)),181,30))),0)+IFERROR(VALUE(TRIM(MID(SUBSTITUTE(SUBSTITUTE(SUBSTITUTE(UPPER($T144)," ",""),"P",""),";",REPT(" ",30)),211,30))),0)))))</f>
        <v/>
      </c>
      <c r="W144" s="24" t="n"/>
      <c r="X144" s="14" t="n"/>
    </row>
    <row r="145">
      <c r="A145" s="8">
        <f>IF($C145="","",29)</f>
        <v/>
      </c>
      <c r="B145" s="8">
        <f>IF($C145="","","2ª Sessão")</f>
        <v/>
      </c>
      <c r="C145" s="8">
        <f>IF(Preenchimento!$B$38="","",Preenchimento!$B$38)</f>
        <v/>
      </c>
      <c r="D145" s="8">
        <f>IF($C145="","",IF(Preenchimento!$C$38="","-",Preenchimento!$C$38))</f>
        <v/>
      </c>
      <c r="E145" s="8" t="n"/>
      <c r="F145" s="8" t="n"/>
      <c r="G145" s="24" t="n"/>
      <c r="H145" s="8" t="n"/>
      <c r="I145" s="14" t="n"/>
      <c r="J145" s="25">
        <f>IF($C145="","",IF($E145="Falta","-",MAX(0,MIN(10,8+IFERROR(VALUE(TRIM(MID(SUBSTITUTE(SUBSTITUTE(SUBSTITUTE(UPPER($H145)," ",""),"D",""),";",REPT(" ",30)),1,30))),0)+IFERROR(VALUE(TRIM(MID(SUBSTITUTE(SUBSTITUTE(SUBSTITUTE(UPPER($H145)," ",""),"D",""),";",REPT(" ",30)),31,30))),0)+IFERROR(VALUE(TRIM(MID(SUBSTITUTE(SUBSTITUTE(SUBSTITUTE(UPPER($H145)," ",""),"D",""),";",REPT(" ",30)),61,30))),0)+IFERROR(VALUE(TRIM(MID(SUBSTITUTE(SUBSTITUTE(SUBSTITUTE(UPPER($H145)," ",""),"D",""),";",REPT(" ",30)),91,30))),0)+IFERROR(VALUE(TRIM(MID(SUBSTITUTE(SUBSTITUTE(SUBSTITUTE(UPPER($H145)," ",""),"D",""),";",REPT(" ",30)),121,30))),0)+IFERROR(VALUE(TRIM(MID(SUBSTITUTE(SUBSTITUTE(SUBSTITUTE(UPPER($H145)," ",""),"D",""),";",REPT(" ",30)),151,30))),0)+IFERROR(VALUE(TRIM(MID(SUBSTITUTE(SUBSTITUTE(SUBSTITUTE(UPPER($H145)," ",""),"D",""),";",REPT(" ",30)),181,30))),0)+IFERROR(VALUE(TRIM(MID(SUBSTITUTE(SUBSTITUTE(SUBSTITUTE(UPPER($H145)," ",""),"D",""),";",REPT(" ",30)),211,30))),0)))))</f>
        <v/>
      </c>
      <c r="K145" s="24" t="n"/>
      <c r="L145" s="8" t="n"/>
      <c r="M145" s="14" t="n"/>
      <c r="N145" s="25">
        <f>IF($C145="","",IF($E145="Falta","-",MAX(0,MIN(10,8+IFERROR(VALUE(TRIM(MID(SUBSTITUTE(SUBSTITUTE(SUBSTITUTE(UPPER($L145)," ",""),"F",""),";",REPT(" ",30)),1,30))),0)+IFERROR(VALUE(TRIM(MID(SUBSTITUTE(SUBSTITUTE(SUBSTITUTE(UPPER($L145)," ",""),"F",""),";",REPT(" ",30)),31,30))),0)+IFERROR(VALUE(TRIM(MID(SUBSTITUTE(SUBSTITUTE(SUBSTITUTE(UPPER($L145)," ",""),"F",""),";",REPT(" ",30)),61,30))),0)+IFERROR(VALUE(TRIM(MID(SUBSTITUTE(SUBSTITUTE(SUBSTITUTE(UPPER($L145)," ",""),"F",""),";",REPT(" ",30)),91,30))),0)+IFERROR(VALUE(TRIM(MID(SUBSTITUTE(SUBSTITUTE(SUBSTITUTE(UPPER($L145)," ",""),"F",""),";",REPT(" ",30)),121,30))),0)+IFERROR(VALUE(TRIM(MID(SUBSTITUTE(SUBSTITUTE(SUBSTITUTE(UPPER($L145)," ",""),"F",""),";",REPT(" ",30)),151,30))),0)+IFERROR(VALUE(TRIM(MID(SUBSTITUTE(SUBSTITUTE(SUBSTITUTE(UPPER($L145)," ",""),"F",""),";",REPT(" ",30)),181,30))),0)+IFERROR(VALUE(TRIM(MID(SUBSTITUTE(SUBSTITUTE(SUBSTITUTE(UPPER($L145)," ",""),"F",""),";",REPT(" ",30)),211,30))),0)))))</f>
        <v/>
      </c>
      <c r="O145" s="24" t="n"/>
      <c r="P145" s="8" t="n"/>
      <c r="Q145" s="14" t="n"/>
      <c r="R145" s="25">
        <f>IF($C145="","",IF($E145="Falta","-",MAX(0,MIN(10,5+IFERROR(VALUE(TRIM(MID(SUBSTITUTE(SUBSTITUTE(SUBSTITUTE(UPPER($P145)," ",""),"C",""),";",REPT(" ",30)),1,30))),0)+IFERROR(VALUE(TRIM(MID(SUBSTITUTE(SUBSTITUTE(SUBSTITUTE(UPPER($P145)," ",""),"C",""),";",REPT(" ",30)),31,30))),0)+IFERROR(VALUE(TRIM(MID(SUBSTITUTE(SUBSTITUTE(SUBSTITUTE(UPPER($P145)," ",""),"C",""),";",REPT(" ",30)),61,30))),0)+IFERROR(VALUE(TRIM(MID(SUBSTITUTE(SUBSTITUTE(SUBSTITUTE(UPPER($P145)," ",""),"C",""),";",REPT(" ",30)),91,30))),0)+IFERROR(VALUE(TRIM(MID(SUBSTITUTE(SUBSTITUTE(SUBSTITUTE(UPPER($P145)," ",""),"C",""),";",REPT(" ",30)),121,30))),0)+IFERROR(VALUE(TRIM(MID(SUBSTITUTE(SUBSTITUTE(SUBSTITUTE(UPPER($P145)," ",""),"C",""),";",REPT(" ",30)),151,30))),0)+IFERROR(VALUE(TRIM(MID(SUBSTITUTE(SUBSTITUTE(SUBSTITUTE(UPPER($P145)," ",""),"C",""),";",REPT(" ",30)),181,30))),0)+IFERROR(VALUE(TRIM(MID(SUBSTITUTE(SUBSTITUTE(SUBSTITUTE(UPPER($P145)," ",""),"C",""),";",REPT(" ",30)),211,30))),0)))))</f>
        <v/>
      </c>
      <c r="S145" s="24" t="n"/>
      <c r="T145" s="8" t="n"/>
      <c r="U145" s="14" t="n"/>
      <c r="V145" s="25">
        <f>IF($C145="","",IF($E145="Falta","-",MAX(0,MIN(10,5+IFERROR(VALUE(TRIM(MID(SUBSTITUTE(SUBSTITUTE(SUBSTITUTE(UPPER($T145)," ",""),"P",""),";",REPT(" ",30)),1,30))),0)+IFERROR(VALUE(TRIM(MID(SUBSTITUTE(SUBSTITUTE(SUBSTITUTE(UPPER($T145)," ",""),"P",""),";",REPT(" ",30)),31,30))),0)+IFERROR(VALUE(TRIM(MID(SUBSTITUTE(SUBSTITUTE(SUBSTITUTE(UPPER($T145)," ",""),"P",""),";",REPT(" ",30)),61,30))),0)+IFERROR(VALUE(TRIM(MID(SUBSTITUTE(SUBSTITUTE(SUBSTITUTE(UPPER($T145)," ",""),"P",""),";",REPT(" ",30)),91,30))),0)+IFERROR(VALUE(TRIM(MID(SUBSTITUTE(SUBSTITUTE(SUBSTITUTE(UPPER($T145)," ",""),"P",""),";",REPT(" ",30)),121,30))),0)+IFERROR(VALUE(TRIM(MID(SUBSTITUTE(SUBSTITUTE(SUBSTITUTE(UPPER($T145)," ",""),"P",""),";",REPT(" ",30)),151,30))),0)+IFERROR(VALUE(TRIM(MID(SUBSTITUTE(SUBSTITUTE(SUBSTITUTE(UPPER($T145)," ",""),"P",""),";",REPT(" ",30)),181,30))),0)+IFERROR(VALUE(TRIM(MID(SUBSTITUTE(SUBSTITUTE(SUBSTITUTE(UPPER($T145)," ",""),"P",""),";",REPT(" ",30)),211,30))),0)))))</f>
        <v/>
      </c>
      <c r="W145" s="24" t="n"/>
      <c r="X145" s="14" t="n"/>
    </row>
    <row r="146">
      <c r="A146" s="8">
        <f>IF($C146="","",29)</f>
        <v/>
      </c>
      <c r="B146" s="8">
        <f>IF($C146="","","3ª Sessão")</f>
        <v/>
      </c>
      <c r="C146" s="8">
        <f>IF(Preenchimento!$B$38="","",Preenchimento!$B$38)</f>
        <v/>
      </c>
      <c r="D146" s="8">
        <f>IF($C146="","",IF(Preenchimento!$C$38="","-",Preenchimento!$C$38))</f>
        <v/>
      </c>
      <c r="E146" s="8" t="n"/>
      <c r="F146" s="8" t="n"/>
      <c r="G146" s="24" t="n"/>
      <c r="H146" s="8" t="n"/>
      <c r="I146" s="14" t="n"/>
      <c r="J146" s="25">
        <f>IF($C146="","",IF($E146="Falta","-",MAX(0,MIN(10,8+IFERROR(VALUE(TRIM(MID(SUBSTITUTE(SUBSTITUTE(SUBSTITUTE(UPPER($H146)," ",""),"D",""),";",REPT(" ",30)),1,30))),0)+IFERROR(VALUE(TRIM(MID(SUBSTITUTE(SUBSTITUTE(SUBSTITUTE(UPPER($H146)," ",""),"D",""),";",REPT(" ",30)),31,30))),0)+IFERROR(VALUE(TRIM(MID(SUBSTITUTE(SUBSTITUTE(SUBSTITUTE(UPPER($H146)," ",""),"D",""),";",REPT(" ",30)),61,30))),0)+IFERROR(VALUE(TRIM(MID(SUBSTITUTE(SUBSTITUTE(SUBSTITUTE(UPPER($H146)," ",""),"D",""),";",REPT(" ",30)),91,30))),0)+IFERROR(VALUE(TRIM(MID(SUBSTITUTE(SUBSTITUTE(SUBSTITUTE(UPPER($H146)," ",""),"D",""),";",REPT(" ",30)),121,30))),0)+IFERROR(VALUE(TRIM(MID(SUBSTITUTE(SUBSTITUTE(SUBSTITUTE(UPPER($H146)," ",""),"D",""),";",REPT(" ",30)),151,30))),0)+IFERROR(VALUE(TRIM(MID(SUBSTITUTE(SUBSTITUTE(SUBSTITUTE(UPPER($H146)," ",""),"D",""),";",REPT(" ",30)),181,30))),0)+IFERROR(VALUE(TRIM(MID(SUBSTITUTE(SUBSTITUTE(SUBSTITUTE(UPPER($H146)," ",""),"D",""),";",REPT(" ",30)),211,30))),0)))))</f>
        <v/>
      </c>
      <c r="K146" s="24" t="n"/>
      <c r="L146" s="8" t="n"/>
      <c r="M146" s="14" t="n"/>
      <c r="N146" s="25">
        <f>IF($C146="","",IF($E146="Falta","-",MAX(0,MIN(10,8+IFERROR(VALUE(TRIM(MID(SUBSTITUTE(SUBSTITUTE(SUBSTITUTE(UPPER($L146)," ",""),"F",""),";",REPT(" ",30)),1,30))),0)+IFERROR(VALUE(TRIM(MID(SUBSTITUTE(SUBSTITUTE(SUBSTITUTE(UPPER($L146)," ",""),"F",""),";",REPT(" ",30)),31,30))),0)+IFERROR(VALUE(TRIM(MID(SUBSTITUTE(SUBSTITUTE(SUBSTITUTE(UPPER($L146)," ",""),"F",""),";",REPT(" ",30)),61,30))),0)+IFERROR(VALUE(TRIM(MID(SUBSTITUTE(SUBSTITUTE(SUBSTITUTE(UPPER($L146)," ",""),"F",""),";",REPT(" ",30)),91,30))),0)+IFERROR(VALUE(TRIM(MID(SUBSTITUTE(SUBSTITUTE(SUBSTITUTE(UPPER($L146)," ",""),"F",""),";",REPT(" ",30)),121,30))),0)+IFERROR(VALUE(TRIM(MID(SUBSTITUTE(SUBSTITUTE(SUBSTITUTE(UPPER($L146)," ",""),"F",""),";",REPT(" ",30)),151,30))),0)+IFERROR(VALUE(TRIM(MID(SUBSTITUTE(SUBSTITUTE(SUBSTITUTE(UPPER($L146)," ",""),"F",""),";",REPT(" ",30)),181,30))),0)+IFERROR(VALUE(TRIM(MID(SUBSTITUTE(SUBSTITUTE(SUBSTITUTE(UPPER($L146)," ",""),"F",""),";",REPT(" ",30)),211,30))),0)))))</f>
        <v/>
      </c>
      <c r="O146" s="24" t="n"/>
      <c r="P146" s="8" t="n"/>
      <c r="Q146" s="14" t="n"/>
      <c r="R146" s="25">
        <f>IF($C146="","",IF($E146="Falta","-",MAX(0,MIN(10,5+IFERROR(VALUE(TRIM(MID(SUBSTITUTE(SUBSTITUTE(SUBSTITUTE(UPPER($P146)," ",""),"C",""),";",REPT(" ",30)),1,30))),0)+IFERROR(VALUE(TRIM(MID(SUBSTITUTE(SUBSTITUTE(SUBSTITUTE(UPPER($P146)," ",""),"C",""),";",REPT(" ",30)),31,30))),0)+IFERROR(VALUE(TRIM(MID(SUBSTITUTE(SUBSTITUTE(SUBSTITUTE(UPPER($P146)," ",""),"C",""),";",REPT(" ",30)),61,30))),0)+IFERROR(VALUE(TRIM(MID(SUBSTITUTE(SUBSTITUTE(SUBSTITUTE(UPPER($P146)," ",""),"C",""),";",REPT(" ",30)),91,30))),0)+IFERROR(VALUE(TRIM(MID(SUBSTITUTE(SUBSTITUTE(SUBSTITUTE(UPPER($P146)," ",""),"C",""),";",REPT(" ",30)),121,30))),0)+IFERROR(VALUE(TRIM(MID(SUBSTITUTE(SUBSTITUTE(SUBSTITUTE(UPPER($P146)," ",""),"C",""),";",REPT(" ",30)),151,30))),0)+IFERROR(VALUE(TRIM(MID(SUBSTITUTE(SUBSTITUTE(SUBSTITUTE(UPPER($P146)," ",""),"C",""),";",REPT(" ",30)),181,30))),0)+IFERROR(VALUE(TRIM(MID(SUBSTITUTE(SUBSTITUTE(SUBSTITUTE(UPPER($P146)," ",""),"C",""),";",REPT(" ",30)),211,30))),0)))))</f>
        <v/>
      </c>
      <c r="S146" s="24" t="n"/>
      <c r="T146" s="8" t="n"/>
      <c r="U146" s="14" t="n"/>
      <c r="V146" s="25">
        <f>IF($C146="","",IF($E146="Falta","-",MAX(0,MIN(10,5+IFERROR(VALUE(TRIM(MID(SUBSTITUTE(SUBSTITUTE(SUBSTITUTE(UPPER($T146)," ",""),"P",""),";",REPT(" ",30)),1,30))),0)+IFERROR(VALUE(TRIM(MID(SUBSTITUTE(SUBSTITUTE(SUBSTITUTE(UPPER($T146)," ",""),"P",""),";",REPT(" ",30)),31,30))),0)+IFERROR(VALUE(TRIM(MID(SUBSTITUTE(SUBSTITUTE(SUBSTITUTE(UPPER($T146)," ",""),"P",""),";",REPT(" ",30)),61,30))),0)+IFERROR(VALUE(TRIM(MID(SUBSTITUTE(SUBSTITUTE(SUBSTITUTE(UPPER($T146)," ",""),"P",""),";",REPT(" ",30)),91,30))),0)+IFERROR(VALUE(TRIM(MID(SUBSTITUTE(SUBSTITUTE(SUBSTITUTE(UPPER($T146)," ",""),"P",""),";",REPT(" ",30)),121,30))),0)+IFERROR(VALUE(TRIM(MID(SUBSTITUTE(SUBSTITUTE(SUBSTITUTE(UPPER($T146)," ",""),"P",""),";",REPT(" ",30)),151,30))),0)+IFERROR(VALUE(TRIM(MID(SUBSTITUTE(SUBSTITUTE(SUBSTITUTE(UPPER($T146)," ",""),"P",""),";",REPT(" ",30)),181,30))),0)+IFERROR(VALUE(TRIM(MID(SUBSTITUTE(SUBSTITUTE(SUBSTITUTE(UPPER($T146)," ",""),"P",""),";",REPT(" ",30)),211,30))),0)))))</f>
        <v/>
      </c>
      <c r="W146" s="24" t="n"/>
      <c r="X146" s="14" t="n"/>
    </row>
    <row r="147">
      <c r="A147" s="8">
        <f>IF($C147="","",29)</f>
        <v/>
      </c>
      <c r="B147" s="8">
        <f>IF($C147="","","4ª Sessão")</f>
        <v/>
      </c>
      <c r="C147" s="8">
        <f>IF(Preenchimento!$B$38="","",Preenchimento!$B$38)</f>
        <v/>
      </c>
      <c r="D147" s="8">
        <f>IF($C147="","",IF(Preenchimento!$C$38="","-",Preenchimento!$C$38))</f>
        <v/>
      </c>
      <c r="E147" s="8" t="n"/>
      <c r="F147" s="8" t="n"/>
      <c r="G147" s="24" t="n"/>
      <c r="H147" s="8" t="n"/>
      <c r="I147" s="14" t="n"/>
      <c r="J147" s="25">
        <f>IF($C147="","",IF($E147="Falta","-",MAX(0,MIN(10,8+IFERROR(VALUE(TRIM(MID(SUBSTITUTE(SUBSTITUTE(SUBSTITUTE(UPPER($H147)," ",""),"D",""),";",REPT(" ",30)),1,30))),0)+IFERROR(VALUE(TRIM(MID(SUBSTITUTE(SUBSTITUTE(SUBSTITUTE(UPPER($H147)," ",""),"D",""),";",REPT(" ",30)),31,30))),0)+IFERROR(VALUE(TRIM(MID(SUBSTITUTE(SUBSTITUTE(SUBSTITUTE(UPPER($H147)," ",""),"D",""),";",REPT(" ",30)),61,30))),0)+IFERROR(VALUE(TRIM(MID(SUBSTITUTE(SUBSTITUTE(SUBSTITUTE(UPPER($H147)," ",""),"D",""),";",REPT(" ",30)),91,30))),0)+IFERROR(VALUE(TRIM(MID(SUBSTITUTE(SUBSTITUTE(SUBSTITUTE(UPPER($H147)," ",""),"D",""),";",REPT(" ",30)),121,30))),0)+IFERROR(VALUE(TRIM(MID(SUBSTITUTE(SUBSTITUTE(SUBSTITUTE(UPPER($H147)," ",""),"D",""),";",REPT(" ",30)),151,30))),0)+IFERROR(VALUE(TRIM(MID(SUBSTITUTE(SUBSTITUTE(SUBSTITUTE(UPPER($H147)," ",""),"D",""),";",REPT(" ",30)),181,30))),0)+IFERROR(VALUE(TRIM(MID(SUBSTITUTE(SUBSTITUTE(SUBSTITUTE(UPPER($H147)," ",""),"D",""),";",REPT(" ",30)),211,30))),0)))))</f>
        <v/>
      </c>
      <c r="K147" s="24" t="n"/>
      <c r="L147" s="8" t="n"/>
      <c r="M147" s="14" t="n"/>
      <c r="N147" s="25">
        <f>IF($C147="","",IF($E147="Falta","-",MAX(0,MIN(10,8+IFERROR(VALUE(TRIM(MID(SUBSTITUTE(SUBSTITUTE(SUBSTITUTE(UPPER($L147)," ",""),"F",""),";",REPT(" ",30)),1,30))),0)+IFERROR(VALUE(TRIM(MID(SUBSTITUTE(SUBSTITUTE(SUBSTITUTE(UPPER($L147)," ",""),"F",""),";",REPT(" ",30)),31,30))),0)+IFERROR(VALUE(TRIM(MID(SUBSTITUTE(SUBSTITUTE(SUBSTITUTE(UPPER($L147)," ",""),"F",""),";",REPT(" ",30)),61,30))),0)+IFERROR(VALUE(TRIM(MID(SUBSTITUTE(SUBSTITUTE(SUBSTITUTE(UPPER($L147)," ",""),"F",""),";",REPT(" ",30)),91,30))),0)+IFERROR(VALUE(TRIM(MID(SUBSTITUTE(SUBSTITUTE(SUBSTITUTE(UPPER($L147)," ",""),"F",""),";",REPT(" ",30)),121,30))),0)+IFERROR(VALUE(TRIM(MID(SUBSTITUTE(SUBSTITUTE(SUBSTITUTE(UPPER($L147)," ",""),"F",""),";",REPT(" ",30)),151,30))),0)+IFERROR(VALUE(TRIM(MID(SUBSTITUTE(SUBSTITUTE(SUBSTITUTE(UPPER($L147)," ",""),"F",""),";",REPT(" ",30)),181,30))),0)+IFERROR(VALUE(TRIM(MID(SUBSTITUTE(SUBSTITUTE(SUBSTITUTE(UPPER($L147)," ",""),"F",""),";",REPT(" ",30)),211,30))),0)))))</f>
        <v/>
      </c>
      <c r="O147" s="24" t="n"/>
      <c r="P147" s="8" t="n"/>
      <c r="Q147" s="14" t="n"/>
      <c r="R147" s="25">
        <f>IF($C147="","",IF($E147="Falta","-",MAX(0,MIN(10,5+IFERROR(VALUE(TRIM(MID(SUBSTITUTE(SUBSTITUTE(SUBSTITUTE(UPPER($P147)," ",""),"C",""),";",REPT(" ",30)),1,30))),0)+IFERROR(VALUE(TRIM(MID(SUBSTITUTE(SUBSTITUTE(SUBSTITUTE(UPPER($P147)," ",""),"C",""),";",REPT(" ",30)),31,30))),0)+IFERROR(VALUE(TRIM(MID(SUBSTITUTE(SUBSTITUTE(SUBSTITUTE(UPPER($P147)," ",""),"C",""),";",REPT(" ",30)),61,30))),0)+IFERROR(VALUE(TRIM(MID(SUBSTITUTE(SUBSTITUTE(SUBSTITUTE(UPPER($P147)," ",""),"C",""),";",REPT(" ",30)),91,30))),0)+IFERROR(VALUE(TRIM(MID(SUBSTITUTE(SUBSTITUTE(SUBSTITUTE(UPPER($P147)," ",""),"C",""),";",REPT(" ",30)),121,30))),0)+IFERROR(VALUE(TRIM(MID(SUBSTITUTE(SUBSTITUTE(SUBSTITUTE(UPPER($P147)," ",""),"C",""),";",REPT(" ",30)),151,30))),0)+IFERROR(VALUE(TRIM(MID(SUBSTITUTE(SUBSTITUTE(SUBSTITUTE(UPPER($P147)," ",""),"C",""),";",REPT(" ",30)),181,30))),0)+IFERROR(VALUE(TRIM(MID(SUBSTITUTE(SUBSTITUTE(SUBSTITUTE(UPPER($P147)," ",""),"C",""),";",REPT(" ",30)),211,30))),0)))))</f>
        <v/>
      </c>
      <c r="S147" s="24" t="n"/>
      <c r="T147" s="8" t="n"/>
      <c r="U147" s="14" t="n"/>
      <c r="V147" s="25">
        <f>IF($C147="","",IF($E147="Falta","-",MAX(0,MIN(10,5+IFERROR(VALUE(TRIM(MID(SUBSTITUTE(SUBSTITUTE(SUBSTITUTE(UPPER($T147)," ",""),"P",""),";",REPT(" ",30)),1,30))),0)+IFERROR(VALUE(TRIM(MID(SUBSTITUTE(SUBSTITUTE(SUBSTITUTE(UPPER($T147)," ",""),"P",""),";",REPT(" ",30)),31,30))),0)+IFERROR(VALUE(TRIM(MID(SUBSTITUTE(SUBSTITUTE(SUBSTITUTE(UPPER($T147)," ",""),"P",""),";",REPT(" ",30)),61,30))),0)+IFERROR(VALUE(TRIM(MID(SUBSTITUTE(SUBSTITUTE(SUBSTITUTE(UPPER($T147)," ",""),"P",""),";",REPT(" ",30)),91,30))),0)+IFERROR(VALUE(TRIM(MID(SUBSTITUTE(SUBSTITUTE(SUBSTITUTE(UPPER($T147)," ",""),"P",""),";",REPT(" ",30)),121,30))),0)+IFERROR(VALUE(TRIM(MID(SUBSTITUTE(SUBSTITUTE(SUBSTITUTE(UPPER($T147)," ",""),"P",""),";",REPT(" ",30)),151,30))),0)+IFERROR(VALUE(TRIM(MID(SUBSTITUTE(SUBSTITUTE(SUBSTITUTE(UPPER($T147)," ",""),"P",""),";",REPT(" ",30)),181,30))),0)+IFERROR(VALUE(TRIM(MID(SUBSTITUTE(SUBSTITUTE(SUBSTITUTE(UPPER($T147)," ",""),"P",""),";",REPT(" ",30)),211,30))),0)))))</f>
        <v/>
      </c>
      <c r="W147" s="24" t="n"/>
      <c r="X147" s="14" t="n"/>
    </row>
    <row r="148">
      <c r="A148" s="8">
        <f>IF($C148="","",29)</f>
        <v/>
      </c>
      <c r="B148" s="8">
        <f>IF($C148="","","5ª Sessão")</f>
        <v/>
      </c>
      <c r="C148" s="8">
        <f>IF(Preenchimento!$B$38="","",Preenchimento!$B$38)</f>
        <v/>
      </c>
      <c r="D148" s="8">
        <f>IF($C148="","",IF(Preenchimento!$C$38="","-",Preenchimento!$C$38))</f>
        <v/>
      </c>
      <c r="E148" s="8" t="n"/>
      <c r="F148" s="8" t="n"/>
      <c r="G148" s="24" t="n"/>
      <c r="H148" s="8" t="n"/>
      <c r="I148" s="14" t="n"/>
      <c r="J148" s="25">
        <f>IF($C148="","",IF($E148="Falta","-",MAX(0,MIN(10,8+IFERROR(VALUE(TRIM(MID(SUBSTITUTE(SUBSTITUTE(SUBSTITUTE(UPPER($H148)," ",""),"D",""),";",REPT(" ",30)),1,30))),0)+IFERROR(VALUE(TRIM(MID(SUBSTITUTE(SUBSTITUTE(SUBSTITUTE(UPPER($H148)," ",""),"D",""),";",REPT(" ",30)),31,30))),0)+IFERROR(VALUE(TRIM(MID(SUBSTITUTE(SUBSTITUTE(SUBSTITUTE(UPPER($H148)," ",""),"D",""),";",REPT(" ",30)),61,30))),0)+IFERROR(VALUE(TRIM(MID(SUBSTITUTE(SUBSTITUTE(SUBSTITUTE(UPPER($H148)," ",""),"D",""),";",REPT(" ",30)),91,30))),0)+IFERROR(VALUE(TRIM(MID(SUBSTITUTE(SUBSTITUTE(SUBSTITUTE(UPPER($H148)," ",""),"D",""),";",REPT(" ",30)),121,30))),0)+IFERROR(VALUE(TRIM(MID(SUBSTITUTE(SUBSTITUTE(SUBSTITUTE(UPPER($H148)," ",""),"D",""),";",REPT(" ",30)),151,30))),0)+IFERROR(VALUE(TRIM(MID(SUBSTITUTE(SUBSTITUTE(SUBSTITUTE(UPPER($H148)," ",""),"D",""),";",REPT(" ",30)),181,30))),0)+IFERROR(VALUE(TRIM(MID(SUBSTITUTE(SUBSTITUTE(SUBSTITUTE(UPPER($H148)," ",""),"D",""),";",REPT(" ",30)),211,30))),0)))))</f>
        <v/>
      </c>
      <c r="K148" s="24" t="n"/>
      <c r="L148" s="8" t="n"/>
      <c r="M148" s="14" t="n"/>
      <c r="N148" s="25">
        <f>IF($C148="","",IF($E148="Falta","-",MAX(0,MIN(10,8+IFERROR(VALUE(TRIM(MID(SUBSTITUTE(SUBSTITUTE(SUBSTITUTE(UPPER($L148)," ",""),"F",""),";",REPT(" ",30)),1,30))),0)+IFERROR(VALUE(TRIM(MID(SUBSTITUTE(SUBSTITUTE(SUBSTITUTE(UPPER($L148)," ",""),"F",""),";",REPT(" ",30)),31,30))),0)+IFERROR(VALUE(TRIM(MID(SUBSTITUTE(SUBSTITUTE(SUBSTITUTE(UPPER($L148)," ",""),"F",""),";",REPT(" ",30)),61,30))),0)+IFERROR(VALUE(TRIM(MID(SUBSTITUTE(SUBSTITUTE(SUBSTITUTE(UPPER($L148)," ",""),"F",""),";",REPT(" ",30)),91,30))),0)+IFERROR(VALUE(TRIM(MID(SUBSTITUTE(SUBSTITUTE(SUBSTITUTE(UPPER($L148)," ",""),"F",""),";",REPT(" ",30)),121,30))),0)+IFERROR(VALUE(TRIM(MID(SUBSTITUTE(SUBSTITUTE(SUBSTITUTE(UPPER($L148)," ",""),"F",""),";",REPT(" ",30)),151,30))),0)+IFERROR(VALUE(TRIM(MID(SUBSTITUTE(SUBSTITUTE(SUBSTITUTE(UPPER($L148)," ",""),"F",""),";",REPT(" ",30)),181,30))),0)+IFERROR(VALUE(TRIM(MID(SUBSTITUTE(SUBSTITUTE(SUBSTITUTE(UPPER($L148)," ",""),"F",""),";",REPT(" ",30)),211,30))),0)))))</f>
        <v/>
      </c>
      <c r="O148" s="24" t="n"/>
      <c r="P148" s="8" t="n"/>
      <c r="Q148" s="14" t="n"/>
      <c r="R148" s="25">
        <f>IF($C148="","",IF($E148="Falta","-",MAX(0,MIN(10,5+IFERROR(VALUE(TRIM(MID(SUBSTITUTE(SUBSTITUTE(SUBSTITUTE(UPPER($P148)," ",""),"C",""),";",REPT(" ",30)),1,30))),0)+IFERROR(VALUE(TRIM(MID(SUBSTITUTE(SUBSTITUTE(SUBSTITUTE(UPPER($P148)," ",""),"C",""),";",REPT(" ",30)),31,30))),0)+IFERROR(VALUE(TRIM(MID(SUBSTITUTE(SUBSTITUTE(SUBSTITUTE(UPPER($P148)," ",""),"C",""),";",REPT(" ",30)),61,30))),0)+IFERROR(VALUE(TRIM(MID(SUBSTITUTE(SUBSTITUTE(SUBSTITUTE(UPPER($P148)," ",""),"C",""),";",REPT(" ",30)),91,30))),0)+IFERROR(VALUE(TRIM(MID(SUBSTITUTE(SUBSTITUTE(SUBSTITUTE(UPPER($P148)," ",""),"C",""),";",REPT(" ",30)),121,30))),0)+IFERROR(VALUE(TRIM(MID(SUBSTITUTE(SUBSTITUTE(SUBSTITUTE(UPPER($P148)," ",""),"C",""),";",REPT(" ",30)),151,30))),0)+IFERROR(VALUE(TRIM(MID(SUBSTITUTE(SUBSTITUTE(SUBSTITUTE(UPPER($P148)," ",""),"C",""),";",REPT(" ",30)),181,30))),0)+IFERROR(VALUE(TRIM(MID(SUBSTITUTE(SUBSTITUTE(SUBSTITUTE(UPPER($P148)," ",""),"C",""),";",REPT(" ",30)),211,30))),0)))))</f>
        <v/>
      </c>
      <c r="S148" s="24" t="n"/>
      <c r="T148" s="8" t="n"/>
      <c r="U148" s="14" t="n"/>
      <c r="V148" s="25">
        <f>IF($C148="","",IF($E148="Falta","-",MAX(0,MIN(10,5+IFERROR(VALUE(TRIM(MID(SUBSTITUTE(SUBSTITUTE(SUBSTITUTE(UPPER($T148)," ",""),"P",""),";",REPT(" ",30)),1,30))),0)+IFERROR(VALUE(TRIM(MID(SUBSTITUTE(SUBSTITUTE(SUBSTITUTE(UPPER($T148)," ",""),"P",""),";",REPT(" ",30)),31,30))),0)+IFERROR(VALUE(TRIM(MID(SUBSTITUTE(SUBSTITUTE(SUBSTITUTE(UPPER($T148)," ",""),"P",""),";",REPT(" ",30)),61,30))),0)+IFERROR(VALUE(TRIM(MID(SUBSTITUTE(SUBSTITUTE(SUBSTITUTE(UPPER($T148)," ",""),"P",""),";",REPT(" ",30)),91,30))),0)+IFERROR(VALUE(TRIM(MID(SUBSTITUTE(SUBSTITUTE(SUBSTITUTE(UPPER($T148)," ",""),"P",""),";",REPT(" ",30)),121,30))),0)+IFERROR(VALUE(TRIM(MID(SUBSTITUTE(SUBSTITUTE(SUBSTITUTE(UPPER($T148)," ",""),"P",""),";",REPT(" ",30)),151,30))),0)+IFERROR(VALUE(TRIM(MID(SUBSTITUTE(SUBSTITUTE(SUBSTITUTE(UPPER($T148)," ",""),"P",""),";",REPT(" ",30)),181,30))),0)+IFERROR(VALUE(TRIM(MID(SUBSTITUTE(SUBSTITUTE(SUBSTITUTE(UPPER($T148)," ",""),"P",""),";",REPT(" ",30)),211,30))),0)))))</f>
        <v/>
      </c>
      <c r="W148" s="24" t="n"/>
      <c r="X148" s="14" t="n"/>
    </row>
    <row r="149">
      <c r="A149" s="6">
        <f>IF($C149="","",30)</f>
        <v/>
      </c>
      <c r="B149" s="6">
        <f>IF($C149="","","1ª Sessão")</f>
        <v/>
      </c>
      <c r="C149" s="6">
        <f>IF(Preenchimento!$B$39="","",Preenchimento!$B$39)</f>
        <v/>
      </c>
      <c r="D149" s="6">
        <f>IF($C149="","",IF(Preenchimento!$C$39="","-",Preenchimento!$C$39))</f>
        <v/>
      </c>
      <c r="E149" s="6" t="n"/>
      <c r="F149" s="6" t="n"/>
      <c r="G149" s="26" t="n"/>
      <c r="H149" s="6" t="n"/>
      <c r="I149" s="13" t="n"/>
      <c r="J149" s="27">
        <f>IF($C149="","",IF($E149="Falta","-",MAX(0,MIN(10,8+IFERROR(VALUE(TRIM(MID(SUBSTITUTE(SUBSTITUTE(SUBSTITUTE(UPPER($H149)," ",""),"D",""),";",REPT(" ",30)),1,30))),0)+IFERROR(VALUE(TRIM(MID(SUBSTITUTE(SUBSTITUTE(SUBSTITUTE(UPPER($H149)," ",""),"D",""),";",REPT(" ",30)),31,30))),0)+IFERROR(VALUE(TRIM(MID(SUBSTITUTE(SUBSTITUTE(SUBSTITUTE(UPPER($H149)," ",""),"D",""),";",REPT(" ",30)),61,30))),0)+IFERROR(VALUE(TRIM(MID(SUBSTITUTE(SUBSTITUTE(SUBSTITUTE(UPPER($H149)," ",""),"D",""),";",REPT(" ",30)),91,30))),0)+IFERROR(VALUE(TRIM(MID(SUBSTITUTE(SUBSTITUTE(SUBSTITUTE(UPPER($H149)," ",""),"D",""),";",REPT(" ",30)),121,30))),0)+IFERROR(VALUE(TRIM(MID(SUBSTITUTE(SUBSTITUTE(SUBSTITUTE(UPPER($H149)," ",""),"D",""),";",REPT(" ",30)),151,30))),0)+IFERROR(VALUE(TRIM(MID(SUBSTITUTE(SUBSTITUTE(SUBSTITUTE(UPPER($H149)," ",""),"D",""),";",REPT(" ",30)),181,30))),0)+IFERROR(VALUE(TRIM(MID(SUBSTITUTE(SUBSTITUTE(SUBSTITUTE(UPPER($H149)," ",""),"D",""),";",REPT(" ",30)),211,30))),0)))))</f>
        <v/>
      </c>
      <c r="K149" s="26" t="n"/>
      <c r="L149" s="6" t="n"/>
      <c r="M149" s="13" t="n"/>
      <c r="N149" s="27">
        <f>IF($C149="","",IF($E149="Falta","-",MAX(0,MIN(10,8+IFERROR(VALUE(TRIM(MID(SUBSTITUTE(SUBSTITUTE(SUBSTITUTE(UPPER($L149)," ",""),"F",""),";",REPT(" ",30)),1,30))),0)+IFERROR(VALUE(TRIM(MID(SUBSTITUTE(SUBSTITUTE(SUBSTITUTE(UPPER($L149)," ",""),"F",""),";",REPT(" ",30)),31,30))),0)+IFERROR(VALUE(TRIM(MID(SUBSTITUTE(SUBSTITUTE(SUBSTITUTE(UPPER($L149)," ",""),"F",""),";",REPT(" ",30)),61,30))),0)+IFERROR(VALUE(TRIM(MID(SUBSTITUTE(SUBSTITUTE(SUBSTITUTE(UPPER($L149)," ",""),"F",""),";",REPT(" ",30)),91,30))),0)+IFERROR(VALUE(TRIM(MID(SUBSTITUTE(SUBSTITUTE(SUBSTITUTE(UPPER($L149)," ",""),"F",""),";",REPT(" ",30)),121,30))),0)+IFERROR(VALUE(TRIM(MID(SUBSTITUTE(SUBSTITUTE(SUBSTITUTE(UPPER($L149)," ",""),"F",""),";",REPT(" ",30)),151,30))),0)+IFERROR(VALUE(TRIM(MID(SUBSTITUTE(SUBSTITUTE(SUBSTITUTE(UPPER($L149)," ",""),"F",""),";",REPT(" ",30)),181,30))),0)+IFERROR(VALUE(TRIM(MID(SUBSTITUTE(SUBSTITUTE(SUBSTITUTE(UPPER($L149)," ",""),"F",""),";",REPT(" ",30)),211,30))),0)))))</f>
        <v/>
      </c>
      <c r="O149" s="26" t="n"/>
      <c r="P149" s="6" t="n"/>
      <c r="Q149" s="13" t="n"/>
      <c r="R149" s="27">
        <f>IF($C149="","",IF($E149="Falta","-",MAX(0,MIN(10,5+IFERROR(VALUE(TRIM(MID(SUBSTITUTE(SUBSTITUTE(SUBSTITUTE(UPPER($P149)," ",""),"C",""),";",REPT(" ",30)),1,30))),0)+IFERROR(VALUE(TRIM(MID(SUBSTITUTE(SUBSTITUTE(SUBSTITUTE(UPPER($P149)," ",""),"C",""),";",REPT(" ",30)),31,30))),0)+IFERROR(VALUE(TRIM(MID(SUBSTITUTE(SUBSTITUTE(SUBSTITUTE(UPPER($P149)," ",""),"C",""),";",REPT(" ",30)),61,30))),0)+IFERROR(VALUE(TRIM(MID(SUBSTITUTE(SUBSTITUTE(SUBSTITUTE(UPPER($P149)," ",""),"C",""),";",REPT(" ",30)),91,30))),0)+IFERROR(VALUE(TRIM(MID(SUBSTITUTE(SUBSTITUTE(SUBSTITUTE(UPPER($P149)," ",""),"C",""),";",REPT(" ",30)),121,30))),0)+IFERROR(VALUE(TRIM(MID(SUBSTITUTE(SUBSTITUTE(SUBSTITUTE(UPPER($P149)," ",""),"C",""),";",REPT(" ",30)),151,30))),0)+IFERROR(VALUE(TRIM(MID(SUBSTITUTE(SUBSTITUTE(SUBSTITUTE(UPPER($P149)," ",""),"C",""),";",REPT(" ",30)),181,30))),0)+IFERROR(VALUE(TRIM(MID(SUBSTITUTE(SUBSTITUTE(SUBSTITUTE(UPPER($P149)," ",""),"C",""),";",REPT(" ",30)),211,30))),0)))))</f>
        <v/>
      </c>
      <c r="S149" s="26" t="n"/>
      <c r="T149" s="6" t="n"/>
      <c r="U149" s="13" t="n"/>
      <c r="V149" s="27">
        <f>IF($C149="","",IF($E149="Falta","-",MAX(0,MIN(10,5+IFERROR(VALUE(TRIM(MID(SUBSTITUTE(SUBSTITUTE(SUBSTITUTE(UPPER($T149)," ",""),"P",""),";",REPT(" ",30)),1,30))),0)+IFERROR(VALUE(TRIM(MID(SUBSTITUTE(SUBSTITUTE(SUBSTITUTE(UPPER($T149)," ",""),"P",""),";",REPT(" ",30)),31,30))),0)+IFERROR(VALUE(TRIM(MID(SUBSTITUTE(SUBSTITUTE(SUBSTITUTE(UPPER($T149)," ",""),"P",""),";",REPT(" ",30)),61,30))),0)+IFERROR(VALUE(TRIM(MID(SUBSTITUTE(SUBSTITUTE(SUBSTITUTE(UPPER($T149)," ",""),"P",""),";",REPT(" ",30)),91,30))),0)+IFERROR(VALUE(TRIM(MID(SUBSTITUTE(SUBSTITUTE(SUBSTITUTE(UPPER($T149)," ",""),"P",""),";",REPT(" ",30)),121,30))),0)+IFERROR(VALUE(TRIM(MID(SUBSTITUTE(SUBSTITUTE(SUBSTITUTE(UPPER($T149)," ",""),"P",""),";",REPT(" ",30)),151,30))),0)+IFERROR(VALUE(TRIM(MID(SUBSTITUTE(SUBSTITUTE(SUBSTITUTE(UPPER($T149)," ",""),"P",""),";",REPT(" ",30)),181,30))),0)+IFERROR(VALUE(TRIM(MID(SUBSTITUTE(SUBSTITUTE(SUBSTITUTE(UPPER($T149)," ",""),"P",""),";",REPT(" ",30)),211,30))),0)))))</f>
        <v/>
      </c>
      <c r="W149" s="26" t="n"/>
      <c r="X149" s="13" t="n"/>
    </row>
    <row r="150">
      <c r="A150" s="6">
        <f>IF($C150="","",30)</f>
        <v/>
      </c>
      <c r="B150" s="6">
        <f>IF($C150="","","2ª Sessão")</f>
        <v/>
      </c>
      <c r="C150" s="6">
        <f>IF(Preenchimento!$B$39="","",Preenchimento!$B$39)</f>
        <v/>
      </c>
      <c r="D150" s="6">
        <f>IF($C150="","",IF(Preenchimento!$C$39="","-",Preenchimento!$C$39))</f>
        <v/>
      </c>
      <c r="E150" s="6" t="n"/>
      <c r="F150" s="6" t="n"/>
      <c r="G150" s="26" t="n"/>
      <c r="H150" s="6" t="n"/>
      <c r="I150" s="13" t="n"/>
      <c r="J150" s="27">
        <f>IF($C150="","",IF($E150="Falta","-",MAX(0,MIN(10,8+IFERROR(VALUE(TRIM(MID(SUBSTITUTE(SUBSTITUTE(SUBSTITUTE(UPPER($H150)," ",""),"D",""),";",REPT(" ",30)),1,30))),0)+IFERROR(VALUE(TRIM(MID(SUBSTITUTE(SUBSTITUTE(SUBSTITUTE(UPPER($H150)," ",""),"D",""),";",REPT(" ",30)),31,30))),0)+IFERROR(VALUE(TRIM(MID(SUBSTITUTE(SUBSTITUTE(SUBSTITUTE(UPPER($H150)," ",""),"D",""),";",REPT(" ",30)),61,30))),0)+IFERROR(VALUE(TRIM(MID(SUBSTITUTE(SUBSTITUTE(SUBSTITUTE(UPPER($H150)," ",""),"D",""),";",REPT(" ",30)),91,30))),0)+IFERROR(VALUE(TRIM(MID(SUBSTITUTE(SUBSTITUTE(SUBSTITUTE(UPPER($H150)," ",""),"D",""),";",REPT(" ",30)),121,30))),0)+IFERROR(VALUE(TRIM(MID(SUBSTITUTE(SUBSTITUTE(SUBSTITUTE(UPPER($H150)," ",""),"D",""),";",REPT(" ",30)),151,30))),0)+IFERROR(VALUE(TRIM(MID(SUBSTITUTE(SUBSTITUTE(SUBSTITUTE(UPPER($H150)," ",""),"D",""),";",REPT(" ",30)),181,30))),0)+IFERROR(VALUE(TRIM(MID(SUBSTITUTE(SUBSTITUTE(SUBSTITUTE(UPPER($H150)," ",""),"D",""),";",REPT(" ",30)),211,30))),0)))))</f>
        <v/>
      </c>
      <c r="K150" s="26" t="n"/>
      <c r="L150" s="6" t="n"/>
      <c r="M150" s="13" t="n"/>
      <c r="N150" s="27">
        <f>IF($C150="","",IF($E150="Falta","-",MAX(0,MIN(10,8+IFERROR(VALUE(TRIM(MID(SUBSTITUTE(SUBSTITUTE(SUBSTITUTE(UPPER($L150)," ",""),"F",""),";",REPT(" ",30)),1,30))),0)+IFERROR(VALUE(TRIM(MID(SUBSTITUTE(SUBSTITUTE(SUBSTITUTE(UPPER($L150)," ",""),"F",""),";",REPT(" ",30)),31,30))),0)+IFERROR(VALUE(TRIM(MID(SUBSTITUTE(SUBSTITUTE(SUBSTITUTE(UPPER($L150)," ",""),"F",""),";",REPT(" ",30)),61,30))),0)+IFERROR(VALUE(TRIM(MID(SUBSTITUTE(SUBSTITUTE(SUBSTITUTE(UPPER($L150)," ",""),"F",""),";",REPT(" ",30)),91,30))),0)+IFERROR(VALUE(TRIM(MID(SUBSTITUTE(SUBSTITUTE(SUBSTITUTE(UPPER($L150)," ",""),"F",""),";",REPT(" ",30)),121,30))),0)+IFERROR(VALUE(TRIM(MID(SUBSTITUTE(SUBSTITUTE(SUBSTITUTE(UPPER($L150)," ",""),"F",""),";",REPT(" ",30)),151,30))),0)+IFERROR(VALUE(TRIM(MID(SUBSTITUTE(SUBSTITUTE(SUBSTITUTE(UPPER($L150)," ",""),"F",""),";",REPT(" ",30)),181,30))),0)+IFERROR(VALUE(TRIM(MID(SUBSTITUTE(SUBSTITUTE(SUBSTITUTE(UPPER($L150)," ",""),"F",""),";",REPT(" ",30)),211,30))),0)))))</f>
        <v/>
      </c>
      <c r="O150" s="26" t="n"/>
      <c r="P150" s="6" t="n"/>
      <c r="Q150" s="13" t="n"/>
      <c r="R150" s="27">
        <f>IF($C150="","",IF($E150="Falta","-",MAX(0,MIN(10,5+IFERROR(VALUE(TRIM(MID(SUBSTITUTE(SUBSTITUTE(SUBSTITUTE(UPPER($P150)," ",""),"C",""),";",REPT(" ",30)),1,30))),0)+IFERROR(VALUE(TRIM(MID(SUBSTITUTE(SUBSTITUTE(SUBSTITUTE(UPPER($P150)," ",""),"C",""),";",REPT(" ",30)),31,30))),0)+IFERROR(VALUE(TRIM(MID(SUBSTITUTE(SUBSTITUTE(SUBSTITUTE(UPPER($P150)," ",""),"C",""),";",REPT(" ",30)),61,30))),0)+IFERROR(VALUE(TRIM(MID(SUBSTITUTE(SUBSTITUTE(SUBSTITUTE(UPPER($P150)," ",""),"C",""),";",REPT(" ",30)),91,30))),0)+IFERROR(VALUE(TRIM(MID(SUBSTITUTE(SUBSTITUTE(SUBSTITUTE(UPPER($P150)," ",""),"C",""),";",REPT(" ",30)),121,30))),0)+IFERROR(VALUE(TRIM(MID(SUBSTITUTE(SUBSTITUTE(SUBSTITUTE(UPPER($P150)," ",""),"C",""),";",REPT(" ",30)),151,30))),0)+IFERROR(VALUE(TRIM(MID(SUBSTITUTE(SUBSTITUTE(SUBSTITUTE(UPPER($P150)," ",""),"C",""),";",REPT(" ",30)),181,30))),0)+IFERROR(VALUE(TRIM(MID(SUBSTITUTE(SUBSTITUTE(SUBSTITUTE(UPPER($P150)," ",""),"C",""),";",REPT(" ",30)),211,30))),0)))))</f>
        <v/>
      </c>
      <c r="S150" s="26" t="n"/>
      <c r="T150" s="6" t="n"/>
      <c r="U150" s="13" t="n"/>
      <c r="V150" s="27">
        <f>IF($C150="","",IF($E150="Falta","-",MAX(0,MIN(10,5+IFERROR(VALUE(TRIM(MID(SUBSTITUTE(SUBSTITUTE(SUBSTITUTE(UPPER($T150)," ",""),"P",""),";",REPT(" ",30)),1,30))),0)+IFERROR(VALUE(TRIM(MID(SUBSTITUTE(SUBSTITUTE(SUBSTITUTE(UPPER($T150)," ",""),"P",""),";",REPT(" ",30)),31,30))),0)+IFERROR(VALUE(TRIM(MID(SUBSTITUTE(SUBSTITUTE(SUBSTITUTE(UPPER($T150)," ",""),"P",""),";",REPT(" ",30)),61,30))),0)+IFERROR(VALUE(TRIM(MID(SUBSTITUTE(SUBSTITUTE(SUBSTITUTE(UPPER($T150)," ",""),"P",""),";",REPT(" ",30)),91,30))),0)+IFERROR(VALUE(TRIM(MID(SUBSTITUTE(SUBSTITUTE(SUBSTITUTE(UPPER($T150)," ",""),"P",""),";",REPT(" ",30)),121,30))),0)+IFERROR(VALUE(TRIM(MID(SUBSTITUTE(SUBSTITUTE(SUBSTITUTE(UPPER($T150)," ",""),"P",""),";",REPT(" ",30)),151,30))),0)+IFERROR(VALUE(TRIM(MID(SUBSTITUTE(SUBSTITUTE(SUBSTITUTE(UPPER($T150)," ",""),"P",""),";",REPT(" ",30)),181,30))),0)+IFERROR(VALUE(TRIM(MID(SUBSTITUTE(SUBSTITUTE(SUBSTITUTE(UPPER($T150)," ",""),"P",""),";",REPT(" ",30)),211,30))),0)))))</f>
        <v/>
      </c>
      <c r="W150" s="26" t="n"/>
      <c r="X150" s="13" t="n"/>
    </row>
    <row r="151">
      <c r="A151" s="6">
        <f>IF($C151="","",30)</f>
        <v/>
      </c>
      <c r="B151" s="6">
        <f>IF($C151="","","3ª Sessão")</f>
        <v/>
      </c>
      <c r="C151" s="6">
        <f>IF(Preenchimento!$B$39="","",Preenchimento!$B$39)</f>
        <v/>
      </c>
      <c r="D151" s="6">
        <f>IF($C151="","",IF(Preenchimento!$C$39="","-",Preenchimento!$C$39))</f>
        <v/>
      </c>
      <c r="E151" s="6" t="n"/>
      <c r="F151" s="6" t="n"/>
      <c r="G151" s="26" t="n"/>
      <c r="H151" s="6" t="n"/>
      <c r="I151" s="13" t="n"/>
      <c r="J151" s="27">
        <f>IF($C151="","",IF($E151="Falta","-",MAX(0,MIN(10,8+IFERROR(VALUE(TRIM(MID(SUBSTITUTE(SUBSTITUTE(SUBSTITUTE(UPPER($H151)," ",""),"D",""),";",REPT(" ",30)),1,30))),0)+IFERROR(VALUE(TRIM(MID(SUBSTITUTE(SUBSTITUTE(SUBSTITUTE(UPPER($H151)," ",""),"D",""),";",REPT(" ",30)),31,30))),0)+IFERROR(VALUE(TRIM(MID(SUBSTITUTE(SUBSTITUTE(SUBSTITUTE(UPPER($H151)," ",""),"D",""),";",REPT(" ",30)),61,30))),0)+IFERROR(VALUE(TRIM(MID(SUBSTITUTE(SUBSTITUTE(SUBSTITUTE(UPPER($H151)," ",""),"D",""),";",REPT(" ",30)),91,30))),0)+IFERROR(VALUE(TRIM(MID(SUBSTITUTE(SUBSTITUTE(SUBSTITUTE(UPPER($H151)," ",""),"D",""),";",REPT(" ",30)),121,30))),0)+IFERROR(VALUE(TRIM(MID(SUBSTITUTE(SUBSTITUTE(SUBSTITUTE(UPPER($H151)," ",""),"D",""),";",REPT(" ",30)),151,30))),0)+IFERROR(VALUE(TRIM(MID(SUBSTITUTE(SUBSTITUTE(SUBSTITUTE(UPPER($H151)," ",""),"D",""),";",REPT(" ",30)),181,30))),0)+IFERROR(VALUE(TRIM(MID(SUBSTITUTE(SUBSTITUTE(SUBSTITUTE(UPPER($H151)," ",""),"D",""),";",REPT(" ",30)),211,30))),0)))))</f>
        <v/>
      </c>
      <c r="K151" s="26" t="n"/>
      <c r="L151" s="6" t="n"/>
      <c r="M151" s="13" t="n"/>
      <c r="N151" s="27">
        <f>IF($C151="","",IF($E151="Falta","-",MAX(0,MIN(10,8+IFERROR(VALUE(TRIM(MID(SUBSTITUTE(SUBSTITUTE(SUBSTITUTE(UPPER($L151)," ",""),"F",""),";",REPT(" ",30)),1,30))),0)+IFERROR(VALUE(TRIM(MID(SUBSTITUTE(SUBSTITUTE(SUBSTITUTE(UPPER($L151)," ",""),"F",""),";",REPT(" ",30)),31,30))),0)+IFERROR(VALUE(TRIM(MID(SUBSTITUTE(SUBSTITUTE(SUBSTITUTE(UPPER($L151)," ",""),"F",""),";",REPT(" ",30)),61,30))),0)+IFERROR(VALUE(TRIM(MID(SUBSTITUTE(SUBSTITUTE(SUBSTITUTE(UPPER($L151)," ",""),"F",""),";",REPT(" ",30)),91,30))),0)+IFERROR(VALUE(TRIM(MID(SUBSTITUTE(SUBSTITUTE(SUBSTITUTE(UPPER($L151)," ",""),"F",""),";",REPT(" ",30)),121,30))),0)+IFERROR(VALUE(TRIM(MID(SUBSTITUTE(SUBSTITUTE(SUBSTITUTE(UPPER($L151)," ",""),"F",""),";",REPT(" ",30)),151,30))),0)+IFERROR(VALUE(TRIM(MID(SUBSTITUTE(SUBSTITUTE(SUBSTITUTE(UPPER($L151)," ",""),"F",""),";",REPT(" ",30)),181,30))),0)+IFERROR(VALUE(TRIM(MID(SUBSTITUTE(SUBSTITUTE(SUBSTITUTE(UPPER($L151)," ",""),"F",""),";",REPT(" ",30)),211,30))),0)))))</f>
        <v/>
      </c>
      <c r="O151" s="26" t="n"/>
      <c r="P151" s="6" t="n"/>
      <c r="Q151" s="13" t="n"/>
      <c r="R151" s="27">
        <f>IF($C151="","",IF($E151="Falta","-",MAX(0,MIN(10,5+IFERROR(VALUE(TRIM(MID(SUBSTITUTE(SUBSTITUTE(SUBSTITUTE(UPPER($P151)," ",""),"C",""),";",REPT(" ",30)),1,30))),0)+IFERROR(VALUE(TRIM(MID(SUBSTITUTE(SUBSTITUTE(SUBSTITUTE(UPPER($P151)," ",""),"C",""),";",REPT(" ",30)),31,30))),0)+IFERROR(VALUE(TRIM(MID(SUBSTITUTE(SUBSTITUTE(SUBSTITUTE(UPPER($P151)," ",""),"C",""),";",REPT(" ",30)),61,30))),0)+IFERROR(VALUE(TRIM(MID(SUBSTITUTE(SUBSTITUTE(SUBSTITUTE(UPPER($P151)," ",""),"C",""),";",REPT(" ",30)),91,30))),0)+IFERROR(VALUE(TRIM(MID(SUBSTITUTE(SUBSTITUTE(SUBSTITUTE(UPPER($P151)," ",""),"C",""),";",REPT(" ",30)),121,30))),0)+IFERROR(VALUE(TRIM(MID(SUBSTITUTE(SUBSTITUTE(SUBSTITUTE(UPPER($P151)," ",""),"C",""),";",REPT(" ",30)),151,30))),0)+IFERROR(VALUE(TRIM(MID(SUBSTITUTE(SUBSTITUTE(SUBSTITUTE(UPPER($P151)," ",""),"C",""),";",REPT(" ",30)),181,30))),0)+IFERROR(VALUE(TRIM(MID(SUBSTITUTE(SUBSTITUTE(SUBSTITUTE(UPPER($P151)," ",""),"C",""),";",REPT(" ",30)),211,30))),0)))))</f>
        <v/>
      </c>
      <c r="S151" s="26" t="n"/>
      <c r="T151" s="6" t="n"/>
      <c r="U151" s="13" t="n"/>
      <c r="V151" s="27">
        <f>IF($C151="","",IF($E151="Falta","-",MAX(0,MIN(10,5+IFERROR(VALUE(TRIM(MID(SUBSTITUTE(SUBSTITUTE(SUBSTITUTE(UPPER($T151)," ",""),"P",""),";",REPT(" ",30)),1,30))),0)+IFERROR(VALUE(TRIM(MID(SUBSTITUTE(SUBSTITUTE(SUBSTITUTE(UPPER($T151)," ",""),"P",""),";",REPT(" ",30)),31,30))),0)+IFERROR(VALUE(TRIM(MID(SUBSTITUTE(SUBSTITUTE(SUBSTITUTE(UPPER($T151)," ",""),"P",""),";",REPT(" ",30)),61,30))),0)+IFERROR(VALUE(TRIM(MID(SUBSTITUTE(SUBSTITUTE(SUBSTITUTE(UPPER($T151)," ",""),"P",""),";",REPT(" ",30)),91,30))),0)+IFERROR(VALUE(TRIM(MID(SUBSTITUTE(SUBSTITUTE(SUBSTITUTE(UPPER($T151)," ",""),"P",""),";",REPT(" ",30)),121,30))),0)+IFERROR(VALUE(TRIM(MID(SUBSTITUTE(SUBSTITUTE(SUBSTITUTE(UPPER($T151)," ",""),"P",""),";",REPT(" ",30)),151,30))),0)+IFERROR(VALUE(TRIM(MID(SUBSTITUTE(SUBSTITUTE(SUBSTITUTE(UPPER($T151)," ",""),"P",""),";",REPT(" ",30)),181,30))),0)+IFERROR(VALUE(TRIM(MID(SUBSTITUTE(SUBSTITUTE(SUBSTITUTE(UPPER($T151)," ",""),"P",""),";",REPT(" ",30)),211,30))),0)))))</f>
        <v/>
      </c>
      <c r="W151" s="26" t="n"/>
      <c r="X151" s="13" t="n"/>
    </row>
    <row r="152">
      <c r="A152" s="6">
        <f>IF($C152="","",30)</f>
        <v/>
      </c>
      <c r="B152" s="6">
        <f>IF($C152="","","4ª Sessão")</f>
        <v/>
      </c>
      <c r="C152" s="6">
        <f>IF(Preenchimento!$B$39="","",Preenchimento!$B$39)</f>
        <v/>
      </c>
      <c r="D152" s="6">
        <f>IF($C152="","",IF(Preenchimento!$C$39="","-",Preenchimento!$C$39))</f>
        <v/>
      </c>
      <c r="E152" s="6" t="n"/>
      <c r="F152" s="6" t="n"/>
      <c r="G152" s="26" t="n"/>
      <c r="H152" s="6" t="n"/>
      <c r="I152" s="13" t="n"/>
      <c r="J152" s="27">
        <f>IF($C152="","",IF($E152="Falta","-",MAX(0,MIN(10,8+IFERROR(VALUE(TRIM(MID(SUBSTITUTE(SUBSTITUTE(SUBSTITUTE(UPPER($H152)," ",""),"D",""),";",REPT(" ",30)),1,30))),0)+IFERROR(VALUE(TRIM(MID(SUBSTITUTE(SUBSTITUTE(SUBSTITUTE(UPPER($H152)," ",""),"D",""),";",REPT(" ",30)),31,30))),0)+IFERROR(VALUE(TRIM(MID(SUBSTITUTE(SUBSTITUTE(SUBSTITUTE(UPPER($H152)," ",""),"D",""),";",REPT(" ",30)),61,30))),0)+IFERROR(VALUE(TRIM(MID(SUBSTITUTE(SUBSTITUTE(SUBSTITUTE(UPPER($H152)," ",""),"D",""),";",REPT(" ",30)),91,30))),0)+IFERROR(VALUE(TRIM(MID(SUBSTITUTE(SUBSTITUTE(SUBSTITUTE(UPPER($H152)," ",""),"D",""),";",REPT(" ",30)),121,30))),0)+IFERROR(VALUE(TRIM(MID(SUBSTITUTE(SUBSTITUTE(SUBSTITUTE(UPPER($H152)," ",""),"D",""),";",REPT(" ",30)),151,30))),0)+IFERROR(VALUE(TRIM(MID(SUBSTITUTE(SUBSTITUTE(SUBSTITUTE(UPPER($H152)," ",""),"D",""),";",REPT(" ",30)),181,30))),0)+IFERROR(VALUE(TRIM(MID(SUBSTITUTE(SUBSTITUTE(SUBSTITUTE(UPPER($H152)," ",""),"D",""),";",REPT(" ",30)),211,30))),0)))))</f>
        <v/>
      </c>
      <c r="K152" s="26" t="n"/>
      <c r="L152" s="6" t="n"/>
      <c r="M152" s="13" t="n"/>
      <c r="N152" s="27">
        <f>IF($C152="","",IF($E152="Falta","-",MAX(0,MIN(10,8+IFERROR(VALUE(TRIM(MID(SUBSTITUTE(SUBSTITUTE(SUBSTITUTE(UPPER($L152)," ",""),"F",""),";",REPT(" ",30)),1,30))),0)+IFERROR(VALUE(TRIM(MID(SUBSTITUTE(SUBSTITUTE(SUBSTITUTE(UPPER($L152)," ",""),"F",""),";",REPT(" ",30)),31,30))),0)+IFERROR(VALUE(TRIM(MID(SUBSTITUTE(SUBSTITUTE(SUBSTITUTE(UPPER($L152)," ",""),"F",""),";",REPT(" ",30)),61,30))),0)+IFERROR(VALUE(TRIM(MID(SUBSTITUTE(SUBSTITUTE(SUBSTITUTE(UPPER($L152)," ",""),"F",""),";",REPT(" ",30)),91,30))),0)+IFERROR(VALUE(TRIM(MID(SUBSTITUTE(SUBSTITUTE(SUBSTITUTE(UPPER($L152)," ",""),"F",""),";",REPT(" ",30)),121,30))),0)+IFERROR(VALUE(TRIM(MID(SUBSTITUTE(SUBSTITUTE(SUBSTITUTE(UPPER($L152)," ",""),"F",""),";",REPT(" ",30)),151,30))),0)+IFERROR(VALUE(TRIM(MID(SUBSTITUTE(SUBSTITUTE(SUBSTITUTE(UPPER($L152)," ",""),"F",""),";",REPT(" ",30)),181,30))),0)+IFERROR(VALUE(TRIM(MID(SUBSTITUTE(SUBSTITUTE(SUBSTITUTE(UPPER($L152)," ",""),"F",""),";",REPT(" ",30)),211,30))),0)))))</f>
        <v/>
      </c>
      <c r="O152" s="26" t="n"/>
      <c r="P152" s="6" t="n"/>
      <c r="Q152" s="13" t="n"/>
      <c r="R152" s="27">
        <f>IF($C152="","",IF($E152="Falta","-",MAX(0,MIN(10,5+IFERROR(VALUE(TRIM(MID(SUBSTITUTE(SUBSTITUTE(SUBSTITUTE(UPPER($P152)," ",""),"C",""),";",REPT(" ",30)),1,30))),0)+IFERROR(VALUE(TRIM(MID(SUBSTITUTE(SUBSTITUTE(SUBSTITUTE(UPPER($P152)," ",""),"C",""),";",REPT(" ",30)),31,30))),0)+IFERROR(VALUE(TRIM(MID(SUBSTITUTE(SUBSTITUTE(SUBSTITUTE(UPPER($P152)," ",""),"C",""),";",REPT(" ",30)),61,30))),0)+IFERROR(VALUE(TRIM(MID(SUBSTITUTE(SUBSTITUTE(SUBSTITUTE(UPPER($P152)," ",""),"C",""),";",REPT(" ",30)),91,30))),0)+IFERROR(VALUE(TRIM(MID(SUBSTITUTE(SUBSTITUTE(SUBSTITUTE(UPPER($P152)," ",""),"C",""),";",REPT(" ",30)),121,30))),0)+IFERROR(VALUE(TRIM(MID(SUBSTITUTE(SUBSTITUTE(SUBSTITUTE(UPPER($P152)," ",""),"C",""),";",REPT(" ",30)),151,30))),0)+IFERROR(VALUE(TRIM(MID(SUBSTITUTE(SUBSTITUTE(SUBSTITUTE(UPPER($P152)," ",""),"C",""),";",REPT(" ",30)),181,30))),0)+IFERROR(VALUE(TRIM(MID(SUBSTITUTE(SUBSTITUTE(SUBSTITUTE(UPPER($P152)," ",""),"C",""),";",REPT(" ",30)),211,30))),0)))))</f>
        <v/>
      </c>
      <c r="S152" s="26" t="n"/>
      <c r="T152" s="6" t="n"/>
      <c r="U152" s="13" t="n"/>
      <c r="V152" s="27">
        <f>IF($C152="","",IF($E152="Falta","-",MAX(0,MIN(10,5+IFERROR(VALUE(TRIM(MID(SUBSTITUTE(SUBSTITUTE(SUBSTITUTE(UPPER($T152)," ",""),"P",""),";",REPT(" ",30)),1,30))),0)+IFERROR(VALUE(TRIM(MID(SUBSTITUTE(SUBSTITUTE(SUBSTITUTE(UPPER($T152)," ",""),"P",""),";",REPT(" ",30)),31,30))),0)+IFERROR(VALUE(TRIM(MID(SUBSTITUTE(SUBSTITUTE(SUBSTITUTE(UPPER($T152)," ",""),"P",""),";",REPT(" ",30)),61,30))),0)+IFERROR(VALUE(TRIM(MID(SUBSTITUTE(SUBSTITUTE(SUBSTITUTE(UPPER($T152)," ",""),"P",""),";",REPT(" ",30)),91,30))),0)+IFERROR(VALUE(TRIM(MID(SUBSTITUTE(SUBSTITUTE(SUBSTITUTE(UPPER($T152)," ",""),"P",""),";",REPT(" ",30)),121,30))),0)+IFERROR(VALUE(TRIM(MID(SUBSTITUTE(SUBSTITUTE(SUBSTITUTE(UPPER($T152)," ",""),"P",""),";",REPT(" ",30)),151,30))),0)+IFERROR(VALUE(TRIM(MID(SUBSTITUTE(SUBSTITUTE(SUBSTITUTE(UPPER($T152)," ",""),"P",""),";",REPT(" ",30)),181,30))),0)+IFERROR(VALUE(TRIM(MID(SUBSTITUTE(SUBSTITUTE(SUBSTITUTE(UPPER($T152)," ",""),"P",""),";",REPT(" ",30)),211,30))),0)))))</f>
        <v/>
      </c>
      <c r="W152" s="26" t="n"/>
      <c r="X152" s="13" t="n"/>
    </row>
    <row r="153">
      <c r="A153" s="6">
        <f>IF($C153="","",30)</f>
        <v/>
      </c>
      <c r="B153" s="6">
        <f>IF($C153="","","5ª Sessão")</f>
        <v/>
      </c>
      <c r="C153" s="6">
        <f>IF(Preenchimento!$B$39="","",Preenchimento!$B$39)</f>
        <v/>
      </c>
      <c r="D153" s="6">
        <f>IF($C153="","",IF(Preenchimento!$C$39="","-",Preenchimento!$C$39))</f>
        <v/>
      </c>
      <c r="E153" s="6" t="n"/>
      <c r="F153" s="6" t="n"/>
      <c r="G153" s="26" t="n"/>
      <c r="H153" s="6" t="n"/>
      <c r="I153" s="13" t="n"/>
      <c r="J153" s="27">
        <f>IF($C153="","",IF($E153="Falta","-",MAX(0,MIN(10,8+IFERROR(VALUE(TRIM(MID(SUBSTITUTE(SUBSTITUTE(SUBSTITUTE(UPPER($H153)," ",""),"D",""),";",REPT(" ",30)),1,30))),0)+IFERROR(VALUE(TRIM(MID(SUBSTITUTE(SUBSTITUTE(SUBSTITUTE(UPPER($H153)," ",""),"D",""),";",REPT(" ",30)),31,30))),0)+IFERROR(VALUE(TRIM(MID(SUBSTITUTE(SUBSTITUTE(SUBSTITUTE(UPPER($H153)," ",""),"D",""),";",REPT(" ",30)),61,30))),0)+IFERROR(VALUE(TRIM(MID(SUBSTITUTE(SUBSTITUTE(SUBSTITUTE(UPPER($H153)," ",""),"D",""),";",REPT(" ",30)),91,30))),0)+IFERROR(VALUE(TRIM(MID(SUBSTITUTE(SUBSTITUTE(SUBSTITUTE(UPPER($H153)," ",""),"D",""),";",REPT(" ",30)),121,30))),0)+IFERROR(VALUE(TRIM(MID(SUBSTITUTE(SUBSTITUTE(SUBSTITUTE(UPPER($H153)," ",""),"D",""),";",REPT(" ",30)),151,30))),0)+IFERROR(VALUE(TRIM(MID(SUBSTITUTE(SUBSTITUTE(SUBSTITUTE(UPPER($H153)," ",""),"D",""),";",REPT(" ",30)),181,30))),0)+IFERROR(VALUE(TRIM(MID(SUBSTITUTE(SUBSTITUTE(SUBSTITUTE(UPPER($H153)," ",""),"D",""),";",REPT(" ",30)),211,30))),0)))))</f>
        <v/>
      </c>
      <c r="K153" s="26" t="n"/>
      <c r="L153" s="6" t="n"/>
      <c r="M153" s="13" t="n"/>
      <c r="N153" s="27">
        <f>IF($C153="","",IF($E153="Falta","-",MAX(0,MIN(10,8+IFERROR(VALUE(TRIM(MID(SUBSTITUTE(SUBSTITUTE(SUBSTITUTE(UPPER($L153)," ",""),"F",""),";",REPT(" ",30)),1,30))),0)+IFERROR(VALUE(TRIM(MID(SUBSTITUTE(SUBSTITUTE(SUBSTITUTE(UPPER($L153)," ",""),"F",""),";",REPT(" ",30)),31,30))),0)+IFERROR(VALUE(TRIM(MID(SUBSTITUTE(SUBSTITUTE(SUBSTITUTE(UPPER($L153)," ",""),"F",""),";",REPT(" ",30)),61,30))),0)+IFERROR(VALUE(TRIM(MID(SUBSTITUTE(SUBSTITUTE(SUBSTITUTE(UPPER($L153)," ",""),"F",""),";",REPT(" ",30)),91,30))),0)+IFERROR(VALUE(TRIM(MID(SUBSTITUTE(SUBSTITUTE(SUBSTITUTE(UPPER($L153)," ",""),"F",""),";",REPT(" ",30)),121,30))),0)+IFERROR(VALUE(TRIM(MID(SUBSTITUTE(SUBSTITUTE(SUBSTITUTE(UPPER($L153)," ",""),"F",""),";",REPT(" ",30)),151,30))),0)+IFERROR(VALUE(TRIM(MID(SUBSTITUTE(SUBSTITUTE(SUBSTITUTE(UPPER($L153)," ",""),"F",""),";",REPT(" ",30)),181,30))),0)+IFERROR(VALUE(TRIM(MID(SUBSTITUTE(SUBSTITUTE(SUBSTITUTE(UPPER($L153)," ",""),"F",""),";",REPT(" ",30)),211,30))),0)))))</f>
        <v/>
      </c>
      <c r="O153" s="26" t="n"/>
      <c r="P153" s="6" t="n"/>
      <c r="Q153" s="13" t="n"/>
      <c r="R153" s="27">
        <f>IF($C153="","",IF($E153="Falta","-",MAX(0,MIN(10,5+IFERROR(VALUE(TRIM(MID(SUBSTITUTE(SUBSTITUTE(SUBSTITUTE(UPPER($P153)," ",""),"C",""),";",REPT(" ",30)),1,30))),0)+IFERROR(VALUE(TRIM(MID(SUBSTITUTE(SUBSTITUTE(SUBSTITUTE(UPPER($P153)," ",""),"C",""),";",REPT(" ",30)),31,30))),0)+IFERROR(VALUE(TRIM(MID(SUBSTITUTE(SUBSTITUTE(SUBSTITUTE(UPPER($P153)," ",""),"C",""),";",REPT(" ",30)),61,30))),0)+IFERROR(VALUE(TRIM(MID(SUBSTITUTE(SUBSTITUTE(SUBSTITUTE(UPPER($P153)," ",""),"C",""),";",REPT(" ",30)),91,30))),0)+IFERROR(VALUE(TRIM(MID(SUBSTITUTE(SUBSTITUTE(SUBSTITUTE(UPPER($P153)," ",""),"C",""),";",REPT(" ",30)),121,30))),0)+IFERROR(VALUE(TRIM(MID(SUBSTITUTE(SUBSTITUTE(SUBSTITUTE(UPPER($P153)," ",""),"C",""),";",REPT(" ",30)),151,30))),0)+IFERROR(VALUE(TRIM(MID(SUBSTITUTE(SUBSTITUTE(SUBSTITUTE(UPPER($P153)," ",""),"C",""),";",REPT(" ",30)),181,30))),0)+IFERROR(VALUE(TRIM(MID(SUBSTITUTE(SUBSTITUTE(SUBSTITUTE(UPPER($P153)," ",""),"C",""),";",REPT(" ",30)),211,30))),0)))))</f>
        <v/>
      </c>
      <c r="S153" s="26" t="n"/>
      <c r="T153" s="6" t="n"/>
      <c r="U153" s="13" t="n"/>
      <c r="V153" s="27">
        <f>IF($C153="","",IF($E153="Falta","-",MAX(0,MIN(10,5+IFERROR(VALUE(TRIM(MID(SUBSTITUTE(SUBSTITUTE(SUBSTITUTE(UPPER($T153)," ",""),"P",""),";",REPT(" ",30)),1,30))),0)+IFERROR(VALUE(TRIM(MID(SUBSTITUTE(SUBSTITUTE(SUBSTITUTE(UPPER($T153)," ",""),"P",""),";",REPT(" ",30)),31,30))),0)+IFERROR(VALUE(TRIM(MID(SUBSTITUTE(SUBSTITUTE(SUBSTITUTE(UPPER($T153)," ",""),"P",""),";",REPT(" ",30)),61,30))),0)+IFERROR(VALUE(TRIM(MID(SUBSTITUTE(SUBSTITUTE(SUBSTITUTE(UPPER($T153)," ",""),"P",""),";",REPT(" ",30)),91,30))),0)+IFERROR(VALUE(TRIM(MID(SUBSTITUTE(SUBSTITUTE(SUBSTITUTE(UPPER($T153)," ",""),"P",""),";",REPT(" ",30)),121,30))),0)+IFERROR(VALUE(TRIM(MID(SUBSTITUTE(SUBSTITUTE(SUBSTITUTE(UPPER($T153)," ",""),"P",""),";",REPT(" ",30)),151,30))),0)+IFERROR(VALUE(TRIM(MID(SUBSTITUTE(SUBSTITUTE(SUBSTITUTE(UPPER($T153)," ",""),"P",""),";",REPT(" ",30)),181,30))),0)+IFERROR(VALUE(TRIM(MID(SUBSTITUTE(SUBSTITUTE(SUBSTITUTE(UPPER($T153)," ",""),"P",""),";",REPT(" ",30)),211,30))),0)))))</f>
        <v/>
      </c>
      <c r="W153" s="26" t="n"/>
      <c r="X153" s="13" t="n"/>
    </row>
    <row r="154">
      <c r="A154" s="8">
        <f>IF($C154="","",31)</f>
        <v/>
      </c>
      <c r="B154" s="8">
        <f>IF($C154="","","1ª Sessão")</f>
        <v/>
      </c>
      <c r="C154" s="8">
        <f>IF(Preenchimento!$B$40="","",Preenchimento!$B$40)</f>
        <v/>
      </c>
      <c r="D154" s="8">
        <f>IF($C154="","",IF(Preenchimento!$C$40="","-",Preenchimento!$C$40))</f>
        <v/>
      </c>
      <c r="E154" s="8" t="n"/>
      <c r="F154" s="8" t="n"/>
      <c r="G154" s="24" t="n"/>
      <c r="H154" s="8" t="n"/>
      <c r="I154" s="14" t="n"/>
      <c r="J154" s="25">
        <f>IF($C154="","",IF($E154="Falta","-",MAX(0,MIN(10,8+IFERROR(VALUE(TRIM(MID(SUBSTITUTE(SUBSTITUTE(SUBSTITUTE(UPPER($H154)," ",""),"D",""),";",REPT(" ",30)),1,30))),0)+IFERROR(VALUE(TRIM(MID(SUBSTITUTE(SUBSTITUTE(SUBSTITUTE(UPPER($H154)," ",""),"D",""),";",REPT(" ",30)),31,30))),0)+IFERROR(VALUE(TRIM(MID(SUBSTITUTE(SUBSTITUTE(SUBSTITUTE(UPPER($H154)," ",""),"D",""),";",REPT(" ",30)),61,30))),0)+IFERROR(VALUE(TRIM(MID(SUBSTITUTE(SUBSTITUTE(SUBSTITUTE(UPPER($H154)," ",""),"D",""),";",REPT(" ",30)),91,30))),0)+IFERROR(VALUE(TRIM(MID(SUBSTITUTE(SUBSTITUTE(SUBSTITUTE(UPPER($H154)," ",""),"D",""),";",REPT(" ",30)),121,30))),0)+IFERROR(VALUE(TRIM(MID(SUBSTITUTE(SUBSTITUTE(SUBSTITUTE(UPPER($H154)," ",""),"D",""),";",REPT(" ",30)),151,30))),0)+IFERROR(VALUE(TRIM(MID(SUBSTITUTE(SUBSTITUTE(SUBSTITUTE(UPPER($H154)," ",""),"D",""),";",REPT(" ",30)),181,30))),0)+IFERROR(VALUE(TRIM(MID(SUBSTITUTE(SUBSTITUTE(SUBSTITUTE(UPPER($H154)," ",""),"D",""),";",REPT(" ",30)),211,30))),0)))))</f>
        <v/>
      </c>
      <c r="K154" s="24" t="n"/>
      <c r="L154" s="8" t="n"/>
      <c r="M154" s="14" t="n"/>
      <c r="N154" s="25">
        <f>IF($C154="","",IF($E154="Falta","-",MAX(0,MIN(10,8+IFERROR(VALUE(TRIM(MID(SUBSTITUTE(SUBSTITUTE(SUBSTITUTE(UPPER($L154)," ",""),"F",""),";",REPT(" ",30)),1,30))),0)+IFERROR(VALUE(TRIM(MID(SUBSTITUTE(SUBSTITUTE(SUBSTITUTE(UPPER($L154)," ",""),"F",""),";",REPT(" ",30)),31,30))),0)+IFERROR(VALUE(TRIM(MID(SUBSTITUTE(SUBSTITUTE(SUBSTITUTE(UPPER($L154)," ",""),"F",""),";",REPT(" ",30)),61,30))),0)+IFERROR(VALUE(TRIM(MID(SUBSTITUTE(SUBSTITUTE(SUBSTITUTE(UPPER($L154)," ",""),"F",""),";",REPT(" ",30)),91,30))),0)+IFERROR(VALUE(TRIM(MID(SUBSTITUTE(SUBSTITUTE(SUBSTITUTE(UPPER($L154)," ",""),"F",""),";",REPT(" ",30)),121,30))),0)+IFERROR(VALUE(TRIM(MID(SUBSTITUTE(SUBSTITUTE(SUBSTITUTE(UPPER($L154)," ",""),"F",""),";",REPT(" ",30)),151,30))),0)+IFERROR(VALUE(TRIM(MID(SUBSTITUTE(SUBSTITUTE(SUBSTITUTE(UPPER($L154)," ",""),"F",""),";",REPT(" ",30)),181,30))),0)+IFERROR(VALUE(TRIM(MID(SUBSTITUTE(SUBSTITUTE(SUBSTITUTE(UPPER($L154)," ",""),"F",""),";",REPT(" ",30)),211,30))),0)))))</f>
        <v/>
      </c>
      <c r="O154" s="24" t="n"/>
      <c r="P154" s="8" t="n"/>
      <c r="Q154" s="14" t="n"/>
      <c r="R154" s="25">
        <f>IF($C154="","",IF($E154="Falta","-",MAX(0,MIN(10,5+IFERROR(VALUE(TRIM(MID(SUBSTITUTE(SUBSTITUTE(SUBSTITUTE(UPPER($P154)," ",""),"C",""),";",REPT(" ",30)),1,30))),0)+IFERROR(VALUE(TRIM(MID(SUBSTITUTE(SUBSTITUTE(SUBSTITUTE(UPPER($P154)," ",""),"C",""),";",REPT(" ",30)),31,30))),0)+IFERROR(VALUE(TRIM(MID(SUBSTITUTE(SUBSTITUTE(SUBSTITUTE(UPPER($P154)," ",""),"C",""),";",REPT(" ",30)),61,30))),0)+IFERROR(VALUE(TRIM(MID(SUBSTITUTE(SUBSTITUTE(SUBSTITUTE(UPPER($P154)," ",""),"C",""),";",REPT(" ",30)),91,30))),0)+IFERROR(VALUE(TRIM(MID(SUBSTITUTE(SUBSTITUTE(SUBSTITUTE(UPPER($P154)," ",""),"C",""),";",REPT(" ",30)),121,30))),0)+IFERROR(VALUE(TRIM(MID(SUBSTITUTE(SUBSTITUTE(SUBSTITUTE(UPPER($P154)," ",""),"C",""),";",REPT(" ",30)),151,30))),0)+IFERROR(VALUE(TRIM(MID(SUBSTITUTE(SUBSTITUTE(SUBSTITUTE(UPPER($P154)," ",""),"C",""),";",REPT(" ",30)),181,30))),0)+IFERROR(VALUE(TRIM(MID(SUBSTITUTE(SUBSTITUTE(SUBSTITUTE(UPPER($P154)," ",""),"C",""),";",REPT(" ",30)),211,30))),0)))))</f>
        <v/>
      </c>
      <c r="S154" s="24" t="n"/>
      <c r="T154" s="8" t="n"/>
      <c r="U154" s="14" t="n"/>
      <c r="V154" s="25">
        <f>IF($C154="","",IF($E154="Falta","-",MAX(0,MIN(10,5+IFERROR(VALUE(TRIM(MID(SUBSTITUTE(SUBSTITUTE(SUBSTITUTE(UPPER($T154)," ",""),"P",""),";",REPT(" ",30)),1,30))),0)+IFERROR(VALUE(TRIM(MID(SUBSTITUTE(SUBSTITUTE(SUBSTITUTE(UPPER($T154)," ",""),"P",""),";",REPT(" ",30)),31,30))),0)+IFERROR(VALUE(TRIM(MID(SUBSTITUTE(SUBSTITUTE(SUBSTITUTE(UPPER($T154)," ",""),"P",""),";",REPT(" ",30)),61,30))),0)+IFERROR(VALUE(TRIM(MID(SUBSTITUTE(SUBSTITUTE(SUBSTITUTE(UPPER($T154)," ",""),"P",""),";",REPT(" ",30)),91,30))),0)+IFERROR(VALUE(TRIM(MID(SUBSTITUTE(SUBSTITUTE(SUBSTITUTE(UPPER($T154)," ",""),"P",""),";",REPT(" ",30)),121,30))),0)+IFERROR(VALUE(TRIM(MID(SUBSTITUTE(SUBSTITUTE(SUBSTITUTE(UPPER($T154)," ",""),"P",""),";",REPT(" ",30)),151,30))),0)+IFERROR(VALUE(TRIM(MID(SUBSTITUTE(SUBSTITUTE(SUBSTITUTE(UPPER($T154)," ",""),"P",""),";",REPT(" ",30)),181,30))),0)+IFERROR(VALUE(TRIM(MID(SUBSTITUTE(SUBSTITUTE(SUBSTITUTE(UPPER($T154)," ",""),"P",""),";",REPT(" ",30)),211,30))),0)))))</f>
        <v/>
      </c>
      <c r="W154" s="24" t="n"/>
      <c r="X154" s="14" t="n"/>
    </row>
    <row r="155">
      <c r="A155" s="8">
        <f>IF($C155="","",31)</f>
        <v/>
      </c>
      <c r="B155" s="8">
        <f>IF($C155="","","2ª Sessão")</f>
        <v/>
      </c>
      <c r="C155" s="8">
        <f>IF(Preenchimento!$B$40="","",Preenchimento!$B$40)</f>
        <v/>
      </c>
      <c r="D155" s="8">
        <f>IF($C155="","",IF(Preenchimento!$C$40="","-",Preenchimento!$C$40))</f>
        <v/>
      </c>
      <c r="E155" s="8" t="n"/>
      <c r="F155" s="8" t="n"/>
      <c r="G155" s="24" t="n"/>
      <c r="H155" s="8" t="n"/>
      <c r="I155" s="14" t="n"/>
      <c r="J155" s="25">
        <f>IF($C155="","",IF($E155="Falta","-",MAX(0,MIN(10,8+IFERROR(VALUE(TRIM(MID(SUBSTITUTE(SUBSTITUTE(SUBSTITUTE(UPPER($H155)," ",""),"D",""),";",REPT(" ",30)),1,30))),0)+IFERROR(VALUE(TRIM(MID(SUBSTITUTE(SUBSTITUTE(SUBSTITUTE(UPPER($H155)," ",""),"D",""),";",REPT(" ",30)),31,30))),0)+IFERROR(VALUE(TRIM(MID(SUBSTITUTE(SUBSTITUTE(SUBSTITUTE(UPPER($H155)," ",""),"D",""),";",REPT(" ",30)),61,30))),0)+IFERROR(VALUE(TRIM(MID(SUBSTITUTE(SUBSTITUTE(SUBSTITUTE(UPPER($H155)," ",""),"D",""),";",REPT(" ",30)),91,30))),0)+IFERROR(VALUE(TRIM(MID(SUBSTITUTE(SUBSTITUTE(SUBSTITUTE(UPPER($H155)," ",""),"D",""),";",REPT(" ",30)),121,30))),0)+IFERROR(VALUE(TRIM(MID(SUBSTITUTE(SUBSTITUTE(SUBSTITUTE(UPPER($H155)," ",""),"D",""),";",REPT(" ",30)),151,30))),0)+IFERROR(VALUE(TRIM(MID(SUBSTITUTE(SUBSTITUTE(SUBSTITUTE(UPPER($H155)," ",""),"D",""),";",REPT(" ",30)),181,30))),0)+IFERROR(VALUE(TRIM(MID(SUBSTITUTE(SUBSTITUTE(SUBSTITUTE(UPPER($H155)," ",""),"D",""),";",REPT(" ",30)),211,30))),0)))))</f>
        <v/>
      </c>
      <c r="K155" s="24" t="n"/>
      <c r="L155" s="8" t="n"/>
      <c r="M155" s="14" t="n"/>
      <c r="N155" s="25">
        <f>IF($C155="","",IF($E155="Falta","-",MAX(0,MIN(10,8+IFERROR(VALUE(TRIM(MID(SUBSTITUTE(SUBSTITUTE(SUBSTITUTE(UPPER($L155)," ",""),"F",""),";",REPT(" ",30)),1,30))),0)+IFERROR(VALUE(TRIM(MID(SUBSTITUTE(SUBSTITUTE(SUBSTITUTE(UPPER($L155)," ",""),"F",""),";",REPT(" ",30)),31,30))),0)+IFERROR(VALUE(TRIM(MID(SUBSTITUTE(SUBSTITUTE(SUBSTITUTE(UPPER($L155)," ",""),"F",""),";",REPT(" ",30)),61,30))),0)+IFERROR(VALUE(TRIM(MID(SUBSTITUTE(SUBSTITUTE(SUBSTITUTE(UPPER($L155)," ",""),"F",""),";",REPT(" ",30)),91,30))),0)+IFERROR(VALUE(TRIM(MID(SUBSTITUTE(SUBSTITUTE(SUBSTITUTE(UPPER($L155)," ",""),"F",""),";",REPT(" ",30)),121,30))),0)+IFERROR(VALUE(TRIM(MID(SUBSTITUTE(SUBSTITUTE(SUBSTITUTE(UPPER($L155)," ",""),"F",""),";",REPT(" ",30)),151,30))),0)+IFERROR(VALUE(TRIM(MID(SUBSTITUTE(SUBSTITUTE(SUBSTITUTE(UPPER($L155)," ",""),"F",""),";",REPT(" ",30)),181,30))),0)+IFERROR(VALUE(TRIM(MID(SUBSTITUTE(SUBSTITUTE(SUBSTITUTE(UPPER($L155)," ",""),"F",""),";",REPT(" ",30)),211,30))),0)))))</f>
        <v/>
      </c>
      <c r="O155" s="24" t="n"/>
      <c r="P155" s="8" t="n"/>
      <c r="Q155" s="14" t="n"/>
      <c r="R155" s="25">
        <f>IF($C155="","",IF($E155="Falta","-",MAX(0,MIN(10,5+IFERROR(VALUE(TRIM(MID(SUBSTITUTE(SUBSTITUTE(SUBSTITUTE(UPPER($P155)," ",""),"C",""),";",REPT(" ",30)),1,30))),0)+IFERROR(VALUE(TRIM(MID(SUBSTITUTE(SUBSTITUTE(SUBSTITUTE(UPPER($P155)," ",""),"C",""),";",REPT(" ",30)),31,30))),0)+IFERROR(VALUE(TRIM(MID(SUBSTITUTE(SUBSTITUTE(SUBSTITUTE(UPPER($P155)," ",""),"C",""),";",REPT(" ",30)),61,30))),0)+IFERROR(VALUE(TRIM(MID(SUBSTITUTE(SUBSTITUTE(SUBSTITUTE(UPPER($P155)," ",""),"C",""),";",REPT(" ",30)),91,30))),0)+IFERROR(VALUE(TRIM(MID(SUBSTITUTE(SUBSTITUTE(SUBSTITUTE(UPPER($P155)," ",""),"C",""),";",REPT(" ",30)),121,30))),0)+IFERROR(VALUE(TRIM(MID(SUBSTITUTE(SUBSTITUTE(SUBSTITUTE(UPPER($P155)," ",""),"C",""),";",REPT(" ",30)),151,30))),0)+IFERROR(VALUE(TRIM(MID(SUBSTITUTE(SUBSTITUTE(SUBSTITUTE(UPPER($P155)," ",""),"C",""),";",REPT(" ",30)),181,30))),0)+IFERROR(VALUE(TRIM(MID(SUBSTITUTE(SUBSTITUTE(SUBSTITUTE(UPPER($P155)," ",""),"C",""),";",REPT(" ",30)),211,30))),0)))))</f>
        <v/>
      </c>
      <c r="S155" s="24" t="n"/>
      <c r="T155" s="8" t="n"/>
      <c r="U155" s="14" t="n"/>
      <c r="V155" s="25">
        <f>IF($C155="","",IF($E155="Falta","-",MAX(0,MIN(10,5+IFERROR(VALUE(TRIM(MID(SUBSTITUTE(SUBSTITUTE(SUBSTITUTE(UPPER($T155)," ",""),"P",""),";",REPT(" ",30)),1,30))),0)+IFERROR(VALUE(TRIM(MID(SUBSTITUTE(SUBSTITUTE(SUBSTITUTE(UPPER($T155)," ",""),"P",""),";",REPT(" ",30)),31,30))),0)+IFERROR(VALUE(TRIM(MID(SUBSTITUTE(SUBSTITUTE(SUBSTITUTE(UPPER($T155)," ",""),"P",""),";",REPT(" ",30)),61,30))),0)+IFERROR(VALUE(TRIM(MID(SUBSTITUTE(SUBSTITUTE(SUBSTITUTE(UPPER($T155)," ",""),"P",""),";",REPT(" ",30)),91,30))),0)+IFERROR(VALUE(TRIM(MID(SUBSTITUTE(SUBSTITUTE(SUBSTITUTE(UPPER($T155)," ",""),"P",""),";",REPT(" ",30)),121,30))),0)+IFERROR(VALUE(TRIM(MID(SUBSTITUTE(SUBSTITUTE(SUBSTITUTE(UPPER($T155)," ",""),"P",""),";",REPT(" ",30)),151,30))),0)+IFERROR(VALUE(TRIM(MID(SUBSTITUTE(SUBSTITUTE(SUBSTITUTE(UPPER($T155)," ",""),"P",""),";",REPT(" ",30)),181,30))),0)+IFERROR(VALUE(TRIM(MID(SUBSTITUTE(SUBSTITUTE(SUBSTITUTE(UPPER($T155)," ",""),"P",""),";",REPT(" ",30)),211,30))),0)))))</f>
        <v/>
      </c>
      <c r="W155" s="24" t="n"/>
      <c r="X155" s="14" t="n"/>
    </row>
    <row r="156">
      <c r="A156" s="8">
        <f>IF($C156="","",31)</f>
        <v/>
      </c>
      <c r="B156" s="8">
        <f>IF($C156="","","3ª Sessão")</f>
        <v/>
      </c>
      <c r="C156" s="8">
        <f>IF(Preenchimento!$B$40="","",Preenchimento!$B$40)</f>
        <v/>
      </c>
      <c r="D156" s="8">
        <f>IF($C156="","",IF(Preenchimento!$C$40="","-",Preenchimento!$C$40))</f>
        <v/>
      </c>
      <c r="E156" s="8" t="n"/>
      <c r="F156" s="8" t="n"/>
      <c r="G156" s="24" t="n"/>
      <c r="H156" s="8" t="n"/>
      <c r="I156" s="14" t="n"/>
      <c r="J156" s="25">
        <f>IF($C156="","",IF($E156="Falta","-",MAX(0,MIN(10,8+IFERROR(VALUE(TRIM(MID(SUBSTITUTE(SUBSTITUTE(SUBSTITUTE(UPPER($H156)," ",""),"D",""),";",REPT(" ",30)),1,30))),0)+IFERROR(VALUE(TRIM(MID(SUBSTITUTE(SUBSTITUTE(SUBSTITUTE(UPPER($H156)," ",""),"D",""),";",REPT(" ",30)),31,30))),0)+IFERROR(VALUE(TRIM(MID(SUBSTITUTE(SUBSTITUTE(SUBSTITUTE(UPPER($H156)," ",""),"D",""),";",REPT(" ",30)),61,30))),0)+IFERROR(VALUE(TRIM(MID(SUBSTITUTE(SUBSTITUTE(SUBSTITUTE(UPPER($H156)," ",""),"D",""),";",REPT(" ",30)),91,30))),0)+IFERROR(VALUE(TRIM(MID(SUBSTITUTE(SUBSTITUTE(SUBSTITUTE(UPPER($H156)," ",""),"D",""),";",REPT(" ",30)),121,30))),0)+IFERROR(VALUE(TRIM(MID(SUBSTITUTE(SUBSTITUTE(SUBSTITUTE(UPPER($H156)," ",""),"D",""),";",REPT(" ",30)),151,30))),0)+IFERROR(VALUE(TRIM(MID(SUBSTITUTE(SUBSTITUTE(SUBSTITUTE(UPPER($H156)," ",""),"D",""),";",REPT(" ",30)),181,30))),0)+IFERROR(VALUE(TRIM(MID(SUBSTITUTE(SUBSTITUTE(SUBSTITUTE(UPPER($H156)," ",""),"D",""),";",REPT(" ",30)),211,30))),0)))))</f>
        <v/>
      </c>
      <c r="K156" s="24" t="n"/>
      <c r="L156" s="8" t="n"/>
      <c r="M156" s="14" t="n"/>
      <c r="N156" s="25">
        <f>IF($C156="","",IF($E156="Falta","-",MAX(0,MIN(10,8+IFERROR(VALUE(TRIM(MID(SUBSTITUTE(SUBSTITUTE(SUBSTITUTE(UPPER($L156)," ",""),"F",""),";",REPT(" ",30)),1,30))),0)+IFERROR(VALUE(TRIM(MID(SUBSTITUTE(SUBSTITUTE(SUBSTITUTE(UPPER($L156)," ",""),"F",""),";",REPT(" ",30)),31,30))),0)+IFERROR(VALUE(TRIM(MID(SUBSTITUTE(SUBSTITUTE(SUBSTITUTE(UPPER($L156)," ",""),"F",""),";",REPT(" ",30)),61,30))),0)+IFERROR(VALUE(TRIM(MID(SUBSTITUTE(SUBSTITUTE(SUBSTITUTE(UPPER($L156)," ",""),"F",""),";",REPT(" ",30)),91,30))),0)+IFERROR(VALUE(TRIM(MID(SUBSTITUTE(SUBSTITUTE(SUBSTITUTE(UPPER($L156)," ",""),"F",""),";",REPT(" ",30)),121,30))),0)+IFERROR(VALUE(TRIM(MID(SUBSTITUTE(SUBSTITUTE(SUBSTITUTE(UPPER($L156)," ",""),"F",""),";",REPT(" ",30)),151,30))),0)+IFERROR(VALUE(TRIM(MID(SUBSTITUTE(SUBSTITUTE(SUBSTITUTE(UPPER($L156)," ",""),"F",""),";",REPT(" ",30)),181,30))),0)+IFERROR(VALUE(TRIM(MID(SUBSTITUTE(SUBSTITUTE(SUBSTITUTE(UPPER($L156)," ",""),"F",""),";",REPT(" ",30)),211,30))),0)))))</f>
        <v/>
      </c>
      <c r="O156" s="24" t="n"/>
      <c r="P156" s="8" t="n"/>
      <c r="Q156" s="14" t="n"/>
      <c r="R156" s="25">
        <f>IF($C156="","",IF($E156="Falta","-",MAX(0,MIN(10,5+IFERROR(VALUE(TRIM(MID(SUBSTITUTE(SUBSTITUTE(SUBSTITUTE(UPPER($P156)," ",""),"C",""),";",REPT(" ",30)),1,30))),0)+IFERROR(VALUE(TRIM(MID(SUBSTITUTE(SUBSTITUTE(SUBSTITUTE(UPPER($P156)," ",""),"C",""),";",REPT(" ",30)),31,30))),0)+IFERROR(VALUE(TRIM(MID(SUBSTITUTE(SUBSTITUTE(SUBSTITUTE(UPPER($P156)," ",""),"C",""),";",REPT(" ",30)),61,30))),0)+IFERROR(VALUE(TRIM(MID(SUBSTITUTE(SUBSTITUTE(SUBSTITUTE(UPPER($P156)," ",""),"C",""),";",REPT(" ",30)),91,30))),0)+IFERROR(VALUE(TRIM(MID(SUBSTITUTE(SUBSTITUTE(SUBSTITUTE(UPPER($P156)," ",""),"C",""),";",REPT(" ",30)),121,30))),0)+IFERROR(VALUE(TRIM(MID(SUBSTITUTE(SUBSTITUTE(SUBSTITUTE(UPPER($P156)," ",""),"C",""),";",REPT(" ",30)),151,30))),0)+IFERROR(VALUE(TRIM(MID(SUBSTITUTE(SUBSTITUTE(SUBSTITUTE(UPPER($P156)," ",""),"C",""),";",REPT(" ",30)),181,30))),0)+IFERROR(VALUE(TRIM(MID(SUBSTITUTE(SUBSTITUTE(SUBSTITUTE(UPPER($P156)," ",""),"C",""),";",REPT(" ",30)),211,30))),0)))))</f>
        <v/>
      </c>
      <c r="S156" s="24" t="n"/>
      <c r="T156" s="8" t="n"/>
      <c r="U156" s="14" t="n"/>
      <c r="V156" s="25">
        <f>IF($C156="","",IF($E156="Falta","-",MAX(0,MIN(10,5+IFERROR(VALUE(TRIM(MID(SUBSTITUTE(SUBSTITUTE(SUBSTITUTE(UPPER($T156)," ",""),"P",""),";",REPT(" ",30)),1,30))),0)+IFERROR(VALUE(TRIM(MID(SUBSTITUTE(SUBSTITUTE(SUBSTITUTE(UPPER($T156)," ",""),"P",""),";",REPT(" ",30)),31,30))),0)+IFERROR(VALUE(TRIM(MID(SUBSTITUTE(SUBSTITUTE(SUBSTITUTE(UPPER($T156)," ",""),"P",""),";",REPT(" ",30)),61,30))),0)+IFERROR(VALUE(TRIM(MID(SUBSTITUTE(SUBSTITUTE(SUBSTITUTE(UPPER($T156)," ",""),"P",""),";",REPT(" ",30)),91,30))),0)+IFERROR(VALUE(TRIM(MID(SUBSTITUTE(SUBSTITUTE(SUBSTITUTE(UPPER($T156)," ",""),"P",""),";",REPT(" ",30)),121,30))),0)+IFERROR(VALUE(TRIM(MID(SUBSTITUTE(SUBSTITUTE(SUBSTITUTE(UPPER($T156)," ",""),"P",""),";",REPT(" ",30)),151,30))),0)+IFERROR(VALUE(TRIM(MID(SUBSTITUTE(SUBSTITUTE(SUBSTITUTE(UPPER($T156)," ",""),"P",""),";",REPT(" ",30)),181,30))),0)+IFERROR(VALUE(TRIM(MID(SUBSTITUTE(SUBSTITUTE(SUBSTITUTE(UPPER($T156)," ",""),"P",""),";",REPT(" ",30)),211,30))),0)))))</f>
        <v/>
      </c>
      <c r="W156" s="24" t="n"/>
      <c r="X156" s="14" t="n"/>
    </row>
    <row r="157">
      <c r="A157" s="8">
        <f>IF($C157="","",31)</f>
        <v/>
      </c>
      <c r="B157" s="8">
        <f>IF($C157="","","4ª Sessão")</f>
        <v/>
      </c>
      <c r="C157" s="8">
        <f>IF(Preenchimento!$B$40="","",Preenchimento!$B$40)</f>
        <v/>
      </c>
      <c r="D157" s="8">
        <f>IF($C157="","",IF(Preenchimento!$C$40="","-",Preenchimento!$C$40))</f>
        <v/>
      </c>
      <c r="E157" s="8" t="n"/>
      <c r="F157" s="8" t="n"/>
      <c r="G157" s="24" t="n"/>
      <c r="H157" s="8" t="n"/>
      <c r="I157" s="14" t="n"/>
      <c r="J157" s="25">
        <f>IF($C157="","",IF($E157="Falta","-",MAX(0,MIN(10,8+IFERROR(VALUE(TRIM(MID(SUBSTITUTE(SUBSTITUTE(SUBSTITUTE(UPPER($H157)," ",""),"D",""),";",REPT(" ",30)),1,30))),0)+IFERROR(VALUE(TRIM(MID(SUBSTITUTE(SUBSTITUTE(SUBSTITUTE(UPPER($H157)," ",""),"D",""),";",REPT(" ",30)),31,30))),0)+IFERROR(VALUE(TRIM(MID(SUBSTITUTE(SUBSTITUTE(SUBSTITUTE(UPPER($H157)," ",""),"D",""),";",REPT(" ",30)),61,30))),0)+IFERROR(VALUE(TRIM(MID(SUBSTITUTE(SUBSTITUTE(SUBSTITUTE(UPPER($H157)," ",""),"D",""),";",REPT(" ",30)),91,30))),0)+IFERROR(VALUE(TRIM(MID(SUBSTITUTE(SUBSTITUTE(SUBSTITUTE(UPPER($H157)," ",""),"D",""),";",REPT(" ",30)),121,30))),0)+IFERROR(VALUE(TRIM(MID(SUBSTITUTE(SUBSTITUTE(SUBSTITUTE(UPPER($H157)," ",""),"D",""),";",REPT(" ",30)),151,30))),0)+IFERROR(VALUE(TRIM(MID(SUBSTITUTE(SUBSTITUTE(SUBSTITUTE(UPPER($H157)," ",""),"D",""),";",REPT(" ",30)),181,30))),0)+IFERROR(VALUE(TRIM(MID(SUBSTITUTE(SUBSTITUTE(SUBSTITUTE(UPPER($H157)," ",""),"D",""),";",REPT(" ",30)),211,30))),0)))))</f>
        <v/>
      </c>
      <c r="K157" s="24" t="n"/>
      <c r="L157" s="8" t="n"/>
      <c r="M157" s="14" t="n"/>
      <c r="N157" s="25">
        <f>IF($C157="","",IF($E157="Falta","-",MAX(0,MIN(10,8+IFERROR(VALUE(TRIM(MID(SUBSTITUTE(SUBSTITUTE(SUBSTITUTE(UPPER($L157)," ",""),"F",""),";",REPT(" ",30)),1,30))),0)+IFERROR(VALUE(TRIM(MID(SUBSTITUTE(SUBSTITUTE(SUBSTITUTE(UPPER($L157)," ",""),"F",""),";",REPT(" ",30)),31,30))),0)+IFERROR(VALUE(TRIM(MID(SUBSTITUTE(SUBSTITUTE(SUBSTITUTE(UPPER($L157)," ",""),"F",""),";",REPT(" ",30)),61,30))),0)+IFERROR(VALUE(TRIM(MID(SUBSTITUTE(SUBSTITUTE(SUBSTITUTE(UPPER($L157)," ",""),"F",""),";",REPT(" ",30)),91,30))),0)+IFERROR(VALUE(TRIM(MID(SUBSTITUTE(SUBSTITUTE(SUBSTITUTE(UPPER($L157)," ",""),"F",""),";",REPT(" ",30)),121,30))),0)+IFERROR(VALUE(TRIM(MID(SUBSTITUTE(SUBSTITUTE(SUBSTITUTE(UPPER($L157)," ",""),"F",""),";",REPT(" ",30)),151,30))),0)+IFERROR(VALUE(TRIM(MID(SUBSTITUTE(SUBSTITUTE(SUBSTITUTE(UPPER($L157)," ",""),"F",""),";",REPT(" ",30)),181,30))),0)+IFERROR(VALUE(TRIM(MID(SUBSTITUTE(SUBSTITUTE(SUBSTITUTE(UPPER($L157)," ",""),"F",""),";",REPT(" ",30)),211,30))),0)))))</f>
        <v/>
      </c>
      <c r="O157" s="24" t="n"/>
      <c r="P157" s="8" t="n"/>
      <c r="Q157" s="14" t="n"/>
      <c r="R157" s="25">
        <f>IF($C157="","",IF($E157="Falta","-",MAX(0,MIN(10,5+IFERROR(VALUE(TRIM(MID(SUBSTITUTE(SUBSTITUTE(SUBSTITUTE(UPPER($P157)," ",""),"C",""),";",REPT(" ",30)),1,30))),0)+IFERROR(VALUE(TRIM(MID(SUBSTITUTE(SUBSTITUTE(SUBSTITUTE(UPPER($P157)," ",""),"C",""),";",REPT(" ",30)),31,30))),0)+IFERROR(VALUE(TRIM(MID(SUBSTITUTE(SUBSTITUTE(SUBSTITUTE(UPPER($P157)," ",""),"C",""),";",REPT(" ",30)),61,30))),0)+IFERROR(VALUE(TRIM(MID(SUBSTITUTE(SUBSTITUTE(SUBSTITUTE(UPPER($P157)," ",""),"C",""),";",REPT(" ",30)),91,30))),0)+IFERROR(VALUE(TRIM(MID(SUBSTITUTE(SUBSTITUTE(SUBSTITUTE(UPPER($P157)," ",""),"C",""),";",REPT(" ",30)),121,30))),0)+IFERROR(VALUE(TRIM(MID(SUBSTITUTE(SUBSTITUTE(SUBSTITUTE(UPPER($P157)," ",""),"C",""),";",REPT(" ",30)),151,30))),0)+IFERROR(VALUE(TRIM(MID(SUBSTITUTE(SUBSTITUTE(SUBSTITUTE(UPPER($P157)," ",""),"C",""),";",REPT(" ",30)),181,30))),0)+IFERROR(VALUE(TRIM(MID(SUBSTITUTE(SUBSTITUTE(SUBSTITUTE(UPPER($P157)," ",""),"C",""),";",REPT(" ",30)),211,30))),0)))))</f>
        <v/>
      </c>
      <c r="S157" s="24" t="n"/>
      <c r="T157" s="8" t="n"/>
      <c r="U157" s="14" t="n"/>
      <c r="V157" s="25">
        <f>IF($C157="","",IF($E157="Falta","-",MAX(0,MIN(10,5+IFERROR(VALUE(TRIM(MID(SUBSTITUTE(SUBSTITUTE(SUBSTITUTE(UPPER($T157)," ",""),"P",""),";",REPT(" ",30)),1,30))),0)+IFERROR(VALUE(TRIM(MID(SUBSTITUTE(SUBSTITUTE(SUBSTITUTE(UPPER($T157)," ",""),"P",""),";",REPT(" ",30)),31,30))),0)+IFERROR(VALUE(TRIM(MID(SUBSTITUTE(SUBSTITUTE(SUBSTITUTE(UPPER($T157)," ",""),"P",""),";",REPT(" ",30)),61,30))),0)+IFERROR(VALUE(TRIM(MID(SUBSTITUTE(SUBSTITUTE(SUBSTITUTE(UPPER($T157)," ",""),"P",""),";",REPT(" ",30)),91,30))),0)+IFERROR(VALUE(TRIM(MID(SUBSTITUTE(SUBSTITUTE(SUBSTITUTE(UPPER($T157)," ",""),"P",""),";",REPT(" ",30)),121,30))),0)+IFERROR(VALUE(TRIM(MID(SUBSTITUTE(SUBSTITUTE(SUBSTITUTE(UPPER($T157)," ",""),"P",""),";",REPT(" ",30)),151,30))),0)+IFERROR(VALUE(TRIM(MID(SUBSTITUTE(SUBSTITUTE(SUBSTITUTE(UPPER($T157)," ",""),"P",""),";",REPT(" ",30)),181,30))),0)+IFERROR(VALUE(TRIM(MID(SUBSTITUTE(SUBSTITUTE(SUBSTITUTE(UPPER($T157)," ",""),"P",""),";",REPT(" ",30)),211,30))),0)))))</f>
        <v/>
      </c>
      <c r="W157" s="24" t="n"/>
      <c r="X157" s="14" t="n"/>
    </row>
    <row r="158">
      <c r="A158" s="8">
        <f>IF($C158="","",31)</f>
        <v/>
      </c>
      <c r="B158" s="8">
        <f>IF($C158="","","5ª Sessão")</f>
        <v/>
      </c>
      <c r="C158" s="8">
        <f>IF(Preenchimento!$B$40="","",Preenchimento!$B$40)</f>
        <v/>
      </c>
      <c r="D158" s="8">
        <f>IF($C158="","",IF(Preenchimento!$C$40="","-",Preenchimento!$C$40))</f>
        <v/>
      </c>
      <c r="E158" s="8" t="n"/>
      <c r="F158" s="8" t="n"/>
      <c r="G158" s="24" t="n"/>
      <c r="H158" s="8" t="n"/>
      <c r="I158" s="14" t="n"/>
      <c r="J158" s="25">
        <f>IF($C158="","",IF($E158="Falta","-",MAX(0,MIN(10,8+IFERROR(VALUE(TRIM(MID(SUBSTITUTE(SUBSTITUTE(SUBSTITUTE(UPPER($H158)," ",""),"D",""),";",REPT(" ",30)),1,30))),0)+IFERROR(VALUE(TRIM(MID(SUBSTITUTE(SUBSTITUTE(SUBSTITUTE(UPPER($H158)," ",""),"D",""),";",REPT(" ",30)),31,30))),0)+IFERROR(VALUE(TRIM(MID(SUBSTITUTE(SUBSTITUTE(SUBSTITUTE(UPPER($H158)," ",""),"D",""),";",REPT(" ",30)),61,30))),0)+IFERROR(VALUE(TRIM(MID(SUBSTITUTE(SUBSTITUTE(SUBSTITUTE(UPPER($H158)," ",""),"D",""),";",REPT(" ",30)),91,30))),0)+IFERROR(VALUE(TRIM(MID(SUBSTITUTE(SUBSTITUTE(SUBSTITUTE(UPPER($H158)," ",""),"D",""),";",REPT(" ",30)),121,30))),0)+IFERROR(VALUE(TRIM(MID(SUBSTITUTE(SUBSTITUTE(SUBSTITUTE(UPPER($H158)," ",""),"D",""),";",REPT(" ",30)),151,30))),0)+IFERROR(VALUE(TRIM(MID(SUBSTITUTE(SUBSTITUTE(SUBSTITUTE(UPPER($H158)," ",""),"D",""),";",REPT(" ",30)),181,30))),0)+IFERROR(VALUE(TRIM(MID(SUBSTITUTE(SUBSTITUTE(SUBSTITUTE(UPPER($H158)," ",""),"D",""),";",REPT(" ",30)),211,30))),0)))))</f>
        <v/>
      </c>
      <c r="K158" s="24" t="n"/>
      <c r="L158" s="8" t="n"/>
      <c r="M158" s="14" t="n"/>
      <c r="N158" s="25">
        <f>IF($C158="","",IF($E158="Falta","-",MAX(0,MIN(10,8+IFERROR(VALUE(TRIM(MID(SUBSTITUTE(SUBSTITUTE(SUBSTITUTE(UPPER($L158)," ",""),"F",""),";",REPT(" ",30)),1,30))),0)+IFERROR(VALUE(TRIM(MID(SUBSTITUTE(SUBSTITUTE(SUBSTITUTE(UPPER($L158)," ",""),"F",""),";",REPT(" ",30)),31,30))),0)+IFERROR(VALUE(TRIM(MID(SUBSTITUTE(SUBSTITUTE(SUBSTITUTE(UPPER($L158)," ",""),"F",""),";",REPT(" ",30)),61,30))),0)+IFERROR(VALUE(TRIM(MID(SUBSTITUTE(SUBSTITUTE(SUBSTITUTE(UPPER($L158)," ",""),"F",""),";",REPT(" ",30)),91,30))),0)+IFERROR(VALUE(TRIM(MID(SUBSTITUTE(SUBSTITUTE(SUBSTITUTE(UPPER($L158)," ",""),"F",""),";",REPT(" ",30)),121,30))),0)+IFERROR(VALUE(TRIM(MID(SUBSTITUTE(SUBSTITUTE(SUBSTITUTE(UPPER($L158)," ",""),"F",""),";",REPT(" ",30)),151,30))),0)+IFERROR(VALUE(TRIM(MID(SUBSTITUTE(SUBSTITUTE(SUBSTITUTE(UPPER($L158)," ",""),"F",""),";",REPT(" ",30)),181,30))),0)+IFERROR(VALUE(TRIM(MID(SUBSTITUTE(SUBSTITUTE(SUBSTITUTE(UPPER($L158)," ",""),"F",""),";",REPT(" ",30)),211,30))),0)))))</f>
        <v/>
      </c>
      <c r="O158" s="24" t="n"/>
      <c r="P158" s="8" t="n"/>
      <c r="Q158" s="14" t="n"/>
      <c r="R158" s="25">
        <f>IF($C158="","",IF($E158="Falta","-",MAX(0,MIN(10,5+IFERROR(VALUE(TRIM(MID(SUBSTITUTE(SUBSTITUTE(SUBSTITUTE(UPPER($P158)," ",""),"C",""),";",REPT(" ",30)),1,30))),0)+IFERROR(VALUE(TRIM(MID(SUBSTITUTE(SUBSTITUTE(SUBSTITUTE(UPPER($P158)," ",""),"C",""),";",REPT(" ",30)),31,30))),0)+IFERROR(VALUE(TRIM(MID(SUBSTITUTE(SUBSTITUTE(SUBSTITUTE(UPPER($P158)," ",""),"C",""),";",REPT(" ",30)),61,30))),0)+IFERROR(VALUE(TRIM(MID(SUBSTITUTE(SUBSTITUTE(SUBSTITUTE(UPPER($P158)," ",""),"C",""),";",REPT(" ",30)),91,30))),0)+IFERROR(VALUE(TRIM(MID(SUBSTITUTE(SUBSTITUTE(SUBSTITUTE(UPPER($P158)," ",""),"C",""),";",REPT(" ",30)),121,30))),0)+IFERROR(VALUE(TRIM(MID(SUBSTITUTE(SUBSTITUTE(SUBSTITUTE(UPPER($P158)," ",""),"C",""),";",REPT(" ",30)),151,30))),0)+IFERROR(VALUE(TRIM(MID(SUBSTITUTE(SUBSTITUTE(SUBSTITUTE(UPPER($P158)," ",""),"C",""),";",REPT(" ",30)),181,30))),0)+IFERROR(VALUE(TRIM(MID(SUBSTITUTE(SUBSTITUTE(SUBSTITUTE(UPPER($P158)," ",""),"C",""),";",REPT(" ",30)),211,30))),0)))))</f>
        <v/>
      </c>
      <c r="S158" s="24" t="n"/>
      <c r="T158" s="8" t="n"/>
      <c r="U158" s="14" t="n"/>
      <c r="V158" s="25">
        <f>IF($C158="","",IF($E158="Falta","-",MAX(0,MIN(10,5+IFERROR(VALUE(TRIM(MID(SUBSTITUTE(SUBSTITUTE(SUBSTITUTE(UPPER($T158)," ",""),"P",""),";",REPT(" ",30)),1,30))),0)+IFERROR(VALUE(TRIM(MID(SUBSTITUTE(SUBSTITUTE(SUBSTITUTE(UPPER($T158)," ",""),"P",""),";",REPT(" ",30)),31,30))),0)+IFERROR(VALUE(TRIM(MID(SUBSTITUTE(SUBSTITUTE(SUBSTITUTE(UPPER($T158)," ",""),"P",""),";",REPT(" ",30)),61,30))),0)+IFERROR(VALUE(TRIM(MID(SUBSTITUTE(SUBSTITUTE(SUBSTITUTE(UPPER($T158)," ",""),"P",""),";",REPT(" ",30)),91,30))),0)+IFERROR(VALUE(TRIM(MID(SUBSTITUTE(SUBSTITUTE(SUBSTITUTE(UPPER($T158)," ",""),"P",""),";",REPT(" ",30)),121,30))),0)+IFERROR(VALUE(TRIM(MID(SUBSTITUTE(SUBSTITUTE(SUBSTITUTE(UPPER($T158)," ",""),"P",""),";",REPT(" ",30)),151,30))),0)+IFERROR(VALUE(TRIM(MID(SUBSTITUTE(SUBSTITUTE(SUBSTITUTE(UPPER($T158)," ",""),"P",""),";",REPT(" ",30)),181,30))),0)+IFERROR(VALUE(TRIM(MID(SUBSTITUTE(SUBSTITUTE(SUBSTITUTE(UPPER($T158)," ",""),"P",""),";",REPT(" ",30)),211,30))),0)))))</f>
        <v/>
      </c>
      <c r="W158" s="24" t="n"/>
      <c r="X158" s="14" t="n"/>
    </row>
    <row r="159">
      <c r="A159" s="6">
        <f>IF($C159="","",32)</f>
        <v/>
      </c>
      <c r="B159" s="6">
        <f>IF($C159="","","1ª Sessão")</f>
        <v/>
      </c>
      <c r="C159" s="6">
        <f>IF(Preenchimento!$B$41="","",Preenchimento!$B$41)</f>
        <v/>
      </c>
      <c r="D159" s="6">
        <f>IF($C159="","",IF(Preenchimento!$C$41="","-",Preenchimento!$C$41))</f>
        <v/>
      </c>
      <c r="E159" s="6" t="n"/>
      <c r="F159" s="6" t="n"/>
      <c r="G159" s="26" t="n"/>
      <c r="H159" s="6" t="n"/>
      <c r="I159" s="13" t="n"/>
      <c r="J159" s="27">
        <f>IF($C159="","",IF($E159="Falta","-",MAX(0,MIN(10,8+IFERROR(VALUE(TRIM(MID(SUBSTITUTE(SUBSTITUTE(SUBSTITUTE(UPPER($H159)," ",""),"D",""),";",REPT(" ",30)),1,30))),0)+IFERROR(VALUE(TRIM(MID(SUBSTITUTE(SUBSTITUTE(SUBSTITUTE(UPPER($H159)," ",""),"D",""),";",REPT(" ",30)),31,30))),0)+IFERROR(VALUE(TRIM(MID(SUBSTITUTE(SUBSTITUTE(SUBSTITUTE(UPPER($H159)," ",""),"D",""),";",REPT(" ",30)),61,30))),0)+IFERROR(VALUE(TRIM(MID(SUBSTITUTE(SUBSTITUTE(SUBSTITUTE(UPPER($H159)," ",""),"D",""),";",REPT(" ",30)),91,30))),0)+IFERROR(VALUE(TRIM(MID(SUBSTITUTE(SUBSTITUTE(SUBSTITUTE(UPPER($H159)," ",""),"D",""),";",REPT(" ",30)),121,30))),0)+IFERROR(VALUE(TRIM(MID(SUBSTITUTE(SUBSTITUTE(SUBSTITUTE(UPPER($H159)," ",""),"D",""),";",REPT(" ",30)),151,30))),0)+IFERROR(VALUE(TRIM(MID(SUBSTITUTE(SUBSTITUTE(SUBSTITUTE(UPPER($H159)," ",""),"D",""),";",REPT(" ",30)),181,30))),0)+IFERROR(VALUE(TRIM(MID(SUBSTITUTE(SUBSTITUTE(SUBSTITUTE(UPPER($H159)," ",""),"D",""),";",REPT(" ",30)),211,30))),0)))))</f>
        <v/>
      </c>
      <c r="K159" s="26" t="n"/>
      <c r="L159" s="6" t="n"/>
      <c r="M159" s="13" t="n"/>
      <c r="N159" s="27">
        <f>IF($C159="","",IF($E159="Falta","-",MAX(0,MIN(10,8+IFERROR(VALUE(TRIM(MID(SUBSTITUTE(SUBSTITUTE(SUBSTITUTE(UPPER($L159)," ",""),"F",""),";",REPT(" ",30)),1,30))),0)+IFERROR(VALUE(TRIM(MID(SUBSTITUTE(SUBSTITUTE(SUBSTITUTE(UPPER($L159)," ",""),"F",""),";",REPT(" ",30)),31,30))),0)+IFERROR(VALUE(TRIM(MID(SUBSTITUTE(SUBSTITUTE(SUBSTITUTE(UPPER($L159)," ",""),"F",""),";",REPT(" ",30)),61,30))),0)+IFERROR(VALUE(TRIM(MID(SUBSTITUTE(SUBSTITUTE(SUBSTITUTE(UPPER($L159)," ",""),"F",""),";",REPT(" ",30)),91,30))),0)+IFERROR(VALUE(TRIM(MID(SUBSTITUTE(SUBSTITUTE(SUBSTITUTE(UPPER($L159)," ",""),"F",""),";",REPT(" ",30)),121,30))),0)+IFERROR(VALUE(TRIM(MID(SUBSTITUTE(SUBSTITUTE(SUBSTITUTE(UPPER($L159)," ",""),"F",""),";",REPT(" ",30)),151,30))),0)+IFERROR(VALUE(TRIM(MID(SUBSTITUTE(SUBSTITUTE(SUBSTITUTE(UPPER($L159)," ",""),"F",""),";",REPT(" ",30)),181,30))),0)+IFERROR(VALUE(TRIM(MID(SUBSTITUTE(SUBSTITUTE(SUBSTITUTE(UPPER($L159)," ",""),"F",""),";",REPT(" ",30)),211,30))),0)))))</f>
        <v/>
      </c>
      <c r="O159" s="26" t="n"/>
      <c r="P159" s="6" t="n"/>
      <c r="Q159" s="13" t="n"/>
      <c r="R159" s="27">
        <f>IF($C159="","",IF($E159="Falta","-",MAX(0,MIN(10,5+IFERROR(VALUE(TRIM(MID(SUBSTITUTE(SUBSTITUTE(SUBSTITUTE(UPPER($P159)," ",""),"C",""),";",REPT(" ",30)),1,30))),0)+IFERROR(VALUE(TRIM(MID(SUBSTITUTE(SUBSTITUTE(SUBSTITUTE(UPPER($P159)," ",""),"C",""),";",REPT(" ",30)),31,30))),0)+IFERROR(VALUE(TRIM(MID(SUBSTITUTE(SUBSTITUTE(SUBSTITUTE(UPPER($P159)," ",""),"C",""),";",REPT(" ",30)),61,30))),0)+IFERROR(VALUE(TRIM(MID(SUBSTITUTE(SUBSTITUTE(SUBSTITUTE(UPPER($P159)," ",""),"C",""),";",REPT(" ",30)),91,30))),0)+IFERROR(VALUE(TRIM(MID(SUBSTITUTE(SUBSTITUTE(SUBSTITUTE(UPPER($P159)," ",""),"C",""),";",REPT(" ",30)),121,30))),0)+IFERROR(VALUE(TRIM(MID(SUBSTITUTE(SUBSTITUTE(SUBSTITUTE(UPPER($P159)," ",""),"C",""),";",REPT(" ",30)),151,30))),0)+IFERROR(VALUE(TRIM(MID(SUBSTITUTE(SUBSTITUTE(SUBSTITUTE(UPPER($P159)," ",""),"C",""),";",REPT(" ",30)),181,30))),0)+IFERROR(VALUE(TRIM(MID(SUBSTITUTE(SUBSTITUTE(SUBSTITUTE(UPPER($P159)," ",""),"C",""),";",REPT(" ",30)),211,30))),0)))))</f>
        <v/>
      </c>
      <c r="S159" s="26" t="n"/>
      <c r="T159" s="6" t="n"/>
      <c r="U159" s="13" t="n"/>
      <c r="V159" s="27">
        <f>IF($C159="","",IF($E159="Falta","-",MAX(0,MIN(10,5+IFERROR(VALUE(TRIM(MID(SUBSTITUTE(SUBSTITUTE(SUBSTITUTE(UPPER($T159)," ",""),"P",""),";",REPT(" ",30)),1,30))),0)+IFERROR(VALUE(TRIM(MID(SUBSTITUTE(SUBSTITUTE(SUBSTITUTE(UPPER($T159)," ",""),"P",""),";",REPT(" ",30)),31,30))),0)+IFERROR(VALUE(TRIM(MID(SUBSTITUTE(SUBSTITUTE(SUBSTITUTE(UPPER($T159)," ",""),"P",""),";",REPT(" ",30)),61,30))),0)+IFERROR(VALUE(TRIM(MID(SUBSTITUTE(SUBSTITUTE(SUBSTITUTE(UPPER($T159)," ",""),"P",""),";",REPT(" ",30)),91,30))),0)+IFERROR(VALUE(TRIM(MID(SUBSTITUTE(SUBSTITUTE(SUBSTITUTE(UPPER($T159)," ",""),"P",""),";",REPT(" ",30)),121,30))),0)+IFERROR(VALUE(TRIM(MID(SUBSTITUTE(SUBSTITUTE(SUBSTITUTE(UPPER($T159)," ",""),"P",""),";",REPT(" ",30)),151,30))),0)+IFERROR(VALUE(TRIM(MID(SUBSTITUTE(SUBSTITUTE(SUBSTITUTE(UPPER($T159)," ",""),"P",""),";",REPT(" ",30)),181,30))),0)+IFERROR(VALUE(TRIM(MID(SUBSTITUTE(SUBSTITUTE(SUBSTITUTE(UPPER($T159)," ",""),"P",""),";",REPT(" ",30)),211,30))),0)))))</f>
        <v/>
      </c>
      <c r="W159" s="26" t="n"/>
      <c r="X159" s="13" t="n"/>
    </row>
    <row r="160">
      <c r="A160" s="6">
        <f>IF($C160="","",32)</f>
        <v/>
      </c>
      <c r="B160" s="6">
        <f>IF($C160="","","2ª Sessão")</f>
        <v/>
      </c>
      <c r="C160" s="6">
        <f>IF(Preenchimento!$B$41="","",Preenchimento!$B$41)</f>
        <v/>
      </c>
      <c r="D160" s="6">
        <f>IF($C160="","",IF(Preenchimento!$C$41="","-",Preenchimento!$C$41))</f>
        <v/>
      </c>
      <c r="E160" s="6" t="n"/>
      <c r="F160" s="6" t="n"/>
      <c r="G160" s="26" t="n"/>
      <c r="H160" s="6" t="n"/>
      <c r="I160" s="13" t="n"/>
      <c r="J160" s="27">
        <f>IF($C160="","",IF($E160="Falta","-",MAX(0,MIN(10,8+IFERROR(VALUE(TRIM(MID(SUBSTITUTE(SUBSTITUTE(SUBSTITUTE(UPPER($H160)," ",""),"D",""),";",REPT(" ",30)),1,30))),0)+IFERROR(VALUE(TRIM(MID(SUBSTITUTE(SUBSTITUTE(SUBSTITUTE(UPPER($H160)," ",""),"D",""),";",REPT(" ",30)),31,30))),0)+IFERROR(VALUE(TRIM(MID(SUBSTITUTE(SUBSTITUTE(SUBSTITUTE(UPPER($H160)," ",""),"D",""),";",REPT(" ",30)),61,30))),0)+IFERROR(VALUE(TRIM(MID(SUBSTITUTE(SUBSTITUTE(SUBSTITUTE(UPPER($H160)," ",""),"D",""),";",REPT(" ",30)),91,30))),0)+IFERROR(VALUE(TRIM(MID(SUBSTITUTE(SUBSTITUTE(SUBSTITUTE(UPPER($H160)," ",""),"D",""),";",REPT(" ",30)),121,30))),0)+IFERROR(VALUE(TRIM(MID(SUBSTITUTE(SUBSTITUTE(SUBSTITUTE(UPPER($H160)," ",""),"D",""),";",REPT(" ",30)),151,30))),0)+IFERROR(VALUE(TRIM(MID(SUBSTITUTE(SUBSTITUTE(SUBSTITUTE(UPPER($H160)," ",""),"D",""),";",REPT(" ",30)),181,30))),0)+IFERROR(VALUE(TRIM(MID(SUBSTITUTE(SUBSTITUTE(SUBSTITUTE(UPPER($H160)," ",""),"D",""),";",REPT(" ",30)),211,30))),0)))))</f>
        <v/>
      </c>
      <c r="K160" s="26" t="n"/>
      <c r="L160" s="6" t="n"/>
      <c r="M160" s="13" t="n"/>
      <c r="N160" s="27">
        <f>IF($C160="","",IF($E160="Falta","-",MAX(0,MIN(10,8+IFERROR(VALUE(TRIM(MID(SUBSTITUTE(SUBSTITUTE(SUBSTITUTE(UPPER($L160)," ",""),"F",""),";",REPT(" ",30)),1,30))),0)+IFERROR(VALUE(TRIM(MID(SUBSTITUTE(SUBSTITUTE(SUBSTITUTE(UPPER($L160)," ",""),"F",""),";",REPT(" ",30)),31,30))),0)+IFERROR(VALUE(TRIM(MID(SUBSTITUTE(SUBSTITUTE(SUBSTITUTE(UPPER($L160)," ",""),"F",""),";",REPT(" ",30)),61,30))),0)+IFERROR(VALUE(TRIM(MID(SUBSTITUTE(SUBSTITUTE(SUBSTITUTE(UPPER($L160)," ",""),"F",""),";",REPT(" ",30)),91,30))),0)+IFERROR(VALUE(TRIM(MID(SUBSTITUTE(SUBSTITUTE(SUBSTITUTE(UPPER($L160)," ",""),"F",""),";",REPT(" ",30)),121,30))),0)+IFERROR(VALUE(TRIM(MID(SUBSTITUTE(SUBSTITUTE(SUBSTITUTE(UPPER($L160)," ",""),"F",""),";",REPT(" ",30)),151,30))),0)+IFERROR(VALUE(TRIM(MID(SUBSTITUTE(SUBSTITUTE(SUBSTITUTE(UPPER($L160)," ",""),"F",""),";",REPT(" ",30)),181,30))),0)+IFERROR(VALUE(TRIM(MID(SUBSTITUTE(SUBSTITUTE(SUBSTITUTE(UPPER($L160)," ",""),"F",""),";",REPT(" ",30)),211,30))),0)))))</f>
        <v/>
      </c>
      <c r="O160" s="26" t="n"/>
      <c r="P160" s="6" t="n"/>
      <c r="Q160" s="13" t="n"/>
      <c r="R160" s="27">
        <f>IF($C160="","",IF($E160="Falta","-",MAX(0,MIN(10,5+IFERROR(VALUE(TRIM(MID(SUBSTITUTE(SUBSTITUTE(SUBSTITUTE(UPPER($P160)," ",""),"C",""),";",REPT(" ",30)),1,30))),0)+IFERROR(VALUE(TRIM(MID(SUBSTITUTE(SUBSTITUTE(SUBSTITUTE(UPPER($P160)," ",""),"C",""),";",REPT(" ",30)),31,30))),0)+IFERROR(VALUE(TRIM(MID(SUBSTITUTE(SUBSTITUTE(SUBSTITUTE(UPPER($P160)," ",""),"C",""),";",REPT(" ",30)),61,30))),0)+IFERROR(VALUE(TRIM(MID(SUBSTITUTE(SUBSTITUTE(SUBSTITUTE(UPPER($P160)," ",""),"C",""),";",REPT(" ",30)),91,30))),0)+IFERROR(VALUE(TRIM(MID(SUBSTITUTE(SUBSTITUTE(SUBSTITUTE(UPPER($P160)," ",""),"C",""),";",REPT(" ",30)),121,30))),0)+IFERROR(VALUE(TRIM(MID(SUBSTITUTE(SUBSTITUTE(SUBSTITUTE(UPPER($P160)," ",""),"C",""),";",REPT(" ",30)),151,30))),0)+IFERROR(VALUE(TRIM(MID(SUBSTITUTE(SUBSTITUTE(SUBSTITUTE(UPPER($P160)," ",""),"C",""),";",REPT(" ",30)),181,30))),0)+IFERROR(VALUE(TRIM(MID(SUBSTITUTE(SUBSTITUTE(SUBSTITUTE(UPPER($P160)," ",""),"C",""),";",REPT(" ",30)),211,30))),0)))))</f>
        <v/>
      </c>
      <c r="S160" s="26" t="n"/>
      <c r="T160" s="6" t="n"/>
      <c r="U160" s="13" t="n"/>
      <c r="V160" s="27">
        <f>IF($C160="","",IF($E160="Falta","-",MAX(0,MIN(10,5+IFERROR(VALUE(TRIM(MID(SUBSTITUTE(SUBSTITUTE(SUBSTITUTE(UPPER($T160)," ",""),"P",""),";",REPT(" ",30)),1,30))),0)+IFERROR(VALUE(TRIM(MID(SUBSTITUTE(SUBSTITUTE(SUBSTITUTE(UPPER($T160)," ",""),"P",""),";",REPT(" ",30)),31,30))),0)+IFERROR(VALUE(TRIM(MID(SUBSTITUTE(SUBSTITUTE(SUBSTITUTE(UPPER($T160)," ",""),"P",""),";",REPT(" ",30)),61,30))),0)+IFERROR(VALUE(TRIM(MID(SUBSTITUTE(SUBSTITUTE(SUBSTITUTE(UPPER($T160)," ",""),"P",""),";",REPT(" ",30)),91,30))),0)+IFERROR(VALUE(TRIM(MID(SUBSTITUTE(SUBSTITUTE(SUBSTITUTE(UPPER($T160)," ",""),"P",""),";",REPT(" ",30)),121,30))),0)+IFERROR(VALUE(TRIM(MID(SUBSTITUTE(SUBSTITUTE(SUBSTITUTE(UPPER($T160)," ",""),"P",""),";",REPT(" ",30)),151,30))),0)+IFERROR(VALUE(TRIM(MID(SUBSTITUTE(SUBSTITUTE(SUBSTITUTE(UPPER($T160)," ",""),"P",""),";",REPT(" ",30)),181,30))),0)+IFERROR(VALUE(TRIM(MID(SUBSTITUTE(SUBSTITUTE(SUBSTITUTE(UPPER($T160)," ",""),"P",""),";",REPT(" ",30)),211,30))),0)))))</f>
        <v/>
      </c>
      <c r="W160" s="26" t="n"/>
      <c r="X160" s="13" t="n"/>
    </row>
    <row r="161">
      <c r="A161" s="6">
        <f>IF($C161="","",32)</f>
        <v/>
      </c>
      <c r="B161" s="6">
        <f>IF($C161="","","3ª Sessão")</f>
        <v/>
      </c>
      <c r="C161" s="6">
        <f>IF(Preenchimento!$B$41="","",Preenchimento!$B$41)</f>
        <v/>
      </c>
      <c r="D161" s="6">
        <f>IF($C161="","",IF(Preenchimento!$C$41="","-",Preenchimento!$C$41))</f>
        <v/>
      </c>
      <c r="E161" s="6" t="n"/>
      <c r="F161" s="6" t="n"/>
      <c r="G161" s="26" t="n"/>
      <c r="H161" s="6" t="n"/>
      <c r="I161" s="13" t="n"/>
      <c r="J161" s="27">
        <f>IF($C161="","",IF($E161="Falta","-",MAX(0,MIN(10,8+IFERROR(VALUE(TRIM(MID(SUBSTITUTE(SUBSTITUTE(SUBSTITUTE(UPPER($H161)," ",""),"D",""),";",REPT(" ",30)),1,30))),0)+IFERROR(VALUE(TRIM(MID(SUBSTITUTE(SUBSTITUTE(SUBSTITUTE(UPPER($H161)," ",""),"D",""),";",REPT(" ",30)),31,30))),0)+IFERROR(VALUE(TRIM(MID(SUBSTITUTE(SUBSTITUTE(SUBSTITUTE(UPPER($H161)," ",""),"D",""),";",REPT(" ",30)),61,30))),0)+IFERROR(VALUE(TRIM(MID(SUBSTITUTE(SUBSTITUTE(SUBSTITUTE(UPPER($H161)," ",""),"D",""),";",REPT(" ",30)),91,30))),0)+IFERROR(VALUE(TRIM(MID(SUBSTITUTE(SUBSTITUTE(SUBSTITUTE(UPPER($H161)," ",""),"D",""),";",REPT(" ",30)),121,30))),0)+IFERROR(VALUE(TRIM(MID(SUBSTITUTE(SUBSTITUTE(SUBSTITUTE(UPPER($H161)," ",""),"D",""),";",REPT(" ",30)),151,30))),0)+IFERROR(VALUE(TRIM(MID(SUBSTITUTE(SUBSTITUTE(SUBSTITUTE(UPPER($H161)," ",""),"D",""),";",REPT(" ",30)),181,30))),0)+IFERROR(VALUE(TRIM(MID(SUBSTITUTE(SUBSTITUTE(SUBSTITUTE(UPPER($H161)," ",""),"D",""),";",REPT(" ",30)),211,30))),0)))))</f>
        <v/>
      </c>
      <c r="K161" s="26" t="n"/>
      <c r="L161" s="6" t="n"/>
      <c r="M161" s="13" t="n"/>
      <c r="N161" s="27">
        <f>IF($C161="","",IF($E161="Falta","-",MAX(0,MIN(10,8+IFERROR(VALUE(TRIM(MID(SUBSTITUTE(SUBSTITUTE(SUBSTITUTE(UPPER($L161)," ",""),"F",""),";",REPT(" ",30)),1,30))),0)+IFERROR(VALUE(TRIM(MID(SUBSTITUTE(SUBSTITUTE(SUBSTITUTE(UPPER($L161)," ",""),"F",""),";",REPT(" ",30)),31,30))),0)+IFERROR(VALUE(TRIM(MID(SUBSTITUTE(SUBSTITUTE(SUBSTITUTE(UPPER($L161)," ",""),"F",""),";",REPT(" ",30)),61,30))),0)+IFERROR(VALUE(TRIM(MID(SUBSTITUTE(SUBSTITUTE(SUBSTITUTE(UPPER($L161)," ",""),"F",""),";",REPT(" ",30)),91,30))),0)+IFERROR(VALUE(TRIM(MID(SUBSTITUTE(SUBSTITUTE(SUBSTITUTE(UPPER($L161)," ",""),"F",""),";",REPT(" ",30)),121,30))),0)+IFERROR(VALUE(TRIM(MID(SUBSTITUTE(SUBSTITUTE(SUBSTITUTE(UPPER($L161)," ",""),"F",""),";",REPT(" ",30)),151,30))),0)+IFERROR(VALUE(TRIM(MID(SUBSTITUTE(SUBSTITUTE(SUBSTITUTE(UPPER($L161)," ",""),"F",""),";",REPT(" ",30)),181,30))),0)+IFERROR(VALUE(TRIM(MID(SUBSTITUTE(SUBSTITUTE(SUBSTITUTE(UPPER($L161)," ",""),"F",""),";",REPT(" ",30)),211,30))),0)))))</f>
        <v/>
      </c>
      <c r="O161" s="26" t="n"/>
      <c r="P161" s="6" t="n"/>
      <c r="Q161" s="13" t="n"/>
      <c r="R161" s="27">
        <f>IF($C161="","",IF($E161="Falta","-",MAX(0,MIN(10,5+IFERROR(VALUE(TRIM(MID(SUBSTITUTE(SUBSTITUTE(SUBSTITUTE(UPPER($P161)," ",""),"C",""),";",REPT(" ",30)),1,30))),0)+IFERROR(VALUE(TRIM(MID(SUBSTITUTE(SUBSTITUTE(SUBSTITUTE(UPPER($P161)," ",""),"C",""),";",REPT(" ",30)),31,30))),0)+IFERROR(VALUE(TRIM(MID(SUBSTITUTE(SUBSTITUTE(SUBSTITUTE(UPPER($P161)," ",""),"C",""),";",REPT(" ",30)),61,30))),0)+IFERROR(VALUE(TRIM(MID(SUBSTITUTE(SUBSTITUTE(SUBSTITUTE(UPPER($P161)," ",""),"C",""),";",REPT(" ",30)),91,30))),0)+IFERROR(VALUE(TRIM(MID(SUBSTITUTE(SUBSTITUTE(SUBSTITUTE(UPPER($P161)," ",""),"C",""),";",REPT(" ",30)),121,30))),0)+IFERROR(VALUE(TRIM(MID(SUBSTITUTE(SUBSTITUTE(SUBSTITUTE(UPPER($P161)," ",""),"C",""),";",REPT(" ",30)),151,30))),0)+IFERROR(VALUE(TRIM(MID(SUBSTITUTE(SUBSTITUTE(SUBSTITUTE(UPPER($P161)," ",""),"C",""),";",REPT(" ",30)),181,30))),0)+IFERROR(VALUE(TRIM(MID(SUBSTITUTE(SUBSTITUTE(SUBSTITUTE(UPPER($P161)," ",""),"C",""),";",REPT(" ",30)),211,30))),0)))))</f>
        <v/>
      </c>
      <c r="S161" s="26" t="n"/>
      <c r="T161" s="6" t="n"/>
      <c r="U161" s="13" t="n"/>
      <c r="V161" s="27">
        <f>IF($C161="","",IF($E161="Falta","-",MAX(0,MIN(10,5+IFERROR(VALUE(TRIM(MID(SUBSTITUTE(SUBSTITUTE(SUBSTITUTE(UPPER($T161)," ",""),"P",""),";",REPT(" ",30)),1,30))),0)+IFERROR(VALUE(TRIM(MID(SUBSTITUTE(SUBSTITUTE(SUBSTITUTE(UPPER($T161)," ",""),"P",""),";",REPT(" ",30)),31,30))),0)+IFERROR(VALUE(TRIM(MID(SUBSTITUTE(SUBSTITUTE(SUBSTITUTE(UPPER($T161)," ",""),"P",""),";",REPT(" ",30)),61,30))),0)+IFERROR(VALUE(TRIM(MID(SUBSTITUTE(SUBSTITUTE(SUBSTITUTE(UPPER($T161)," ",""),"P",""),";",REPT(" ",30)),91,30))),0)+IFERROR(VALUE(TRIM(MID(SUBSTITUTE(SUBSTITUTE(SUBSTITUTE(UPPER($T161)," ",""),"P",""),";",REPT(" ",30)),121,30))),0)+IFERROR(VALUE(TRIM(MID(SUBSTITUTE(SUBSTITUTE(SUBSTITUTE(UPPER($T161)," ",""),"P",""),";",REPT(" ",30)),151,30))),0)+IFERROR(VALUE(TRIM(MID(SUBSTITUTE(SUBSTITUTE(SUBSTITUTE(UPPER($T161)," ",""),"P",""),";",REPT(" ",30)),181,30))),0)+IFERROR(VALUE(TRIM(MID(SUBSTITUTE(SUBSTITUTE(SUBSTITUTE(UPPER($T161)," ",""),"P",""),";",REPT(" ",30)),211,30))),0)))))</f>
        <v/>
      </c>
      <c r="W161" s="26" t="n"/>
      <c r="X161" s="13" t="n"/>
    </row>
    <row r="162">
      <c r="A162" s="6">
        <f>IF($C162="","",32)</f>
        <v/>
      </c>
      <c r="B162" s="6">
        <f>IF($C162="","","4ª Sessão")</f>
        <v/>
      </c>
      <c r="C162" s="6">
        <f>IF(Preenchimento!$B$41="","",Preenchimento!$B$41)</f>
        <v/>
      </c>
      <c r="D162" s="6">
        <f>IF($C162="","",IF(Preenchimento!$C$41="","-",Preenchimento!$C$41))</f>
        <v/>
      </c>
      <c r="E162" s="6" t="n"/>
      <c r="F162" s="6" t="n"/>
      <c r="G162" s="26" t="n"/>
      <c r="H162" s="6" t="n"/>
      <c r="I162" s="13" t="n"/>
      <c r="J162" s="27">
        <f>IF($C162="","",IF($E162="Falta","-",MAX(0,MIN(10,8+IFERROR(VALUE(TRIM(MID(SUBSTITUTE(SUBSTITUTE(SUBSTITUTE(UPPER($H162)," ",""),"D",""),";",REPT(" ",30)),1,30))),0)+IFERROR(VALUE(TRIM(MID(SUBSTITUTE(SUBSTITUTE(SUBSTITUTE(UPPER($H162)," ",""),"D",""),";",REPT(" ",30)),31,30))),0)+IFERROR(VALUE(TRIM(MID(SUBSTITUTE(SUBSTITUTE(SUBSTITUTE(UPPER($H162)," ",""),"D",""),";",REPT(" ",30)),61,30))),0)+IFERROR(VALUE(TRIM(MID(SUBSTITUTE(SUBSTITUTE(SUBSTITUTE(UPPER($H162)," ",""),"D",""),";",REPT(" ",30)),91,30))),0)+IFERROR(VALUE(TRIM(MID(SUBSTITUTE(SUBSTITUTE(SUBSTITUTE(UPPER($H162)," ",""),"D",""),";",REPT(" ",30)),121,30))),0)+IFERROR(VALUE(TRIM(MID(SUBSTITUTE(SUBSTITUTE(SUBSTITUTE(UPPER($H162)," ",""),"D",""),";",REPT(" ",30)),151,30))),0)+IFERROR(VALUE(TRIM(MID(SUBSTITUTE(SUBSTITUTE(SUBSTITUTE(UPPER($H162)," ",""),"D",""),";",REPT(" ",30)),181,30))),0)+IFERROR(VALUE(TRIM(MID(SUBSTITUTE(SUBSTITUTE(SUBSTITUTE(UPPER($H162)," ",""),"D",""),";",REPT(" ",30)),211,30))),0)))))</f>
        <v/>
      </c>
      <c r="K162" s="26" t="n"/>
      <c r="L162" s="6" t="n"/>
      <c r="M162" s="13" t="n"/>
      <c r="N162" s="27">
        <f>IF($C162="","",IF($E162="Falta","-",MAX(0,MIN(10,8+IFERROR(VALUE(TRIM(MID(SUBSTITUTE(SUBSTITUTE(SUBSTITUTE(UPPER($L162)," ",""),"F",""),";",REPT(" ",30)),1,30))),0)+IFERROR(VALUE(TRIM(MID(SUBSTITUTE(SUBSTITUTE(SUBSTITUTE(UPPER($L162)," ",""),"F",""),";",REPT(" ",30)),31,30))),0)+IFERROR(VALUE(TRIM(MID(SUBSTITUTE(SUBSTITUTE(SUBSTITUTE(UPPER($L162)," ",""),"F",""),";",REPT(" ",30)),61,30))),0)+IFERROR(VALUE(TRIM(MID(SUBSTITUTE(SUBSTITUTE(SUBSTITUTE(UPPER($L162)," ",""),"F",""),";",REPT(" ",30)),91,30))),0)+IFERROR(VALUE(TRIM(MID(SUBSTITUTE(SUBSTITUTE(SUBSTITUTE(UPPER($L162)," ",""),"F",""),";",REPT(" ",30)),121,30))),0)+IFERROR(VALUE(TRIM(MID(SUBSTITUTE(SUBSTITUTE(SUBSTITUTE(UPPER($L162)," ",""),"F",""),";",REPT(" ",30)),151,30))),0)+IFERROR(VALUE(TRIM(MID(SUBSTITUTE(SUBSTITUTE(SUBSTITUTE(UPPER($L162)," ",""),"F",""),";",REPT(" ",30)),181,30))),0)+IFERROR(VALUE(TRIM(MID(SUBSTITUTE(SUBSTITUTE(SUBSTITUTE(UPPER($L162)," ",""),"F",""),";",REPT(" ",30)),211,30))),0)))))</f>
        <v/>
      </c>
      <c r="O162" s="26" t="n"/>
      <c r="P162" s="6" t="n"/>
      <c r="Q162" s="13" t="n"/>
      <c r="R162" s="27">
        <f>IF($C162="","",IF($E162="Falta","-",MAX(0,MIN(10,5+IFERROR(VALUE(TRIM(MID(SUBSTITUTE(SUBSTITUTE(SUBSTITUTE(UPPER($P162)," ",""),"C",""),";",REPT(" ",30)),1,30))),0)+IFERROR(VALUE(TRIM(MID(SUBSTITUTE(SUBSTITUTE(SUBSTITUTE(UPPER($P162)," ",""),"C",""),";",REPT(" ",30)),31,30))),0)+IFERROR(VALUE(TRIM(MID(SUBSTITUTE(SUBSTITUTE(SUBSTITUTE(UPPER($P162)," ",""),"C",""),";",REPT(" ",30)),61,30))),0)+IFERROR(VALUE(TRIM(MID(SUBSTITUTE(SUBSTITUTE(SUBSTITUTE(UPPER($P162)," ",""),"C",""),";",REPT(" ",30)),91,30))),0)+IFERROR(VALUE(TRIM(MID(SUBSTITUTE(SUBSTITUTE(SUBSTITUTE(UPPER($P162)," ",""),"C",""),";",REPT(" ",30)),121,30))),0)+IFERROR(VALUE(TRIM(MID(SUBSTITUTE(SUBSTITUTE(SUBSTITUTE(UPPER($P162)," ",""),"C",""),";",REPT(" ",30)),151,30))),0)+IFERROR(VALUE(TRIM(MID(SUBSTITUTE(SUBSTITUTE(SUBSTITUTE(UPPER($P162)," ",""),"C",""),";",REPT(" ",30)),181,30))),0)+IFERROR(VALUE(TRIM(MID(SUBSTITUTE(SUBSTITUTE(SUBSTITUTE(UPPER($P162)," ",""),"C",""),";",REPT(" ",30)),211,30))),0)))))</f>
        <v/>
      </c>
      <c r="S162" s="26" t="n"/>
      <c r="T162" s="6" t="n"/>
      <c r="U162" s="13" t="n"/>
      <c r="V162" s="27">
        <f>IF($C162="","",IF($E162="Falta","-",MAX(0,MIN(10,5+IFERROR(VALUE(TRIM(MID(SUBSTITUTE(SUBSTITUTE(SUBSTITUTE(UPPER($T162)," ",""),"P",""),";",REPT(" ",30)),1,30))),0)+IFERROR(VALUE(TRIM(MID(SUBSTITUTE(SUBSTITUTE(SUBSTITUTE(UPPER($T162)," ",""),"P",""),";",REPT(" ",30)),31,30))),0)+IFERROR(VALUE(TRIM(MID(SUBSTITUTE(SUBSTITUTE(SUBSTITUTE(UPPER($T162)," ",""),"P",""),";",REPT(" ",30)),61,30))),0)+IFERROR(VALUE(TRIM(MID(SUBSTITUTE(SUBSTITUTE(SUBSTITUTE(UPPER($T162)," ",""),"P",""),";",REPT(" ",30)),91,30))),0)+IFERROR(VALUE(TRIM(MID(SUBSTITUTE(SUBSTITUTE(SUBSTITUTE(UPPER($T162)," ",""),"P",""),";",REPT(" ",30)),121,30))),0)+IFERROR(VALUE(TRIM(MID(SUBSTITUTE(SUBSTITUTE(SUBSTITUTE(UPPER($T162)," ",""),"P",""),";",REPT(" ",30)),151,30))),0)+IFERROR(VALUE(TRIM(MID(SUBSTITUTE(SUBSTITUTE(SUBSTITUTE(UPPER($T162)," ",""),"P",""),";",REPT(" ",30)),181,30))),0)+IFERROR(VALUE(TRIM(MID(SUBSTITUTE(SUBSTITUTE(SUBSTITUTE(UPPER($T162)," ",""),"P",""),";",REPT(" ",30)),211,30))),0)))))</f>
        <v/>
      </c>
      <c r="W162" s="26" t="n"/>
      <c r="X162" s="13" t="n"/>
    </row>
    <row r="163">
      <c r="A163" s="6">
        <f>IF($C163="","",32)</f>
        <v/>
      </c>
      <c r="B163" s="6">
        <f>IF($C163="","","5ª Sessão")</f>
        <v/>
      </c>
      <c r="C163" s="6">
        <f>IF(Preenchimento!$B$41="","",Preenchimento!$B$41)</f>
        <v/>
      </c>
      <c r="D163" s="6">
        <f>IF($C163="","",IF(Preenchimento!$C$41="","-",Preenchimento!$C$41))</f>
        <v/>
      </c>
      <c r="E163" s="6" t="n"/>
      <c r="F163" s="6" t="n"/>
      <c r="G163" s="26" t="n"/>
      <c r="H163" s="6" t="n"/>
      <c r="I163" s="13" t="n"/>
      <c r="J163" s="27">
        <f>IF($C163="","",IF($E163="Falta","-",MAX(0,MIN(10,8+IFERROR(VALUE(TRIM(MID(SUBSTITUTE(SUBSTITUTE(SUBSTITUTE(UPPER($H163)," ",""),"D",""),";",REPT(" ",30)),1,30))),0)+IFERROR(VALUE(TRIM(MID(SUBSTITUTE(SUBSTITUTE(SUBSTITUTE(UPPER($H163)," ",""),"D",""),";",REPT(" ",30)),31,30))),0)+IFERROR(VALUE(TRIM(MID(SUBSTITUTE(SUBSTITUTE(SUBSTITUTE(UPPER($H163)," ",""),"D",""),";",REPT(" ",30)),61,30))),0)+IFERROR(VALUE(TRIM(MID(SUBSTITUTE(SUBSTITUTE(SUBSTITUTE(UPPER($H163)," ",""),"D",""),";",REPT(" ",30)),91,30))),0)+IFERROR(VALUE(TRIM(MID(SUBSTITUTE(SUBSTITUTE(SUBSTITUTE(UPPER($H163)," ",""),"D",""),";",REPT(" ",30)),121,30))),0)+IFERROR(VALUE(TRIM(MID(SUBSTITUTE(SUBSTITUTE(SUBSTITUTE(UPPER($H163)," ",""),"D",""),";",REPT(" ",30)),151,30))),0)+IFERROR(VALUE(TRIM(MID(SUBSTITUTE(SUBSTITUTE(SUBSTITUTE(UPPER($H163)," ",""),"D",""),";",REPT(" ",30)),181,30))),0)+IFERROR(VALUE(TRIM(MID(SUBSTITUTE(SUBSTITUTE(SUBSTITUTE(UPPER($H163)," ",""),"D",""),";",REPT(" ",30)),211,30))),0)))))</f>
        <v/>
      </c>
      <c r="K163" s="26" t="n"/>
      <c r="L163" s="6" t="n"/>
      <c r="M163" s="13" t="n"/>
      <c r="N163" s="27">
        <f>IF($C163="","",IF($E163="Falta","-",MAX(0,MIN(10,8+IFERROR(VALUE(TRIM(MID(SUBSTITUTE(SUBSTITUTE(SUBSTITUTE(UPPER($L163)," ",""),"F",""),";",REPT(" ",30)),1,30))),0)+IFERROR(VALUE(TRIM(MID(SUBSTITUTE(SUBSTITUTE(SUBSTITUTE(UPPER($L163)," ",""),"F",""),";",REPT(" ",30)),31,30))),0)+IFERROR(VALUE(TRIM(MID(SUBSTITUTE(SUBSTITUTE(SUBSTITUTE(UPPER($L163)," ",""),"F",""),";",REPT(" ",30)),61,30))),0)+IFERROR(VALUE(TRIM(MID(SUBSTITUTE(SUBSTITUTE(SUBSTITUTE(UPPER($L163)," ",""),"F",""),";",REPT(" ",30)),91,30))),0)+IFERROR(VALUE(TRIM(MID(SUBSTITUTE(SUBSTITUTE(SUBSTITUTE(UPPER($L163)," ",""),"F",""),";",REPT(" ",30)),121,30))),0)+IFERROR(VALUE(TRIM(MID(SUBSTITUTE(SUBSTITUTE(SUBSTITUTE(UPPER($L163)," ",""),"F",""),";",REPT(" ",30)),151,30))),0)+IFERROR(VALUE(TRIM(MID(SUBSTITUTE(SUBSTITUTE(SUBSTITUTE(UPPER($L163)," ",""),"F",""),";",REPT(" ",30)),181,30))),0)+IFERROR(VALUE(TRIM(MID(SUBSTITUTE(SUBSTITUTE(SUBSTITUTE(UPPER($L163)," ",""),"F",""),";",REPT(" ",30)),211,30))),0)))))</f>
        <v/>
      </c>
      <c r="O163" s="26" t="n"/>
      <c r="P163" s="6" t="n"/>
      <c r="Q163" s="13" t="n"/>
      <c r="R163" s="27">
        <f>IF($C163="","",IF($E163="Falta","-",MAX(0,MIN(10,5+IFERROR(VALUE(TRIM(MID(SUBSTITUTE(SUBSTITUTE(SUBSTITUTE(UPPER($P163)," ",""),"C",""),";",REPT(" ",30)),1,30))),0)+IFERROR(VALUE(TRIM(MID(SUBSTITUTE(SUBSTITUTE(SUBSTITUTE(UPPER($P163)," ",""),"C",""),";",REPT(" ",30)),31,30))),0)+IFERROR(VALUE(TRIM(MID(SUBSTITUTE(SUBSTITUTE(SUBSTITUTE(UPPER($P163)," ",""),"C",""),";",REPT(" ",30)),61,30))),0)+IFERROR(VALUE(TRIM(MID(SUBSTITUTE(SUBSTITUTE(SUBSTITUTE(UPPER($P163)," ",""),"C",""),";",REPT(" ",30)),91,30))),0)+IFERROR(VALUE(TRIM(MID(SUBSTITUTE(SUBSTITUTE(SUBSTITUTE(UPPER($P163)," ",""),"C",""),";",REPT(" ",30)),121,30))),0)+IFERROR(VALUE(TRIM(MID(SUBSTITUTE(SUBSTITUTE(SUBSTITUTE(UPPER($P163)," ",""),"C",""),";",REPT(" ",30)),151,30))),0)+IFERROR(VALUE(TRIM(MID(SUBSTITUTE(SUBSTITUTE(SUBSTITUTE(UPPER($P163)," ",""),"C",""),";",REPT(" ",30)),181,30))),0)+IFERROR(VALUE(TRIM(MID(SUBSTITUTE(SUBSTITUTE(SUBSTITUTE(UPPER($P163)," ",""),"C",""),";",REPT(" ",30)),211,30))),0)))))</f>
        <v/>
      </c>
      <c r="S163" s="26" t="n"/>
      <c r="T163" s="6" t="n"/>
      <c r="U163" s="13" t="n"/>
      <c r="V163" s="27">
        <f>IF($C163="","",IF($E163="Falta","-",MAX(0,MIN(10,5+IFERROR(VALUE(TRIM(MID(SUBSTITUTE(SUBSTITUTE(SUBSTITUTE(UPPER($T163)," ",""),"P",""),";",REPT(" ",30)),1,30))),0)+IFERROR(VALUE(TRIM(MID(SUBSTITUTE(SUBSTITUTE(SUBSTITUTE(UPPER($T163)," ",""),"P",""),";",REPT(" ",30)),31,30))),0)+IFERROR(VALUE(TRIM(MID(SUBSTITUTE(SUBSTITUTE(SUBSTITUTE(UPPER($T163)," ",""),"P",""),";",REPT(" ",30)),61,30))),0)+IFERROR(VALUE(TRIM(MID(SUBSTITUTE(SUBSTITUTE(SUBSTITUTE(UPPER($T163)," ",""),"P",""),";",REPT(" ",30)),91,30))),0)+IFERROR(VALUE(TRIM(MID(SUBSTITUTE(SUBSTITUTE(SUBSTITUTE(UPPER($T163)," ",""),"P",""),";",REPT(" ",30)),121,30))),0)+IFERROR(VALUE(TRIM(MID(SUBSTITUTE(SUBSTITUTE(SUBSTITUTE(UPPER($T163)," ",""),"P",""),";",REPT(" ",30)),151,30))),0)+IFERROR(VALUE(TRIM(MID(SUBSTITUTE(SUBSTITUTE(SUBSTITUTE(UPPER($T163)," ",""),"P",""),";",REPT(" ",30)),181,30))),0)+IFERROR(VALUE(TRIM(MID(SUBSTITUTE(SUBSTITUTE(SUBSTITUTE(UPPER($T163)," ",""),"P",""),";",REPT(" ",30)),211,30))),0)))))</f>
        <v/>
      </c>
      <c r="W163" s="26" t="n"/>
      <c r="X163" s="13" t="n"/>
    </row>
    <row r="164">
      <c r="A164" s="8">
        <f>IF($C164="","",33)</f>
        <v/>
      </c>
      <c r="B164" s="8">
        <f>IF($C164="","","1ª Sessão")</f>
        <v/>
      </c>
      <c r="C164" s="8">
        <f>IF(Preenchimento!$B$42="","",Preenchimento!$B$42)</f>
        <v/>
      </c>
      <c r="D164" s="8">
        <f>IF($C164="","",IF(Preenchimento!$C$42="","-",Preenchimento!$C$42))</f>
        <v/>
      </c>
      <c r="E164" s="8" t="n"/>
      <c r="F164" s="8" t="n"/>
      <c r="G164" s="24" t="n"/>
      <c r="H164" s="8" t="n"/>
      <c r="I164" s="14" t="n"/>
      <c r="J164" s="25">
        <f>IF($C164="","",IF($E164="Falta","-",MAX(0,MIN(10,8+IFERROR(VALUE(TRIM(MID(SUBSTITUTE(SUBSTITUTE(SUBSTITUTE(UPPER($H164)," ",""),"D",""),";",REPT(" ",30)),1,30))),0)+IFERROR(VALUE(TRIM(MID(SUBSTITUTE(SUBSTITUTE(SUBSTITUTE(UPPER($H164)," ",""),"D",""),";",REPT(" ",30)),31,30))),0)+IFERROR(VALUE(TRIM(MID(SUBSTITUTE(SUBSTITUTE(SUBSTITUTE(UPPER($H164)," ",""),"D",""),";",REPT(" ",30)),61,30))),0)+IFERROR(VALUE(TRIM(MID(SUBSTITUTE(SUBSTITUTE(SUBSTITUTE(UPPER($H164)," ",""),"D",""),";",REPT(" ",30)),91,30))),0)+IFERROR(VALUE(TRIM(MID(SUBSTITUTE(SUBSTITUTE(SUBSTITUTE(UPPER($H164)," ",""),"D",""),";",REPT(" ",30)),121,30))),0)+IFERROR(VALUE(TRIM(MID(SUBSTITUTE(SUBSTITUTE(SUBSTITUTE(UPPER($H164)," ",""),"D",""),";",REPT(" ",30)),151,30))),0)+IFERROR(VALUE(TRIM(MID(SUBSTITUTE(SUBSTITUTE(SUBSTITUTE(UPPER($H164)," ",""),"D",""),";",REPT(" ",30)),181,30))),0)+IFERROR(VALUE(TRIM(MID(SUBSTITUTE(SUBSTITUTE(SUBSTITUTE(UPPER($H164)," ",""),"D",""),";",REPT(" ",30)),211,30))),0)))))</f>
        <v/>
      </c>
      <c r="K164" s="24" t="n"/>
      <c r="L164" s="8" t="n"/>
      <c r="M164" s="14" t="n"/>
      <c r="N164" s="25">
        <f>IF($C164="","",IF($E164="Falta","-",MAX(0,MIN(10,8+IFERROR(VALUE(TRIM(MID(SUBSTITUTE(SUBSTITUTE(SUBSTITUTE(UPPER($L164)," ",""),"F",""),";",REPT(" ",30)),1,30))),0)+IFERROR(VALUE(TRIM(MID(SUBSTITUTE(SUBSTITUTE(SUBSTITUTE(UPPER($L164)," ",""),"F",""),";",REPT(" ",30)),31,30))),0)+IFERROR(VALUE(TRIM(MID(SUBSTITUTE(SUBSTITUTE(SUBSTITUTE(UPPER($L164)," ",""),"F",""),";",REPT(" ",30)),61,30))),0)+IFERROR(VALUE(TRIM(MID(SUBSTITUTE(SUBSTITUTE(SUBSTITUTE(UPPER($L164)," ",""),"F",""),";",REPT(" ",30)),91,30))),0)+IFERROR(VALUE(TRIM(MID(SUBSTITUTE(SUBSTITUTE(SUBSTITUTE(UPPER($L164)," ",""),"F",""),";",REPT(" ",30)),121,30))),0)+IFERROR(VALUE(TRIM(MID(SUBSTITUTE(SUBSTITUTE(SUBSTITUTE(UPPER($L164)," ",""),"F",""),";",REPT(" ",30)),151,30))),0)+IFERROR(VALUE(TRIM(MID(SUBSTITUTE(SUBSTITUTE(SUBSTITUTE(UPPER($L164)," ",""),"F",""),";",REPT(" ",30)),181,30))),0)+IFERROR(VALUE(TRIM(MID(SUBSTITUTE(SUBSTITUTE(SUBSTITUTE(UPPER($L164)," ",""),"F",""),";",REPT(" ",30)),211,30))),0)))))</f>
        <v/>
      </c>
      <c r="O164" s="24" t="n"/>
      <c r="P164" s="8" t="n"/>
      <c r="Q164" s="14" t="n"/>
      <c r="R164" s="25">
        <f>IF($C164="","",IF($E164="Falta","-",MAX(0,MIN(10,5+IFERROR(VALUE(TRIM(MID(SUBSTITUTE(SUBSTITUTE(SUBSTITUTE(UPPER($P164)," ",""),"C",""),";",REPT(" ",30)),1,30))),0)+IFERROR(VALUE(TRIM(MID(SUBSTITUTE(SUBSTITUTE(SUBSTITUTE(UPPER($P164)," ",""),"C",""),";",REPT(" ",30)),31,30))),0)+IFERROR(VALUE(TRIM(MID(SUBSTITUTE(SUBSTITUTE(SUBSTITUTE(UPPER($P164)," ",""),"C",""),";",REPT(" ",30)),61,30))),0)+IFERROR(VALUE(TRIM(MID(SUBSTITUTE(SUBSTITUTE(SUBSTITUTE(UPPER($P164)," ",""),"C",""),";",REPT(" ",30)),91,30))),0)+IFERROR(VALUE(TRIM(MID(SUBSTITUTE(SUBSTITUTE(SUBSTITUTE(UPPER($P164)," ",""),"C",""),";",REPT(" ",30)),121,30))),0)+IFERROR(VALUE(TRIM(MID(SUBSTITUTE(SUBSTITUTE(SUBSTITUTE(UPPER($P164)," ",""),"C",""),";",REPT(" ",30)),151,30))),0)+IFERROR(VALUE(TRIM(MID(SUBSTITUTE(SUBSTITUTE(SUBSTITUTE(UPPER($P164)," ",""),"C",""),";",REPT(" ",30)),181,30))),0)+IFERROR(VALUE(TRIM(MID(SUBSTITUTE(SUBSTITUTE(SUBSTITUTE(UPPER($P164)," ",""),"C",""),";",REPT(" ",30)),211,30))),0)))))</f>
        <v/>
      </c>
      <c r="S164" s="24" t="n"/>
      <c r="T164" s="8" t="n"/>
      <c r="U164" s="14" t="n"/>
      <c r="V164" s="25">
        <f>IF($C164="","",IF($E164="Falta","-",MAX(0,MIN(10,5+IFERROR(VALUE(TRIM(MID(SUBSTITUTE(SUBSTITUTE(SUBSTITUTE(UPPER($T164)," ",""),"P",""),";",REPT(" ",30)),1,30))),0)+IFERROR(VALUE(TRIM(MID(SUBSTITUTE(SUBSTITUTE(SUBSTITUTE(UPPER($T164)," ",""),"P",""),";",REPT(" ",30)),31,30))),0)+IFERROR(VALUE(TRIM(MID(SUBSTITUTE(SUBSTITUTE(SUBSTITUTE(UPPER($T164)," ",""),"P",""),";",REPT(" ",30)),61,30))),0)+IFERROR(VALUE(TRIM(MID(SUBSTITUTE(SUBSTITUTE(SUBSTITUTE(UPPER($T164)," ",""),"P",""),";",REPT(" ",30)),91,30))),0)+IFERROR(VALUE(TRIM(MID(SUBSTITUTE(SUBSTITUTE(SUBSTITUTE(UPPER($T164)," ",""),"P",""),";",REPT(" ",30)),121,30))),0)+IFERROR(VALUE(TRIM(MID(SUBSTITUTE(SUBSTITUTE(SUBSTITUTE(UPPER($T164)," ",""),"P",""),";",REPT(" ",30)),151,30))),0)+IFERROR(VALUE(TRIM(MID(SUBSTITUTE(SUBSTITUTE(SUBSTITUTE(UPPER($T164)," ",""),"P",""),";",REPT(" ",30)),181,30))),0)+IFERROR(VALUE(TRIM(MID(SUBSTITUTE(SUBSTITUTE(SUBSTITUTE(UPPER($T164)," ",""),"P",""),";",REPT(" ",30)),211,30))),0)))))</f>
        <v/>
      </c>
      <c r="W164" s="24" t="n"/>
      <c r="X164" s="14" t="n"/>
    </row>
    <row r="165">
      <c r="A165" s="8">
        <f>IF($C165="","",33)</f>
        <v/>
      </c>
      <c r="B165" s="8">
        <f>IF($C165="","","2ª Sessão")</f>
        <v/>
      </c>
      <c r="C165" s="8">
        <f>IF(Preenchimento!$B$42="","",Preenchimento!$B$42)</f>
        <v/>
      </c>
      <c r="D165" s="8">
        <f>IF($C165="","",IF(Preenchimento!$C$42="","-",Preenchimento!$C$42))</f>
        <v/>
      </c>
      <c r="E165" s="8" t="n"/>
      <c r="F165" s="8" t="n"/>
      <c r="G165" s="24" t="n"/>
      <c r="H165" s="8" t="n"/>
      <c r="I165" s="14" t="n"/>
      <c r="J165" s="25">
        <f>IF($C165="","",IF($E165="Falta","-",MAX(0,MIN(10,8+IFERROR(VALUE(TRIM(MID(SUBSTITUTE(SUBSTITUTE(SUBSTITUTE(UPPER($H165)," ",""),"D",""),";",REPT(" ",30)),1,30))),0)+IFERROR(VALUE(TRIM(MID(SUBSTITUTE(SUBSTITUTE(SUBSTITUTE(UPPER($H165)," ",""),"D",""),";",REPT(" ",30)),31,30))),0)+IFERROR(VALUE(TRIM(MID(SUBSTITUTE(SUBSTITUTE(SUBSTITUTE(UPPER($H165)," ",""),"D",""),";",REPT(" ",30)),61,30))),0)+IFERROR(VALUE(TRIM(MID(SUBSTITUTE(SUBSTITUTE(SUBSTITUTE(UPPER($H165)," ",""),"D",""),";",REPT(" ",30)),91,30))),0)+IFERROR(VALUE(TRIM(MID(SUBSTITUTE(SUBSTITUTE(SUBSTITUTE(UPPER($H165)," ",""),"D",""),";",REPT(" ",30)),121,30))),0)+IFERROR(VALUE(TRIM(MID(SUBSTITUTE(SUBSTITUTE(SUBSTITUTE(UPPER($H165)," ",""),"D",""),";",REPT(" ",30)),151,30))),0)+IFERROR(VALUE(TRIM(MID(SUBSTITUTE(SUBSTITUTE(SUBSTITUTE(UPPER($H165)," ",""),"D",""),";",REPT(" ",30)),181,30))),0)+IFERROR(VALUE(TRIM(MID(SUBSTITUTE(SUBSTITUTE(SUBSTITUTE(UPPER($H165)," ",""),"D",""),";",REPT(" ",30)),211,30))),0)))))</f>
        <v/>
      </c>
      <c r="K165" s="24" t="n"/>
      <c r="L165" s="8" t="n"/>
      <c r="M165" s="14" t="n"/>
      <c r="N165" s="25">
        <f>IF($C165="","",IF($E165="Falta","-",MAX(0,MIN(10,8+IFERROR(VALUE(TRIM(MID(SUBSTITUTE(SUBSTITUTE(SUBSTITUTE(UPPER($L165)," ",""),"F",""),";",REPT(" ",30)),1,30))),0)+IFERROR(VALUE(TRIM(MID(SUBSTITUTE(SUBSTITUTE(SUBSTITUTE(UPPER($L165)," ",""),"F",""),";",REPT(" ",30)),31,30))),0)+IFERROR(VALUE(TRIM(MID(SUBSTITUTE(SUBSTITUTE(SUBSTITUTE(UPPER($L165)," ",""),"F",""),";",REPT(" ",30)),61,30))),0)+IFERROR(VALUE(TRIM(MID(SUBSTITUTE(SUBSTITUTE(SUBSTITUTE(UPPER($L165)," ",""),"F",""),";",REPT(" ",30)),91,30))),0)+IFERROR(VALUE(TRIM(MID(SUBSTITUTE(SUBSTITUTE(SUBSTITUTE(UPPER($L165)," ",""),"F",""),";",REPT(" ",30)),121,30))),0)+IFERROR(VALUE(TRIM(MID(SUBSTITUTE(SUBSTITUTE(SUBSTITUTE(UPPER($L165)," ",""),"F",""),";",REPT(" ",30)),151,30))),0)+IFERROR(VALUE(TRIM(MID(SUBSTITUTE(SUBSTITUTE(SUBSTITUTE(UPPER($L165)," ",""),"F",""),";",REPT(" ",30)),181,30))),0)+IFERROR(VALUE(TRIM(MID(SUBSTITUTE(SUBSTITUTE(SUBSTITUTE(UPPER($L165)," ",""),"F",""),";",REPT(" ",30)),211,30))),0)))))</f>
        <v/>
      </c>
      <c r="O165" s="24" t="n"/>
      <c r="P165" s="8" t="n"/>
      <c r="Q165" s="14" t="n"/>
      <c r="R165" s="25">
        <f>IF($C165="","",IF($E165="Falta","-",MAX(0,MIN(10,5+IFERROR(VALUE(TRIM(MID(SUBSTITUTE(SUBSTITUTE(SUBSTITUTE(UPPER($P165)," ",""),"C",""),";",REPT(" ",30)),1,30))),0)+IFERROR(VALUE(TRIM(MID(SUBSTITUTE(SUBSTITUTE(SUBSTITUTE(UPPER($P165)," ",""),"C",""),";",REPT(" ",30)),31,30))),0)+IFERROR(VALUE(TRIM(MID(SUBSTITUTE(SUBSTITUTE(SUBSTITUTE(UPPER($P165)," ",""),"C",""),";",REPT(" ",30)),61,30))),0)+IFERROR(VALUE(TRIM(MID(SUBSTITUTE(SUBSTITUTE(SUBSTITUTE(UPPER($P165)," ",""),"C",""),";",REPT(" ",30)),91,30))),0)+IFERROR(VALUE(TRIM(MID(SUBSTITUTE(SUBSTITUTE(SUBSTITUTE(UPPER($P165)," ",""),"C",""),";",REPT(" ",30)),121,30))),0)+IFERROR(VALUE(TRIM(MID(SUBSTITUTE(SUBSTITUTE(SUBSTITUTE(UPPER($P165)," ",""),"C",""),";",REPT(" ",30)),151,30))),0)+IFERROR(VALUE(TRIM(MID(SUBSTITUTE(SUBSTITUTE(SUBSTITUTE(UPPER($P165)," ",""),"C",""),";",REPT(" ",30)),181,30))),0)+IFERROR(VALUE(TRIM(MID(SUBSTITUTE(SUBSTITUTE(SUBSTITUTE(UPPER($P165)," ",""),"C",""),";",REPT(" ",30)),211,30))),0)))))</f>
        <v/>
      </c>
      <c r="S165" s="24" t="n"/>
      <c r="T165" s="8" t="n"/>
      <c r="U165" s="14" t="n"/>
      <c r="V165" s="25">
        <f>IF($C165="","",IF($E165="Falta","-",MAX(0,MIN(10,5+IFERROR(VALUE(TRIM(MID(SUBSTITUTE(SUBSTITUTE(SUBSTITUTE(UPPER($T165)," ",""),"P",""),";",REPT(" ",30)),1,30))),0)+IFERROR(VALUE(TRIM(MID(SUBSTITUTE(SUBSTITUTE(SUBSTITUTE(UPPER($T165)," ",""),"P",""),";",REPT(" ",30)),31,30))),0)+IFERROR(VALUE(TRIM(MID(SUBSTITUTE(SUBSTITUTE(SUBSTITUTE(UPPER($T165)," ",""),"P",""),";",REPT(" ",30)),61,30))),0)+IFERROR(VALUE(TRIM(MID(SUBSTITUTE(SUBSTITUTE(SUBSTITUTE(UPPER($T165)," ",""),"P",""),";",REPT(" ",30)),91,30))),0)+IFERROR(VALUE(TRIM(MID(SUBSTITUTE(SUBSTITUTE(SUBSTITUTE(UPPER($T165)," ",""),"P",""),";",REPT(" ",30)),121,30))),0)+IFERROR(VALUE(TRIM(MID(SUBSTITUTE(SUBSTITUTE(SUBSTITUTE(UPPER($T165)," ",""),"P",""),";",REPT(" ",30)),151,30))),0)+IFERROR(VALUE(TRIM(MID(SUBSTITUTE(SUBSTITUTE(SUBSTITUTE(UPPER($T165)," ",""),"P",""),";",REPT(" ",30)),181,30))),0)+IFERROR(VALUE(TRIM(MID(SUBSTITUTE(SUBSTITUTE(SUBSTITUTE(UPPER($T165)," ",""),"P",""),";",REPT(" ",30)),211,30))),0)))))</f>
        <v/>
      </c>
      <c r="W165" s="24" t="n"/>
      <c r="X165" s="14" t="n"/>
    </row>
    <row r="166">
      <c r="A166" s="8">
        <f>IF($C166="","",33)</f>
        <v/>
      </c>
      <c r="B166" s="8">
        <f>IF($C166="","","3ª Sessão")</f>
        <v/>
      </c>
      <c r="C166" s="8">
        <f>IF(Preenchimento!$B$42="","",Preenchimento!$B$42)</f>
        <v/>
      </c>
      <c r="D166" s="8">
        <f>IF($C166="","",IF(Preenchimento!$C$42="","-",Preenchimento!$C$42))</f>
        <v/>
      </c>
      <c r="E166" s="8" t="n"/>
      <c r="F166" s="8" t="n"/>
      <c r="G166" s="24" t="n"/>
      <c r="H166" s="8" t="n"/>
      <c r="I166" s="14" t="n"/>
      <c r="J166" s="25">
        <f>IF($C166="","",IF($E166="Falta","-",MAX(0,MIN(10,8+IFERROR(VALUE(TRIM(MID(SUBSTITUTE(SUBSTITUTE(SUBSTITUTE(UPPER($H166)," ",""),"D",""),";",REPT(" ",30)),1,30))),0)+IFERROR(VALUE(TRIM(MID(SUBSTITUTE(SUBSTITUTE(SUBSTITUTE(UPPER($H166)," ",""),"D",""),";",REPT(" ",30)),31,30))),0)+IFERROR(VALUE(TRIM(MID(SUBSTITUTE(SUBSTITUTE(SUBSTITUTE(UPPER($H166)," ",""),"D",""),";",REPT(" ",30)),61,30))),0)+IFERROR(VALUE(TRIM(MID(SUBSTITUTE(SUBSTITUTE(SUBSTITUTE(UPPER($H166)," ",""),"D",""),";",REPT(" ",30)),91,30))),0)+IFERROR(VALUE(TRIM(MID(SUBSTITUTE(SUBSTITUTE(SUBSTITUTE(UPPER($H166)," ",""),"D",""),";",REPT(" ",30)),121,30))),0)+IFERROR(VALUE(TRIM(MID(SUBSTITUTE(SUBSTITUTE(SUBSTITUTE(UPPER($H166)," ",""),"D",""),";",REPT(" ",30)),151,30))),0)+IFERROR(VALUE(TRIM(MID(SUBSTITUTE(SUBSTITUTE(SUBSTITUTE(UPPER($H166)," ",""),"D",""),";",REPT(" ",30)),181,30))),0)+IFERROR(VALUE(TRIM(MID(SUBSTITUTE(SUBSTITUTE(SUBSTITUTE(UPPER($H166)," ",""),"D",""),";",REPT(" ",30)),211,30))),0)))))</f>
        <v/>
      </c>
      <c r="K166" s="24" t="n"/>
      <c r="L166" s="8" t="n"/>
      <c r="M166" s="14" t="n"/>
      <c r="N166" s="25">
        <f>IF($C166="","",IF($E166="Falta","-",MAX(0,MIN(10,8+IFERROR(VALUE(TRIM(MID(SUBSTITUTE(SUBSTITUTE(SUBSTITUTE(UPPER($L166)," ",""),"F",""),";",REPT(" ",30)),1,30))),0)+IFERROR(VALUE(TRIM(MID(SUBSTITUTE(SUBSTITUTE(SUBSTITUTE(UPPER($L166)," ",""),"F",""),";",REPT(" ",30)),31,30))),0)+IFERROR(VALUE(TRIM(MID(SUBSTITUTE(SUBSTITUTE(SUBSTITUTE(UPPER($L166)," ",""),"F",""),";",REPT(" ",30)),61,30))),0)+IFERROR(VALUE(TRIM(MID(SUBSTITUTE(SUBSTITUTE(SUBSTITUTE(UPPER($L166)," ",""),"F",""),";",REPT(" ",30)),91,30))),0)+IFERROR(VALUE(TRIM(MID(SUBSTITUTE(SUBSTITUTE(SUBSTITUTE(UPPER($L166)," ",""),"F",""),";",REPT(" ",30)),121,30))),0)+IFERROR(VALUE(TRIM(MID(SUBSTITUTE(SUBSTITUTE(SUBSTITUTE(UPPER($L166)," ",""),"F",""),";",REPT(" ",30)),151,30))),0)+IFERROR(VALUE(TRIM(MID(SUBSTITUTE(SUBSTITUTE(SUBSTITUTE(UPPER($L166)," ",""),"F",""),";",REPT(" ",30)),181,30))),0)+IFERROR(VALUE(TRIM(MID(SUBSTITUTE(SUBSTITUTE(SUBSTITUTE(UPPER($L166)," ",""),"F",""),";",REPT(" ",30)),211,30))),0)))))</f>
        <v/>
      </c>
      <c r="O166" s="24" t="n"/>
      <c r="P166" s="8" t="n"/>
      <c r="Q166" s="14" t="n"/>
      <c r="R166" s="25">
        <f>IF($C166="","",IF($E166="Falta","-",MAX(0,MIN(10,5+IFERROR(VALUE(TRIM(MID(SUBSTITUTE(SUBSTITUTE(SUBSTITUTE(UPPER($P166)," ",""),"C",""),";",REPT(" ",30)),1,30))),0)+IFERROR(VALUE(TRIM(MID(SUBSTITUTE(SUBSTITUTE(SUBSTITUTE(UPPER($P166)," ",""),"C",""),";",REPT(" ",30)),31,30))),0)+IFERROR(VALUE(TRIM(MID(SUBSTITUTE(SUBSTITUTE(SUBSTITUTE(UPPER($P166)," ",""),"C",""),";",REPT(" ",30)),61,30))),0)+IFERROR(VALUE(TRIM(MID(SUBSTITUTE(SUBSTITUTE(SUBSTITUTE(UPPER($P166)," ",""),"C",""),";",REPT(" ",30)),91,30))),0)+IFERROR(VALUE(TRIM(MID(SUBSTITUTE(SUBSTITUTE(SUBSTITUTE(UPPER($P166)," ",""),"C",""),";",REPT(" ",30)),121,30))),0)+IFERROR(VALUE(TRIM(MID(SUBSTITUTE(SUBSTITUTE(SUBSTITUTE(UPPER($P166)," ",""),"C",""),";",REPT(" ",30)),151,30))),0)+IFERROR(VALUE(TRIM(MID(SUBSTITUTE(SUBSTITUTE(SUBSTITUTE(UPPER($P166)," ",""),"C",""),";",REPT(" ",30)),181,30))),0)+IFERROR(VALUE(TRIM(MID(SUBSTITUTE(SUBSTITUTE(SUBSTITUTE(UPPER($P166)," ",""),"C",""),";",REPT(" ",30)),211,30))),0)))))</f>
        <v/>
      </c>
      <c r="S166" s="24" t="n"/>
      <c r="T166" s="8" t="n"/>
      <c r="U166" s="14" t="n"/>
      <c r="V166" s="25">
        <f>IF($C166="","",IF($E166="Falta","-",MAX(0,MIN(10,5+IFERROR(VALUE(TRIM(MID(SUBSTITUTE(SUBSTITUTE(SUBSTITUTE(UPPER($T166)," ",""),"P",""),";",REPT(" ",30)),1,30))),0)+IFERROR(VALUE(TRIM(MID(SUBSTITUTE(SUBSTITUTE(SUBSTITUTE(UPPER($T166)," ",""),"P",""),";",REPT(" ",30)),31,30))),0)+IFERROR(VALUE(TRIM(MID(SUBSTITUTE(SUBSTITUTE(SUBSTITUTE(UPPER($T166)," ",""),"P",""),";",REPT(" ",30)),61,30))),0)+IFERROR(VALUE(TRIM(MID(SUBSTITUTE(SUBSTITUTE(SUBSTITUTE(UPPER($T166)," ",""),"P",""),";",REPT(" ",30)),91,30))),0)+IFERROR(VALUE(TRIM(MID(SUBSTITUTE(SUBSTITUTE(SUBSTITUTE(UPPER($T166)," ",""),"P",""),";",REPT(" ",30)),121,30))),0)+IFERROR(VALUE(TRIM(MID(SUBSTITUTE(SUBSTITUTE(SUBSTITUTE(UPPER($T166)," ",""),"P",""),";",REPT(" ",30)),151,30))),0)+IFERROR(VALUE(TRIM(MID(SUBSTITUTE(SUBSTITUTE(SUBSTITUTE(UPPER($T166)," ",""),"P",""),";",REPT(" ",30)),181,30))),0)+IFERROR(VALUE(TRIM(MID(SUBSTITUTE(SUBSTITUTE(SUBSTITUTE(UPPER($T166)," ",""),"P",""),";",REPT(" ",30)),211,30))),0)))))</f>
        <v/>
      </c>
      <c r="W166" s="24" t="n"/>
      <c r="X166" s="14" t="n"/>
    </row>
    <row r="167">
      <c r="A167" s="8">
        <f>IF($C167="","",33)</f>
        <v/>
      </c>
      <c r="B167" s="8">
        <f>IF($C167="","","4ª Sessão")</f>
        <v/>
      </c>
      <c r="C167" s="8">
        <f>IF(Preenchimento!$B$42="","",Preenchimento!$B$42)</f>
        <v/>
      </c>
      <c r="D167" s="8">
        <f>IF($C167="","",IF(Preenchimento!$C$42="","-",Preenchimento!$C$42))</f>
        <v/>
      </c>
      <c r="E167" s="8" t="n"/>
      <c r="F167" s="8" t="n"/>
      <c r="G167" s="24" t="n"/>
      <c r="H167" s="8" t="n"/>
      <c r="I167" s="14" t="n"/>
      <c r="J167" s="25">
        <f>IF($C167="","",IF($E167="Falta","-",MAX(0,MIN(10,8+IFERROR(VALUE(TRIM(MID(SUBSTITUTE(SUBSTITUTE(SUBSTITUTE(UPPER($H167)," ",""),"D",""),";",REPT(" ",30)),1,30))),0)+IFERROR(VALUE(TRIM(MID(SUBSTITUTE(SUBSTITUTE(SUBSTITUTE(UPPER($H167)," ",""),"D",""),";",REPT(" ",30)),31,30))),0)+IFERROR(VALUE(TRIM(MID(SUBSTITUTE(SUBSTITUTE(SUBSTITUTE(UPPER($H167)," ",""),"D",""),";",REPT(" ",30)),61,30))),0)+IFERROR(VALUE(TRIM(MID(SUBSTITUTE(SUBSTITUTE(SUBSTITUTE(UPPER($H167)," ",""),"D",""),";",REPT(" ",30)),91,30))),0)+IFERROR(VALUE(TRIM(MID(SUBSTITUTE(SUBSTITUTE(SUBSTITUTE(UPPER($H167)," ",""),"D",""),";",REPT(" ",30)),121,30))),0)+IFERROR(VALUE(TRIM(MID(SUBSTITUTE(SUBSTITUTE(SUBSTITUTE(UPPER($H167)," ",""),"D",""),";",REPT(" ",30)),151,30))),0)+IFERROR(VALUE(TRIM(MID(SUBSTITUTE(SUBSTITUTE(SUBSTITUTE(UPPER($H167)," ",""),"D",""),";",REPT(" ",30)),181,30))),0)+IFERROR(VALUE(TRIM(MID(SUBSTITUTE(SUBSTITUTE(SUBSTITUTE(UPPER($H167)," ",""),"D",""),";",REPT(" ",30)),211,30))),0)))))</f>
        <v/>
      </c>
      <c r="K167" s="24" t="n"/>
      <c r="L167" s="8" t="n"/>
      <c r="M167" s="14" t="n"/>
      <c r="N167" s="25">
        <f>IF($C167="","",IF($E167="Falta","-",MAX(0,MIN(10,8+IFERROR(VALUE(TRIM(MID(SUBSTITUTE(SUBSTITUTE(SUBSTITUTE(UPPER($L167)," ",""),"F",""),";",REPT(" ",30)),1,30))),0)+IFERROR(VALUE(TRIM(MID(SUBSTITUTE(SUBSTITUTE(SUBSTITUTE(UPPER($L167)," ",""),"F",""),";",REPT(" ",30)),31,30))),0)+IFERROR(VALUE(TRIM(MID(SUBSTITUTE(SUBSTITUTE(SUBSTITUTE(UPPER($L167)," ",""),"F",""),";",REPT(" ",30)),61,30))),0)+IFERROR(VALUE(TRIM(MID(SUBSTITUTE(SUBSTITUTE(SUBSTITUTE(UPPER($L167)," ",""),"F",""),";",REPT(" ",30)),91,30))),0)+IFERROR(VALUE(TRIM(MID(SUBSTITUTE(SUBSTITUTE(SUBSTITUTE(UPPER($L167)," ",""),"F",""),";",REPT(" ",30)),121,30))),0)+IFERROR(VALUE(TRIM(MID(SUBSTITUTE(SUBSTITUTE(SUBSTITUTE(UPPER($L167)," ",""),"F",""),";",REPT(" ",30)),151,30))),0)+IFERROR(VALUE(TRIM(MID(SUBSTITUTE(SUBSTITUTE(SUBSTITUTE(UPPER($L167)," ",""),"F",""),";",REPT(" ",30)),181,30))),0)+IFERROR(VALUE(TRIM(MID(SUBSTITUTE(SUBSTITUTE(SUBSTITUTE(UPPER($L167)," ",""),"F",""),";",REPT(" ",30)),211,30))),0)))))</f>
        <v/>
      </c>
      <c r="O167" s="24" t="n"/>
      <c r="P167" s="8" t="n"/>
      <c r="Q167" s="14" t="n"/>
      <c r="R167" s="25">
        <f>IF($C167="","",IF($E167="Falta","-",MAX(0,MIN(10,5+IFERROR(VALUE(TRIM(MID(SUBSTITUTE(SUBSTITUTE(SUBSTITUTE(UPPER($P167)," ",""),"C",""),";",REPT(" ",30)),1,30))),0)+IFERROR(VALUE(TRIM(MID(SUBSTITUTE(SUBSTITUTE(SUBSTITUTE(UPPER($P167)," ",""),"C",""),";",REPT(" ",30)),31,30))),0)+IFERROR(VALUE(TRIM(MID(SUBSTITUTE(SUBSTITUTE(SUBSTITUTE(UPPER($P167)," ",""),"C",""),";",REPT(" ",30)),61,30))),0)+IFERROR(VALUE(TRIM(MID(SUBSTITUTE(SUBSTITUTE(SUBSTITUTE(UPPER($P167)," ",""),"C",""),";",REPT(" ",30)),91,30))),0)+IFERROR(VALUE(TRIM(MID(SUBSTITUTE(SUBSTITUTE(SUBSTITUTE(UPPER($P167)," ",""),"C",""),";",REPT(" ",30)),121,30))),0)+IFERROR(VALUE(TRIM(MID(SUBSTITUTE(SUBSTITUTE(SUBSTITUTE(UPPER($P167)," ",""),"C",""),";",REPT(" ",30)),151,30))),0)+IFERROR(VALUE(TRIM(MID(SUBSTITUTE(SUBSTITUTE(SUBSTITUTE(UPPER($P167)," ",""),"C",""),";",REPT(" ",30)),181,30))),0)+IFERROR(VALUE(TRIM(MID(SUBSTITUTE(SUBSTITUTE(SUBSTITUTE(UPPER($P167)," ",""),"C",""),";",REPT(" ",30)),211,30))),0)))))</f>
        <v/>
      </c>
      <c r="S167" s="24" t="n"/>
      <c r="T167" s="8" t="n"/>
      <c r="U167" s="14" t="n"/>
      <c r="V167" s="25">
        <f>IF($C167="","",IF($E167="Falta","-",MAX(0,MIN(10,5+IFERROR(VALUE(TRIM(MID(SUBSTITUTE(SUBSTITUTE(SUBSTITUTE(UPPER($T167)," ",""),"P",""),";",REPT(" ",30)),1,30))),0)+IFERROR(VALUE(TRIM(MID(SUBSTITUTE(SUBSTITUTE(SUBSTITUTE(UPPER($T167)," ",""),"P",""),";",REPT(" ",30)),31,30))),0)+IFERROR(VALUE(TRIM(MID(SUBSTITUTE(SUBSTITUTE(SUBSTITUTE(UPPER($T167)," ",""),"P",""),";",REPT(" ",30)),61,30))),0)+IFERROR(VALUE(TRIM(MID(SUBSTITUTE(SUBSTITUTE(SUBSTITUTE(UPPER($T167)," ",""),"P",""),";",REPT(" ",30)),91,30))),0)+IFERROR(VALUE(TRIM(MID(SUBSTITUTE(SUBSTITUTE(SUBSTITUTE(UPPER($T167)," ",""),"P",""),";",REPT(" ",30)),121,30))),0)+IFERROR(VALUE(TRIM(MID(SUBSTITUTE(SUBSTITUTE(SUBSTITUTE(UPPER($T167)," ",""),"P",""),";",REPT(" ",30)),151,30))),0)+IFERROR(VALUE(TRIM(MID(SUBSTITUTE(SUBSTITUTE(SUBSTITUTE(UPPER($T167)," ",""),"P",""),";",REPT(" ",30)),181,30))),0)+IFERROR(VALUE(TRIM(MID(SUBSTITUTE(SUBSTITUTE(SUBSTITUTE(UPPER($T167)," ",""),"P",""),";",REPT(" ",30)),211,30))),0)))))</f>
        <v/>
      </c>
      <c r="W167" s="24" t="n"/>
      <c r="X167" s="14" t="n"/>
    </row>
    <row r="168">
      <c r="A168" s="8">
        <f>IF($C168="","",33)</f>
        <v/>
      </c>
      <c r="B168" s="8">
        <f>IF($C168="","","5ª Sessão")</f>
        <v/>
      </c>
      <c r="C168" s="8">
        <f>IF(Preenchimento!$B$42="","",Preenchimento!$B$42)</f>
        <v/>
      </c>
      <c r="D168" s="8">
        <f>IF($C168="","",IF(Preenchimento!$C$42="","-",Preenchimento!$C$42))</f>
        <v/>
      </c>
      <c r="E168" s="8" t="n"/>
      <c r="F168" s="8" t="n"/>
      <c r="G168" s="24" t="n"/>
      <c r="H168" s="8" t="n"/>
      <c r="I168" s="14" t="n"/>
      <c r="J168" s="25">
        <f>IF($C168="","",IF($E168="Falta","-",MAX(0,MIN(10,8+IFERROR(VALUE(TRIM(MID(SUBSTITUTE(SUBSTITUTE(SUBSTITUTE(UPPER($H168)," ",""),"D",""),";",REPT(" ",30)),1,30))),0)+IFERROR(VALUE(TRIM(MID(SUBSTITUTE(SUBSTITUTE(SUBSTITUTE(UPPER($H168)," ",""),"D",""),";",REPT(" ",30)),31,30))),0)+IFERROR(VALUE(TRIM(MID(SUBSTITUTE(SUBSTITUTE(SUBSTITUTE(UPPER($H168)," ",""),"D",""),";",REPT(" ",30)),61,30))),0)+IFERROR(VALUE(TRIM(MID(SUBSTITUTE(SUBSTITUTE(SUBSTITUTE(UPPER($H168)," ",""),"D",""),";",REPT(" ",30)),91,30))),0)+IFERROR(VALUE(TRIM(MID(SUBSTITUTE(SUBSTITUTE(SUBSTITUTE(UPPER($H168)," ",""),"D",""),";",REPT(" ",30)),121,30))),0)+IFERROR(VALUE(TRIM(MID(SUBSTITUTE(SUBSTITUTE(SUBSTITUTE(UPPER($H168)," ",""),"D",""),";",REPT(" ",30)),151,30))),0)+IFERROR(VALUE(TRIM(MID(SUBSTITUTE(SUBSTITUTE(SUBSTITUTE(UPPER($H168)," ",""),"D",""),";",REPT(" ",30)),181,30))),0)+IFERROR(VALUE(TRIM(MID(SUBSTITUTE(SUBSTITUTE(SUBSTITUTE(UPPER($H168)," ",""),"D",""),";",REPT(" ",30)),211,30))),0)))))</f>
        <v/>
      </c>
      <c r="K168" s="24" t="n"/>
      <c r="L168" s="8" t="n"/>
      <c r="M168" s="14" t="n"/>
      <c r="N168" s="25">
        <f>IF($C168="","",IF($E168="Falta","-",MAX(0,MIN(10,8+IFERROR(VALUE(TRIM(MID(SUBSTITUTE(SUBSTITUTE(SUBSTITUTE(UPPER($L168)," ",""),"F",""),";",REPT(" ",30)),1,30))),0)+IFERROR(VALUE(TRIM(MID(SUBSTITUTE(SUBSTITUTE(SUBSTITUTE(UPPER($L168)," ",""),"F",""),";",REPT(" ",30)),31,30))),0)+IFERROR(VALUE(TRIM(MID(SUBSTITUTE(SUBSTITUTE(SUBSTITUTE(UPPER($L168)," ",""),"F",""),";",REPT(" ",30)),61,30))),0)+IFERROR(VALUE(TRIM(MID(SUBSTITUTE(SUBSTITUTE(SUBSTITUTE(UPPER($L168)," ",""),"F",""),";",REPT(" ",30)),91,30))),0)+IFERROR(VALUE(TRIM(MID(SUBSTITUTE(SUBSTITUTE(SUBSTITUTE(UPPER($L168)," ",""),"F",""),";",REPT(" ",30)),121,30))),0)+IFERROR(VALUE(TRIM(MID(SUBSTITUTE(SUBSTITUTE(SUBSTITUTE(UPPER($L168)," ",""),"F",""),";",REPT(" ",30)),151,30))),0)+IFERROR(VALUE(TRIM(MID(SUBSTITUTE(SUBSTITUTE(SUBSTITUTE(UPPER($L168)," ",""),"F",""),";",REPT(" ",30)),181,30))),0)+IFERROR(VALUE(TRIM(MID(SUBSTITUTE(SUBSTITUTE(SUBSTITUTE(UPPER($L168)," ",""),"F",""),";",REPT(" ",30)),211,30))),0)))))</f>
        <v/>
      </c>
      <c r="O168" s="24" t="n"/>
      <c r="P168" s="8" t="n"/>
      <c r="Q168" s="14" t="n"/>
      <c r="R168" s="25">
        <f>IF($C168="","",IF($E168="Falta","-",MAX(0,MIN(10,5+IFERROR(VALUE(TRIM(MID(SUBSTITUTE(SUBSTITUTE(SUBSTITUTE(UPPER($P168)," ",""),"C",""),";",REPT(" ",30)),1,30))),0)+IFERROR(VALUE(TRIM(MID(SUBSTITUTE(SUBSTITUTE(SUBSTITUTE(UPPER($P168)," ",""),"C",""),";",REPT(" ",30)),31,30))),0)+IFERROR(VALUE(TRIM(MID(SUBSTITUTE(SUBSTITUTE(SUBSTITUTE(UPPER($P168)," ",""),"C",""),";",REPT(" ",30)),61,30))),0)+IFERROR(VALUE(TRIM(MID(SUBSTITUTE(SUBSTITUTE(SUBSTITUTE(UPPER($P168)," ",""),"C",""),";",REPT(" ",30)),91,30))),0)+IFERROR(VALUE(TRIM(MID(SUBSTITUTE(SUBSTITUTE(SUBSTITUTE(UPPER($P168)," ",""),"C",""),";",REPT(" ",30)),121,30))),0)+IFERROR(VALUE(TRIM(MID(SUBSTITUTE(SUBSTITUTE(SUBSTITUTE(UPPER($P168)," ",""),"C",""),";",REPT(" ",30)),151,30))),0)+IFERROR(VALUE(TRIM(MID(SUBSTITUTE(SUBSTITUTE(SUBSTITUTE(UPPER($P168)," ",""),"C",""),";",REPT(" ",30)),181,30))),0)+IFERROR(VALUE(TRIM(MID(SUBSTITUTE(SUBSTITUTE(SUBSTITUTE(UPPER($P168)," ",""),"C",""),";",REPT(" ",30)),211,30))),0)))))</f>
        <v/>
      </c>
      <c r="S168" s="24" t="n"/>
      <c r="T168" s="8" t="n"/>
      <c r="U168" s="14" t="n"/>
      <c r="V168" s="25">
        <f>IF($C168="","",IF($E168="Falta","-",MAX(0,MIN(10,5+IFERROR(VALUE(TRIM(MID(SUBSTITUTE(SUBSTITUTE(SUBSTITUTE(UPPER($T168)," ",""),"P",""),";",REPT(" ",30)),1,30))),0)+IFERROR(VALUE(TRIM(MID(SUBSTITUTE(SUBSTITUTE(SUBSTITUTE(UPPER($T168)," ",""),"P",""),";",REPT(" ",30)),31,30))),0)+IFERROR(VALUE(TRIM(MID(SUBSTITUTE(SUBSTITUTE(SUBSTITUTE(UPPER($T168)," ",""),"P",""),";",REPT(" ",30)),61,30))),0)+IFERROR(VALUE(TRIM(MID(SUBSTITUTE(SUBSTITUTE(SUBSTITUTE(UPPER($T168)," ",""),"P",""),";",REPT(" ",30)),91,30))),0)+IFERROR(VALUE(TRIM(MID(SUBSTITUTE(SUBSTITUTE(SUBSTITUTE(UPPER($T168)," ",""),"P",""),";",REPT(" ",30)),121,30))),0)+IFERROR(VALUE(TRIM(MID(SUBSTITUTE(SUBSTITUTE(SUBSTITUTE(UPPER($T168)," ",""),"P",""),";",REPT(" ",30)),151,30))),0)+IFERROR(VALUE(TRIM(MID(SUBSTITUTE(SUBSTITUTE(SUBSTITUTE(UPPER($T168)," ",""),"P",""),";",REPT(" ",30)),181,30))),0)+IFERROR(VALUE(TRIM(MID(SUBSTITUTE(SUBSTITUTE(SUBSTITUTE(UPPER($T168)," ",""),"P",""),";",REPT(" ",30)),211,30))),0)))))</f>
        <v/>
      </c>
      <c r="W168" s="24" t="n"/>
      <c r="X168" s="14" t="n"/>
    </row>
    <row r="169">
      <c r="A169" s="6">
        <f>IF($C169="","",34)</f>
        <v/>
      </c>
      <c r="B169" s="6">
        <f>IF($C169="","","1ª Sessão")</f>
        <v/>
      </c>
      <c r="C169" s="6">
        <f>IF(Preenchimento!$B$43="","",Preenchimento!$B$43)</f>
        <v/>
      </c>
      <c r="D169" s="6">
        <f>IF($C169="","",IF(Preenchimento!$C$43="","-",Preenchimento!$C$43))</f>
        <v/>
      </c>
      <c r="E169" s="6" t="n"/>
      <c r="F169" s="6" t="n"/>
      <c r="G169" s="26" t="n"/>
      <c r="H169" s="6" t="n"/>
      <c r="I169" s="13" t="n"/>
      <c r="J169" s="27">
        <f>IF($C169="","",IF($E169="Falta","-",MAX(0,MIN(10,8+IFERROR(VALUE(TRIM(MID(SUBSTITUTE(SUBSTITUTE(SUBSTITUTE(UPPER($H169)," ",""),"D",""),";",REPT(" ",30)),1,30))),0)+IFERROR(VALUE(TRIM(MID(SUBSTITUTE(SUBSTITUTE(SUBSTITUTE(UPPER($H169)," ",""),"D",""),";",REPT(" ",30)),31,30))),0)+IFERROR(VALUE(TRIM(MID(SUBSTITUTE(SUBSTITUTE(SUBSTITUTE(UPPER($H169)," ",""),"D",""),";",REPT(" ",30)),61,30))),0)+IFERROR(VALUE(TRIM(MID(SUBSTITUTE(SUBSTITUTE(SUBSTITUTE(UPPER($H169)," ",""),"D",""),";",REPT(" ",30)),91,30))),0)+IFERROR(VALUE(TRIM(MID(SUBSTITUTE(SUBSTITUTE(SUBSTITUTE(UPPER($H169)," ",""),"D",""),";",REPT(" ",30)),121,30))),0)+IFERROR(VALUE(TRIM(MID(SUBSTITUTE(SUBSTITUTE(SUBSTITUTE(UPPER($H169)," ",""),"D",""),";",REPT(" ",30)),151,30))),0)+IFERROR(VALUE(TRIM(MID(SUBSTITUTE(SUBSTITUTE(SUBSTITUTE(UPPER($H169)," ",""),"D",""),";",REPT(" ",30)),181,30))),0)+IFERROR(VALUE(TRIM(MID(SUBSTITUTE(SUBSTITUTE(SUBSTITUTE(UPPER($H169)," ",""),"D",""),";",REPT(" ",30)),211,30))),0)))))</f>
        <v/>
      </c>
      <c r="K169" s="26" t="n"/>
      <c r="L169" s="6" t="n"/>
      <c r="M169" s="13" t="n"/>
      <c r="N169" s="27">
        <f>IF($C169="","",IF($E169="Falta","-",MAX(0,MIN(10,8+IFERROR(VALUE(TRIM(MID(SUBSTITUTE(SUBSTITUTE(SUBSTITUTE(UPPER($L169)," ",""),"F",""),";",REPT(" ",30)),1,30))),0)+IFERROR(VALUE(TRIM(MID(SUBSTITUTE(SUBSTITUTE(SUBSTITUTE(UPPER($L169)," ",""),"F",""),";",REPT(" ",30)),31,30))),0)+IFERROR(VALUE(TRIM(MID(SUBSTITUTE(SUBSTITUTE(SUBSTITUTE(UPPER($L169)," ",""),"F",""),";",REPT(" ",30)),61,30))),0)+IFERROR(VALUE(TRIM(MID(SUBSTITUTE(SUBSTITUTE(SUBSTITUTE(UPPER($L169)," ",""),"F",""),";",REPT(" ",30)),91,30))),0)+IFERROR(VALUE(TRIM(MID(SUBSTITUTE(SUBSTITUTE(SUBSTITUTE(UPPER($L169)," ",""),"F",""),";",REPT(" ",30)),121,30))),0)+IFERROR(VALUE(TRIM(MID(SUBSTITUTE(SUBSTITUTE(SUBSTITUTE(UPPER($L169)," ",""),"F",""),";",REPT(" ",30)),151,30))),0)+IFERROR(VALUE(TRIM(MID(SUBSTITUTE(SUBSTITUTE(SUBSTITUTE(UPPER($L169)," ",""),"F",""),";",REPT(" ",30)),181,30))),0)+IFERROR(VALUE(TRIM(MID(SUBSTITUTE(SUBSTITUTE(SUBSTITUTE(UPPER($L169)," ",""),"F",""),";",REPT(" ",30)),211,30))),0)))))</f>
        <v/>
      </c>
      <c r="O169" s="26" t="n"/>
      <c r="P169" s="6" t="n"/>
      <c r="Q169" s="13" t="n"/>
      <c r="R169" s="27">
        <f>IF($C169="","",IF($E169="Falta","-",MAX(0,MIN(10,5+IFERROR(VALUE(TRIM(MID(SUBSTITUTE(SUBSTITUTE(SUBSTITUTE(UPPER($P169)," ",""),"C",""),";",REPT(" ",30)),1,30))),0)+IFERROR(VALUE(TRIM(MID(SUBSTITUTE(SUBSTITUTE(SUBSTITUTE(UPPER($P169)," ",""),"C",""),";",REPT(" ",30)),31,30))),0)+IFERROR(VALUE(TRIM(MID(SUBSTITUTE(SUBSTITUTE(SUBSTITUTE(UPPER($P169)," ",""),"C",""),";",REPT(" ",30)),61,30))),0)+IFERROR(VALUE(TRIM(MID(SUBSTITUTE(SUBSTITUTE(SUBSTITUTE(UPPER($P169)," ",""),"C",""),";",REPT(" ",30)),91,30))),0)+IFERROR(VALUE(TRIM(MID(SUBSTITUTE(SUBSTITUTE(SUBSTITUTE(UPPER($P169)," ",""),"C",""),";",REPT(" ",30)),121,30))),0)+IFERROR(VALUE(TRIM(MID(SUBSTITUTE(SUBSTITUTE(SUBSTITUTE(UPPER($P169)," ",""),"C",""),";",REPT(" ",30)),151,30))),0)+IFERROR(VALUE(TRIM(MID(SUBSTITUTE(SUBSTITUTE(SUBSTITUTE(UPPER($P169)," ",""),"C",""),";",REPT(" ",30)),181,30))),0)+IFERROR(VALUE(TRIM(MID(SUBSTITUTE(SUBSTITUTE(SUBSTITUTE(UPPER($P169)," ",""),"C",""),";",REPT(" ",30)),211,30))),0)))))</f>
        <v/>
      </c>
      <c r="S169" s="26" t="n"/>
      <c r="T169" s="6" t="n"/>
      <c r="U169" s="13" t="n"/>
      <c r="V169" s="27">
        <f>IF($C169="","",IF($E169="Falta","-",MAX(0,MIN(10,5+IFERROR(VALUE(TRIM(MID(SUBSTITUTE(SUBSTITUTE(SUBSTITUTE(UPPER($T169)," ",""),"P",""),";",REPT(" ",30)),1,30))),0)+IFERROR(VALUE(TRIM(MID(SUBSTITUTE(SUBSTITUTE(SUBSTITUTE(UPPER($T169)," ",""),"P",""),";",REPT(" ",30)),31,30))),0)+IFERROR(VALUE(TRIM(MID(SUBSTITUTE(SUBSTITUTE(SUBSTITUTE(UPPER($T169)," ",""),"P",""),";",REPT(" ",30)),61,30))),0)+IFERROR(VALUE(TRIM(MID(SUBSTITUTE(SUBSTITUTE(SUBSTITUTE(UPPER($T169)," ",""),"P",""),";",REPT(" ",30)),91,30))),0)+IFERROR(VALUE(TRIM(MID(SUBSTITUTE(SUBSTITUTE(SUBSTITUTE(UPPER($T169)," ",""),"P",""),";",REPT(" ",30)),121,30))),0)+IFERROR(VALUE(TRIM(MID(SUBSTITUTE(SUBSTITUTE(SUBSTITUTE(UPPER($T169)," ",""),"P",""),";",REPT(" ",30)),151,30))),0)+IFERROR(VALUE(TRIM(MID(SUBSTITUTE(SUBSTITUTE(SUBSTITUTE(UPPER($T169)," ",""),"P",""),";",REPT(" ",30)),181,30))),0)+IFERROR(VALUE(TRIM(MID(SUBSTITUTE(SUBSTITUTE(SUBSTITUTE(UPPER($T169)," ",""),"P",""),";",REPT(" ",30)),211,30))),0)))))</f>
        <v/>
      </c>
      <c r="W169" s="26" t="n"/>
      <c r="X169" s="13" t="n"/>
    </row>
    <row r="170">
      <c r="A170" s="6">
        <f>IF($C170="","",34)</f>
        <v/>
      </c>
      <c r="B170" s="6">
        <f>IF($C170="","","2ª Sessão")</f>
        <v/>
      </c>
      <c r="C170" s="6">
        <f>IF(Preenchimento!$B$43="","",Preenchimento!$B$43)</f>
        <v/>
      </c>
      <c r="D170" s="6">
        <f>IF($C170="","",IF(Preenchimento!$C$43="","-",Preenchimento!$C$43))</f>
        <v/>
      </c>
      <c r="E170" s="6" t="n"/>
      <c r="F170" s="6" t="n"/>
      <c r="G170" s="26" t="n"/>
      <c r="H170" s="6" t="n"/>
      <c r="I170" s="13" t="n"/>
      <c r="J170" s="27">
        <f>IF($C170="","",IF($E170="Falta","-",MAX(0,MIN(10,8+IFERROR(VALUE(TRIM(MID(SUBSTITUTE(SUBSTITUTE(SUBSTITUTE(UPPER($H170)," ",""),"D",""),";",REPT(" ",30)),1,30))),0)+IFERROR(VALUE(TRIM(MID(SUBSTITUTE(SUBSTITUTE(SUBSTITUTE(UPPER($H170)," ",""),"D",""),";",REPT(" ",30)),31,30))),0)+IFERROR(VALUE(TRIM(MID(SUBSTITUTE(SUBSTITUTE(SUBSTITUTE(UPPER($H170)," ",""),"D",""),";",REPT(" ",30)),61,30))),0)+IFERROR(VALUE(TRIM(MID(SUBSTITUTE(SUBSTITUTE(SUBSTITUTE(UPPER($H170)," ",""),"D",""),";",REPT(" ",30)),91,30))),0)+IFERROR(VALUE(TRIM(MID(SUBSTITUTE(SUBSTITUTE(SUBSTITUTE(UPPER($H170)," ",""),"D",""),";",REPT(" ",30)),121,30))),0)+IFERROR(VALUE(TRIM(MID(SUBSTITUTE(SUBSTITUTE(SUBSTITUTE(UPPER($H170)," ",""),"D",""),";",REPT(" ",30)),151,30))),0)+IFERROR(VALUE(TRIM(MID(SUBSTITUTE(SUBSTITUTE(SUBSTITUTE(UPPER($H170)," ",""),"D",""),";",REPT(" ",30)),181,30))),0)+IFERROR(VALUE(TRIM(MID(SUBSTITUTE(SUBSTITUTE(SUBSTITUTE(UPPER($H170)," ",""),"D",""),";",REPT(" ",30)),211,30))),0)))))</f>
        <v/>
      </c>
      <c r="K170" s="26" t="n"/>
      <c r="L170" s="6" t="n"/>
      <c r="M170" s="13" t="n"/>
      <c r="N170" s="27">
        <f>IF($C170="","",IF($E170="Falta","-",MAX(0,MIN(10,8+IFERROR(VALUE(TRIM(MID(SUBSTITUTE(SUBSTITUTE(SUBSTITUTE(UPPER($L170)," ",""),"F",""),";",REPT(" ",30)),1,30))),0)+IFERROR(VALUE(TRIM(MID(SUBSTITUTE(SUBSTITUTE(SUBSTITUTE(UPPER($L170)," ",""),"F",""),";",REPT(" ",30)),31,30))),0)+IFERROR(VALUE(TRIM(MID(SUBSTITUTE(SUBSTITUTE(SUBSTITUTE(UPPER($L170)," ",""),"F",""),";",REPT(" ",30)),61,30))),0)+IFERROR(VALUE(TRIM(MID(SUBSTITUTE(SUBSTITUTE(SUBSTITUTE(UPPER($L170)," ",""),"F",""),";",REPT(" ",30)),91,30))),0)+IFERROR(VALUE(TRIM(MID(SUBSTITUTE(SUBSTITUTE(SUBSTITUTE(UPPER($L170)," ",""),"F",""),";",REPT(" ",30)),121,30))),0)+IFERROR(VALUE(TRIM(MID(SUBSTITUTE(SUBSTITUTE(SUBSTITUTE(UPPER($L170)," ",""),"F",""),";",REPT(" ",30)),151,30))),0)+IFERROR(VALUE(TRIM(MID(SUBSTITUTE(SUBSTITUTE(SUBSTITUTE(UPPER($L170)," ",""),"F",""),";",REPT(" ",30)),181,30))),0)+IFERROR(VALUE(TRIM(MID(SUBSTITUTE(SUBSTITUTE(SUBSTITUTE(UPPER($L170)," ",""),"F",""),";",REPT(" ",30)),211,30))),0)))))</f>
        <v/>
      </c>
      <c r="O170" s="26" t="n"/>
      <c r="P170" s="6" t="n"/>
      <c r="Q170" s="13" t="n"/>
      <c r="R170" s="27">
        <f>IF($C170="","",IF($E170="Falta","-",MAX(0,MIN(10,5+IFERROR(VALUE(TRIM(MID(SUBSTITUTE(SUBSTITUTE(SUBSTITUTE(UPPER($P170)," ",""),"C",""),";",REPT(" ",30)),1,30))),0)+IFERROR(VALUE(TRIM(MID(SUBSTITUTE(SUBSTITUTE(SUBSTITUTE(UPPER($P170)," ",""),"C",""),";",REPT(" ",30)),31,30))),0)+IFERROR(VALUE(TRIM(MID(SUBSTITUTE(SUBSTITUTE(SUBSTITUTE(UPPER($P170)," ",""),"C",""),";",REPT(" ",30)),61,30))),0)+IFERROR(VALUE(TRIM(MID(SUBSTITUTE(SUBSTITUTE(SUBSTITUTE(UPPER($P170)," ",""),"C",""),";",REPT(" ",30)),91,30))),0)+IFERROR(VALUE(TRIM(MID(SUBSTITUTE(SUBSTITUTE(SUBSTITUTE(UPPER($P170)," ",""),"C",""),";",REPT(" ",30)),121,30))),0)+IFERROR(VALUE(TRIM(MID(SUBSTITUTE(SUBSTITUTE(SUBSTITUTE(UPPER($P170)," ",""),"C",""),";",REPT(" ",30)),151,30))),0)+IFERROR(VALUE(TRIM(MID(SUBSTITUTE(SUBSTITUTE(SUBSTITUTE(UPPER($P170)," ",""),"C",""),";",REPT(" ",30)),181,30))),0)+IFERROR(VALUE(TRIM(MID(SUBSTITUTE(SUBSTITUTE(SUBSTITUTE(UPPER($P170)," ",""),"C",""),";",REPT(" ",30)),211,30))),0)))))</f>
        <v/>
      </c>
      <c r="S170" s="26" t="n"/>
      <c r="T170" s="6" t="n"/>
      <c r="U170" s="13" t="n"/>
      <c r="V170" s="27">
        <f>IF($C170="","",IF($E170="Falta","-",MAX(0,MIN(10,5+IFERROR(VALUE(TRIM(MID(SUBSTITUTE(SUBSTITUTE(SUBSTITUTE(UPPER($T170)," ",""),"P",""),";",REPT(" ",30)),1,30))),0)+IFERROR(VALUE(TRIM(MID(SUBSTITUTE(SUBSTITUTE(SUBSTITUTE(UPPER($T170)," ",""),"P",""),";",REPT(" ",30)),31,30))),0)+IFERROR(VALUE(TRIM(MID(SUBSTITUTE(SUBSTITUTE(SUBSTITUTE(UPPER($T170)," ",""),"P",""),";",REPT(" ",30)),61,30))),0)+IFERROR(VALUE(TRIM(MID(SUBSTITUTE(SUBSTITUTE(SUBSTITUTE(UPPER($T170)," ",""),"P",""),";",REPT(" ",30)),91,30))),0)+IFERROR(VALUE(TRIM(MID(SUBSTITUTE(SUBSTITUTE(SUBSTITUTE(UPPER($T170)," ",""),"P",""),";",REPT(" ",30)),121,30))),0)+IFERROR(VALUE(TRIM(MID(SUBSTITUTE(SUBSTITUTE(SUBSTITUTE(UPPER($T170)," ",""),"P",""),";",REPT(" ",30)),151,30))),0)+IFERROR(VALUE(TRIM(MID(SUBSTITUTE(SUBSTITUTE(SUBSTITUTE(UPPER($T170)," ",""),"P",""),";",REPT(" ",30)),181,30))),0)+IFERROR(VALUE(TRIM(MID(SUBSTITUTE(SUBSTITUTE(SUBSTITUTE(UPPER($T170)," ",""),"P",""),";",REPT(" ",30)),211,30))),0)))))</f>
        <v/>
      </c>
      <c r="W170" s="26" t="n"/>
      <c r="X170" s="13" t="n"/>
    </row>
    <row r="171">
      <c r="A171" s="6">
        <f>IF($C171="","",34)</f>
        <v/>
      </c>
      <c r="B171" s="6">
        <f>IF($C171="","","3ª Sessão")</f>
        <v/>
      </c>
      <c r="C171" s="6">
        <f>IF(Preenchimento!$B$43="","",Preenchimento!$B$43)</f>
        <v/>
      </c>
      <c r="D171" s="6">
        <f>IF($C171="","",IF(Preenchimento!$C$43="","-",Preenchimento!$C$43))</f>
        <v/>
      </c>
      <c r="E171" s="6" t="n"/>
      <c r="F171" s="6" t="n"/>
      <c r="G171" s="26" t="n"/>
      <c r="H171" s="6" t="n"/>
      <c r="I171" s="13" t="n"/>
      <c r="J171" s="27">
        <f>IF($C171="","",IF($E171="Falta","-",MAX(0,MIN(10,8+IFERROR(VALUE(TRIM(MID(SUBSTITUTE(SUBSTITUTE(SUBSTITUTE(UPPER($H171)," ",""),"D",""),";",REPT(" ",30)),1,30))),0)+IFERROR(VALUE(TRIM(MID(SUBSTITUTE(SUBSTITUTE(SUBSTITUTE(UPPER($H171)," ",""),"D",""),";",REPT(" ",30)),31,30))),0)+IFERROR(VALUE(TRIM(MID(SUBSTITUTE(SUBSTITUTE(SUBSTITUTE(UPPER($H171)," ",""),"D",""),";",REPT(" ",30)),61,30))),0)+IFERROR(VALUE(TRIM(MID(SUBSTITUTE(SUBSTITUTE(SUBSTITUTE(UPPER($H171)," ",""),"D",""),";",REPT(" ",30)),91,30))),0)+IFERROR(VALUE(TRIM(MID(SUBSTITUTE(SUBSTITUTE(SUBSTITUTE(UPPER($H171)," ",""),"D",""),";",REPT(" ",30)),121,30))),0)+IFERROR(VALUE(TRIM(MID(SUBSTITUTE(SUBSTITUTE(SUBSTITUTE(UPPER($H171)," ",""),"D",""),";",REPT(" ",30)),151,30))),0)+IFERROR(VALUE(TRIM(MID(SUBSTITUTE(SUBSTITUTE(SUBSTITUTE(UPPER($H171)," ",""),"D",""),";",REPT(" ",30)),181,30))),0)+IFERROR(VALUE(TRIM(MID(SUBSTITUTE(SUBSTITUTE(SUBSTITUTE(UPPER($H171)," ",""),"D",""),";",REPT(" ",30)),211,30))),0)))))</f>
        <v/>
      </c>
      <c r="K171" s="26" t="n"/>
      <c r="L171" s="6" t="n"/>
      <c r="M171" s="13" t="n"/>
      <c r="N171" s="27">
        <f>IF($C171="","",IF($E171="Falta","-",MAX(0,MIN(10,8+IFERROR(VALUE(TRIM(MID(SUBSTITUTE(SUBSTITUTE(SUBSTITUTE(UPPER($L171)," ",""),"F",""),";",REPT(" ",30)),1,30))),0)+IFERROR(VALUE(TRIM(MID(SUBSTITUTE(SUBSTITUTE(SUBSTITUTE(UPPER($L171)," ",""),"F",""),";",REPT(" ",30)),31,30))),0)+IFERROR(VALUE(TRIM(MID(SUBSTITUTE(SUBSTITUTE(SUBSTITUTE(UPPER($L171)," ",""),"F",""),";",REPT(" ",30)),61,30))),0)+IFERROR(VALUE(TRIM(MID(SUBSTITUTE(SUBSTITUTE(SUBSTITUTE(UPPER($L171)," ",""),"F",""),";",REPT(" ",30)),91,30))),0)+IFERROR(VALUE(TRIM(MID(SUBSTITUTE(SUBSTITUTE(SUBSTITUTE(UPPER($L171)," ",""),"F",""),";",REPT(" ",30)),121,30))),0)+IFERROR(VALUE(TRIM(MID(SUBSTITUTE(SUBSTITUTE(SUBSTITUTE(UPPER($L171)," ",""),"F",""),";",REPT(" ",30)),151,30))),0)+IFERROR(VALUE(TRIM(MID(SUBSTITUTE(SUBSTITUTE(SUBSTITUTE(UPPER($L171)," ",""),"F",""),";",REPT(" ",30)),181,30))),0)+IFERROR(VALUE(TRIM(MID(SUBSTITUTE(SUBSTITUTE(SUBSTITUTE(UPPER($L171)," ",""),"F",""),";",REPT(" ",30)),211,30))),0)))))</f>
        <v/>
      </c>
      <c r="O171" s="26" t="n"/>
      <c r="P171" s="6" t="n"/>
      <c r="Q171" s="13" t="n"/>
      <c r="R171" s="27">
        <f>IF($C171="","",IF($E171="Falta","-",MAX(0,MIN(10,5+IFERROR(VALUE(TRIM(MID(SUBSTITUTE(SUBSTITUTE(SUBSTITUTE(UPPER($P171)," ",""),"C",""),";",REPT(" ",30)),1,30))),0)+IFERROR(VALUE(TRIM(MID(SUBSTITUTE(SUBSTITUTE(SUBSTITUTE(UPPER($P171)," ",""),"C",""),";",REPT(" ",30)),31,30))),0)+IFERROR(VALUE(TRIM(MID(SUBSTITUTE(SUBSTITUTE(SUBSTITUTE(UPPER($P171)," ",""),"C",""),";",REPT(" ",30)),61,30))),0)+IFERROR(VALUE(TRIM(MID(SUBSTITUTE(SUBSTITUTE(SUBSTITUTE(UPPER($P171)," ",""),"C",""),";",REPT(" ",30)),91,30))),0)+IFERROR(VALUE(TRIM(MID(SUBSTITUTE(SUBSTITUTE(SUBSTITUTE(UPPER($P171)," ",""),"C",""),";",REPT(" ",30)),121,30))),0)+IFERROR(VALUE(TRIM(MID(SUBSTITUTE(SUBSTITUTE(SUBSTITUTE(UPPER($P171)," ",""),"C",""),";",REPT(" ",30)),151,30))),0)+IFERROR(VALUE(TRIM(MID(SUBSTITUTE(SUBSTITUTE(SUBSTITUTE(UPPER($P171)," ",""),"C",""),";",REPT(" ",30)),181,30))),0)+IFERROR(VALUE(TRIM(MID(SUBSTITUTE(SUBSTITUTE(SUBSTITUTE(UPPER($P171)," ",""),"C",""),";",REPT(" ",30)),211,30))),0)))))</f>
        <v/>
      </c>
      <c r="S171" s="26" t="n"/>
      <c r="T171" s="6" t="n"/>
      <c r="U171" s="13" t="n"/>
      <c r="V171" s="27">
        <f>IF($C171="","",IF($E171="Falta","-",MAX(0,MIN(10,5+IFERROR(VALUE(TRIM(MID(SUBSTITUTE(SUBSTITUTE(SUBSTITUTE(UPPER($T171)," ",""),"P",""),";",REPT(" ",30)),1,30))),0)+IFERROR(VALUE(TRIM(MID(SUBSTITUTE(SUBSTITUTE(SUBSTITUTE(UPPER($T171)," ",""),"P",""),";",REPT(" ",30)),31,30))),0)+IFERROR(VALUE(TRIM(MID(SUBSTITUTE(SUBSTITUTE(SUBSTITUTE(UPPER($T171)," ",""),"P",""),";",REPT(" ",30)),61,30))),0)+IFERROR(VALUE(TRIM(MID(SUBSTITUTE(SUBSTITUTE(SUBSTITUTE(UPPER($T171)," ",""),"P",""),";",REPT(" ",30)),91,30))),0)+IFERROR(VALUE(TRIM(MID(SUBSTITUTE(SUBSTITUTE(SUBSTITUTE(UPPER($T171)," ",""),"P",""),";",REPT(" ",30)),121,30))),0)+IFERROR(VALUE(TRIM(MID(SUBSTITUTE(SUBSTITUTE(SUBSTITUTE(UPPER($T171)," ",""),"P",""),";",REPT(" ",30)),151,30))),0)+IFERROR(VALUE(TRIM(MID(SUBSTITUTE(SUBSTITUTE(SUBSTITUTE(UPPER($T171)," ",""),"P",""),";",REPT(" ",30)),181,30))),0)+IFERROR(VALUE(TRIM(MID(SUBSTITUTE(SUBSTITUTE(SUBSTITUTE(UPPER($T171)," ",""),"P",""),";",REPT(" ",30)),211,30))),0)))))</f>
        <v/>
      </c>
      <c r="W171" s="26" t="n"/>
      <c r="X171" s="13" t="n"/>
    </row>
    <row r="172">
      <c r="A172" s="6">
        <f>IF($C172="","",34)</f>
        <v/>
      </c>
      <c r="B172" s="6">
        <f>IF($C172="","","4ª Sessão")</f>
        <v/>
      </c>
      <c r="C172" s="6">
        <f>IF(Preenchimento!$B$43="","",Preenchimento!$B$43)</f>
        <v/>
      </c>
      <c r="D172" s="6">
        <f>IF($C172="","",IF(Preenchimento!$C$43="","-",Preenchimento!$C$43))</f>
        <v/>
      </c>
      <c r="E172" s="6" t="n"/>
      <c r="F172" s="6" t="n"/>
      <c r="G172" s="26" t="n"/>
      <c r="H172" s="6" t="n"/>
      <c r="I172" s="13" t="n"/>
      <c r="J172" s="27">
        <f>IF($C172="","",IF($E172="Falta","-",MAX(0,MIN(10,8+IFERROR(VALUE(TRIM(MID(SUBSTITUTE(SUBSTITUTE(SUBSTITUTE(UPPER($H172)," ",""),"D",""),";",REPT(" ",30)),1,30))),0)+IFERROR(VALUE(TRIM(MID(SUBSTITUTE(SUBSTITUTE(SUBSTITUTE(UPPER($H172)," ",""),"D",""),";",REPT(" ",30)),31,30))),0)+IFERROR(VALUE(TRIM(MID(SUBSTITUTE(SUBSTITUTE(SUBSTITUTE(UPPER($H172)," ",""),"D",""),";",REPT(" ",30)),61,30))),0)+IFERROR(VALUE(TRIM(MID(SUBSTITUTE(SUBSTITUTE(SUBSTITUTE(UPPER($H172)," ",""),"D",""),";",REPT(" ",30)),91,30))),0)+IFERROR(VALUE(TRIM(MID(SUBSTITUTE(SUBSTITUTE(SUBSTITUTE(UPPER($H172)," ",""),"D",""),";",REPT(" ",30)),121,30))),0)+IFERROR(VALUE(TRIM(MID(SUBSTITUTE(SUBSTITUTE(SUBSTITUTE(UPPER($H172)," ",""),"D",""),";",REPT(" ",30)),151,30))),0)+IFERROR(VALUE(TRIM(MID(SUBSTITUTE(SUBSTITUTE(SUBSTITUTE(UPPER($H172)," ",""),"D",""),";",REPT(" ",30)),181,30))),0)+IFERROR(VALUE(TRIM(MID(SUBSTITUTE(SUBSTITUTE(SUBSTITUTE(UPPER($H172)," ",""),"D",""),";",REPT(" ",30)),211,30))),0)))))</f>
        <v/>
      </c>
      <c r="K172" s="26" t="n"/>
      <c r="L172" s="6" t="n"/>
      <c r="M172" s="13" t="n"/>
      <c r="N172" s="27">
        <f>IF($C172="","",IF($E172="Falta","-",MAX(0,MIN(10,8+IFERROR(VALUE(TRIM(MID(SUBSTITUTE(SUBSTITUTE(SUBSTITUTE(UPPER($L172)," ",""),"F",""),";",REPT(" ",30)),1,30))),0)+IFERROR(VALUE(TRIM(MID(SUBSTITUTE(SUBSTITUTE(SUBSTITUTE(UPPER($L172)," ",""),"F",""),";",REPT(" ",30)),31,30))),0)+IFERROR(VALUE(TRIM(MID(SUBSTITUTE(SUBSTITUTE(SUBSTITUTE(UPPER($L172)," ",""),"F",""),";",REPT(" ",30)),61,30))),0)+IFERROR(VALUE(TRIM(MID(SUBSTITUTE(SUBSTITUTE(SUBSTITUTE(UPPER($L172)," ",""),"F",""),";",REPT(" ",30)),91,30))),0)+IFERROR(VALUE(TRIM(MID(SUBSTITUTE(SUBSTITUTE(SUBSTITUTE(UPPER($L172)," ",""),"F",""),";",REPT(" ",30)),121,30))),0)+IFERROR(VALUE(TRIM(MID(SUBSTITUTE(SUBSTITUTE(SUBSTITUTE(UPPER($L172)," ",""),"F",""),";",REPT(" ",30)),151,30))),0)+IFERROR(VALUE(TRIM(MID(SUBSTITUTE(SUBSTITUTE(SUBSTITUTE(UPPER($L172)," ",""),"F",""),";",REPT(" ",30)),181,30))),0)+IFERROR(VALUE(TRIM(MID(SUBSTITUTE(SUBSTITUTE(SUBSTITUTE(UPPER($L172)," ",""),"F",""),";",REPT(" ",30)),211,30))),0)))))</f>
        <v/>
      </c>
      <c r="O172" s="26" t="n"/>
      <c r="P172" s="6" t="n"/>
      <c r="Q172" s="13" t="n"/>
      <c r="R172" s="27">
        <f>IF($C172="","",IF($E172="Falta","-",MAX(0,MIN(10,5+IFERROR(VALUE(TRIM(MID(SUBSTITUTE(SUBSTITUTE(SUBSTITUTE(UPPER($P172)," ",""),"C",""),";",REPT(" ",30)),1,30))),0)+IFERROR(VALUE(TRIM(MID(SUBSTITUTE(SUBSTITUTE(SUBSTITUTE(UPPER($P172)," ",""),"C",""),";",REPT(" ",30)),31,30))),0)+IFERROR(VALUE(TRIM(MID(SUBSTITUTE(SUBSTITUTE(SUBSTITUTE(UPPER($P172)," ",""),"C",""),";",REPT(" ",30)),61,30))),0)+IFERROR(VALUE(TRIM(MID(SUBSTITUTE(SUBSTITUTE(SUBSTITUTE(UPPER($P172)," ",""),"C",""),";",REPT(" ",30)),91,30))),0)+IFERROR(VALUE(TRIM(MID(SUBSTITUTE(SUBSTITUTE(SUBSTITUTE(UPPER($P172)," ",""),"C",""),";",REPT(" ",30)),121,30))),0)+IFERROR(VALUE(TRIM(MID(SUBSTITUTE(SUBSTITUTE(SUBSTITUTE(UPPER($P172)," ",""),"C",""),";",REPT(" ",30)),151,30))),0)+IFERROR(VALUE(TRIM(MID(SUBSTITUTE(SUBSTITUTE(SUBSTITUTE(UPPER($P172)," ",""),"C",""),";",REPT(" ",30)),181,30))),0)+IFERROR(VALUE(TRIM(MID(SUBSTITUTE(SUBSTITUTE(SUBSTITUTE(UPPER($P172)," ",""),"C",""),";",REPT(" ",30)),211,30))),0)))))</f>
        <v/>
      </c>
      <c r="S172" s="26" t="n"/>
      <c r="T172" s="6" t="n"/>
      <c r="U172" s="13" t="n"/>
      <c r="V172" s="27">
        <f>IF($C172="","",IF($E172="Falta","-",MAX(0,MIN(10,5+IFERROR(VALUE(TRIM(MID(SUBSTITUTE(SUBSTITUTE(SUBSTITUTE(UPPER($T172)," ",""),"P",""),";",REPT(" ",30)),1,30))),0)+IFERROR(VALUE(TRIM(MID(SUBSTITUTE(SUBSTITUTE(SUBSTITUTE(UPPER($T172)," ",""),"P",""),";",REPT(" ",30)),31,30))),0)+IFERROR(VALUE(TRIM(MID(SUBSTITUTE(SUBSTITUTE(SUBSTITUTE(UPPER($T172)," ",""),"P",""),";",REPT(" ",30)),61,30))),0)+IFERROR(VALUE(TRIM(MID(SUBSTITUTE(SUBSTITUTE(SUBSTITUTE(UPPER($T172)," ",""),"P",""),";",REPT(" ",30)),91,30))),0)+IFERROR(VALUE(TRIM(MID(SUBSTITUTE(SUBSTITUTE(SUBSTITUTE(UPPER($T172)," ",""),"P",""),";",REPT(" ",30)),121,30))),0)+IFERROR(VALUE(TRIM(MID(SUBSTITUTE(SUBSTITUTE(SUBSTITUTE(UPPER($T172)," ",""),"P",""),";",REPT(" ",30)),151,30))),0)+IFERROR(VALUE(TRIM(MID(SUBSTITUTE(SUBSTITUTE(SUBSTITUTE(UPPER($T172)," ",""),"P",""),";",REPT(" ",30)),181,30))),0)+IFERROR(VALUE(TRIM(MID(SUBSTITUTE(SUBSTITUTE(SUBSTITUTE(UPPER($T172)," ",""),"P",""),";",REPT(" ",30)),211,30))),0)))))</f>
        <v/>
      </c>
      <c r="W172" s="26" t="n"/>
      <c r="X172" s="13" t="n"/>
    </row>
    <row r="173">
      <c r="A173" s="6">
        <f>IF($C173="","",34)</f>
        <v/>
      </c>
      <c r="B173" s="6">
        <f>IF($C173="","","5ª Sessão")</f>
        <v/>
      </c>
      <c r="C173" s="6">
        <f>IF(Preenchimento!$B$43="","",Preenchimento!$B$43)</f>
        <v/>
      </c>
      <c r="D173" s="6">
        <f>IF($C173="","",IF(Preenchimento!$C$43="","-",Preenchimento!$C$43))</f>
        <v/>
      </c>
      <c r="E173" s="6" t="n"/>
      <c r="F173" s="6" t="n"/>
      <c r="G173" s="26" t="n"/>
      <c r="H173" s="6" t="n"/>
      <c r="I173" s="13" t="n"/>
      <c r="J173" s="27">
        <f>IF($C173="","",IF($E173="Falta","-",MAX(0,MIN(10,8+IFERROR(VALUE(TRIM(MID(SUBSTITUTE(SUBSTITUTE(SUBSTITUTE(UPPER($H173)," ",""),"D",""),";",REPT(" ",30)),1,30))),0)+IFERROR(VALUE(TRIM(MID(SUBSTITUTE(SUBSTITUTE(SUBSTITUTE(UPPER($H173)," ",""),"D",""),";",REPT(" ",30)),31,30))),0)+IFERROR(VALUE(TRIM(MID(SUBSTITUTE(SUBSTITUTE(SUBSTITUTE(UPPER($H173)," ",""),"D",""),";",REPT(" ",30)),61,30))),0)+IFERROR(VALUE(TRIM(MID(SUBSTITUTE(SUBSTITUTE(SUBSTITUTE(UPPER($H173)," ",""),"D",""),";",REPT(" ",30)),91,30))),0)+IFERROR(VALUE(TRIM(MID(SUBSTITUTE(SUBSTITUTE(SUBSTITUTE(UPPER($H173)," ",""),"D",""),";",REPT(" ",30)),121,30))),0)+IFERROR(VALUE(TRIM(MID(SUBSTITUTE(SUBSTITUTE(SUBSTITUTE(UPPER($H173)," ",""),"D",""),";",REPT(" ",30)),151,30))),0)+IFERROR(VALUE(TRIM(MID(SUBSTITUTE(SUBSTITUTE(SUBSTITUTE(UPPER($H173)," ",""),"D",""),";",REPT(" ",30)),181,30))),0)+IFERROR(VALUE(TRIM(MID(SUBSTITUTE(SUBSTITUTE(SUBSTITUTE(UPPER($H173)," ",""),"D",""),";",REPT(" ",30)),211,30))),0)))))</f>
        <v/>
      </c>
      <c r="K173" s="26" t="n"/>
      <c r="L173" s="6" t="n"/>
      <c r="M173" s="13" t="n"/>
      <c r="N173" s="27">
        <f>IF($C173="","",IF($E173="Falta","-",MAX(0,MIN(10,8+IFERROR(VALUE(TRIM(MID(SUBSTITUTE(SUBSTITUTE(SUBSTITUTE(UPPER($L173)," ",""),"F",""),";",REPT(" ",30)),1,30))),0)+IFERROR(VALUE(TRIM(MID(SUBSTITUTE(SUBSTITUTE(SUBSTITUTE(UPPER($L173)," ",""),"F",""),";",REPT(" ",30)),31,30))),0)+IFERROR(VALUE(TRIM(MID(SUBSTITUTE(SUBSTITUTE(SUBSTITUTE(UPPER($L173)," ",""),"F",""),";",REPT(" ",30)),61,30))),0)+IFERROR(VALUE(TRIM(MID(SUBSTITUTE(SUBSTITUTE(SUBSTITUTE(UPPER($L173)," ",""),"F",""),";",REPT(" ",30)),91,30))),0)+IFERROR(VALUE(TRIM(MID(SUBSTITUTE(SUBSTITUTE(SUBSTITUTE(UPPER($L173)," ",""),"F",""),";",REPT(" ",30)),121,30))),0)+IFERROR(VALUE(TRIM(MID(SUBSTITUTE(SUBSTITUTE(SUBSTITUTE(UPPER($L173)," ",""),"F",""),";",REPT(" ",30)),151,30))),0)+IFERROR(VALUE(TRIM(MID(SUBSTITUTE(SUBSTITUTE(SUBSTITUTE(UPPER($L173)," ",""),"F",""),";",REPT(" ",30)),181,30))),0)+IFERROR(VALUE(TRIM(MID(SUBSTITUTE(SUBSTITUTE(SUBSTITUTE(UPPER($L173)," ",""),"F",""),";",REPT(" ",30)),211,30))),0)))))</f>
        <v/>
      </c>
      <c r="O173" s="26" t="n"/>
      <c r="P173" s="6" t="n"/>
      <c r="Q173" s="13" t="n"/>
      <c r="R173" s="27">
        <f>IF($C173="","",IF($E173="Falta","-",MAX(0,MIN(10,5+IFERROR(VALUE(TRIM(MID(SUBSTITUTE(SUBSTITUTE(SUBSTITUTE(UPPER($P173)," ",""),"C",""),";",REPT(" ",30)),1,30))),0)+IFERROR(VALUE(TRIM(MID(SUBSTITUTE(SUBSTITUTE(SUBSTITUTE(UPPER($P173)," ",""),"C",""),";",REPT(" ",30)),31,30))),0)+IFERROR(VALUE(TRIM(MID(SUBSTITUTE(SUBSTITUTE(SUBSTITUTE(UPPER($P173)," ",""),"C",""),";",REPT(" ",30)),61,30))),0)+IFERROR(VALUE(TRIM(MID(SUBSTITUTE(SUBSTITUTE(SUBSTITUTE(UPPER($P173)," ",""),"C",""),";",REPT(" ",30)),91,30))),0)+IFERROR(VALUE(TRIM(MID(SUBSTITUTE(SUBSTITUTE(SUBSTITUTE(UPPER($P173)," ",""),"C",""),";",REPT(" ",30)),121,30))),0)+IFERROR(VALUE(TRIM(MID(SUBSTITUTE(SUBSTITUTE(SUBSTITUTE(UPPER($P173)," ",""),"C",""),";",REPT(" ",30)),151,30))),0)+IFERROR(VALUE(TRIM(MID(SUBSTITUTE(SUBSTITUTE(SUBSTITUTE(UPPER($P173)," ",""),"C",""),";",REPT(" ",30)),181,30))),0)+IFERROR(VALUE(TRIM(MID(SUBSTITUTE(SUBSTITUTE(SUBSTITUTE(UPPER($P173)," ",""),"C",""),";",REPT(" ",30)),211,30))),0)))))</f>
        <v/>
      </c>
      <c r="S173" s="26" t="n"/>
      <c r="T173" s="6" t="n"/>
      <c r="U173" s="13" t="n"/>
      <c r="V173" s="27">
        <f>IF($C173="","",IF($E173="Falta","-",MAX(0,MIN(10,5+IFERROR(VALUE(TRIM(MID(SUBSTITUTE(SUBSTITUTE(SUBSTITUTE(UPPER($T173)," ",""),"P",""),";",REPT(" ",30)),1,30))),0)+IFERROR(VALUE(TRIM(MID(SUBSTITUTE(SUBSTITUTE(SUBSTITUTE(UPPER($T173)," ",""),"P",""),";",REPT(" ",30)),31,30))),0)+IFERROR(VALUE(TRIM(MID(SUBSTITUTE(SUBSTITUTE(SUBSTITUTE(UPPER($T173)," ",""),"P",""),";",REPT(" ",30)),61,30))),0)+IFERROR(VALUE(TRIM(MID(SUBSTITUTE(SUBSTITUTE(SUBSTITUTE(UPPER($T173)," ",""),"P",""),";",REPT(" ",30)),91,30))),0)+IFERROR(VALUE(TRIM(MID(SUBSTITUTE(SUBSTITUTE(SUBSTITUTE(UPPER($T173)," ",""),"P",""),";",REPT(" ",30)),121,30))),0)+IFERROR(VALUE(TRIM(MID(SUBSTITUTE(SUBSTITUTE(SUBSTITUTE(UPPER($T173)," ",""),"P",""),";",REPT(" ",30)),151,30))),0)+IFERROR(VALUE(TRIM(MID(SUBSTITUTE(SUBSTITUTE(SUBSTITUTE(UPPER($T173)," ",""),"P",""),";",REPT(" ",30)),181,30))),0)+IFERROR(VALUE(TRIM(MID(SUBSTITUTE(SUBSTITUTE(SUBSTITUTE(UPPER($T173)," ",""),"P",""),";",REPT(" ",30)),211,30))),0)))))</f>
        <v/>
      </c>
      <c r="W173" s="26" t="n"/>
      <c r="X173" s="13" t="n"/>
    </row>
    <row r="174">
      <c r="A174" s="8">
        <f>IF($C174="","",35)</f>
        <v/>
      </c>
      <c r="B174" s="8">
        <f>IF($C174="","","1ª Sessão")</f>
        <v/>
      </c>
      <c r="C174" s="8">
        <f>IF(Preenchimento!$B$44="","",Preenchimento!$B$44)</f>
        <v/>
      </c>
      <c r="D174" s="8">
        <f>IF($C174="","",IF(Preenchimento!$C$44="","-",Preenchimento!$C$44))</f>
        <v/>
      </c>
      <c r="E174" s="8" t="n"/>
      <c r="F174" s="8" t="n"/>
      <c r="G174" s="24" t="n"/>
      <c r="H174" s="8" t="n"/>
      <c r="I174" s="14" t="n"/>
      <c r="J174" s="25">
        <f>IF($C174="","",IF($E174="Falta","-",MAX(0,MIN(10,8+IFERROR(VALUE(TRIM(MID(SUBSTITUTE(SUBSTITUTE(SUBSTITUTE(UPPER($H174)," ",""),"D",""),";",REPT(" ",30)),1,30))),0)+IFERROR(VALUE(TRIM(MID(SUBSTITUTE(SUBSTITUTE(SUBSTITUTE(UPPER($H174)," ",""),"D",""),";",REPT(" ",30)),31,30))),0)+IFERROR(VALUE(TRIM(MID(SUBSTITUTE(SUBSTITUTE(SUBSTITUTE(UPPER($H174)," ",""),"D",""),";",REPT(" ",30)),61,30))),0)+IFERROR(VALUE(TRIM(MID(SUBSTITUTE(SUBSTITUTE(SUBSTITUTE(UPPER($H174)," ",""),"D",""),";",REPT(" ",30)),91,30))),0)+IFERROR(VALUE(TRIM(MID(SUBSTITUTE(SUBSTITUTE(SUBSTITUTE(UPPER($H174)," ",""),"D",""),";",REPT(" ",30)),121,30))),0)+IFERROR(VALUE(TRIM(MID(SUBSTITUTE(SUBSTITUTE(SUBSTITUTE(UPPER($H174)," ",""),"D",""),";",REPT(" ",30)),151,30))),0)+IFERROR(VALUE(TRIM(MID(SUBSTITUTE(SUBSTITUTE(SUBSTITUTE(UPPER($H174)," ",""),"D",""),";",REPT(" ",30)),181,30))),0)+IFERROR(VALUE(TRIM(MID(SUBSTITUTE(SUBSTITUTE(SUBSTITUTE(UPPER($H174)," ",""),"D",""),";",REPT(" ",30)),211,30))),0)))))</f>
        <v/>
      </c>
      <c r="K174" s="24" t="n"/>
      <c r="L174" s="8" t="n"/>
      <c r="M174" s="14" t="n"/>
      <c r="N174" s="25">
        <f>IF($C174="","",IF($E174="Falta","-",MAX(0,MIN(10,8+IFERROR(VALUE(TRIM(MID(SUBSTITUTE(SUBSTITUTE(SUBSTITUTE(UPPER($L174)," ",""),"F",""),";",REPT(" ",30)),1,30))),0)+IFERROR(VALUE(TRIM(MID(SUBSTITUTE(SUBSTITUTE(SUBSTITUTE(UPPER($L174)," ",""),"F",""),";",REPT(" ",30)),31,30))),0)+IFERROR(VALUE(TRIM(MID(SUBSTITUTE(SUBSTITUTE(SUBSTITUTE(UPPER($L174)," ",""),"F",""),";",REPT(" ",30)),61,30))),0)+IFERROR(VALUE(TRIM(MID(SUBSTITUTE(SUBSTITUTE(SUBSTITUTE(UPPER($L174)," ",""),"F",""),";",REPT(" ",30)),91,30))),0)+IFERROR(VALUE(TRIM(MID(SUBSTITUTE(SUBSTITUTE(SUBSTITUTE(UPPER($L174)," ",""),"F",""),";",REPT(" ",30)),121,30))),0)+IFERROR(VALUE(TRIM(MID(SUBSTITUTE(SUBSTITUTE(SUBSTITUTE(UPPER($L174)," ",""),"F",""),";",REPT(" ",30)),151,30))),0)+IFERROR(VALUE(TRIM(MID(SUBSTITUTE(SUBSTITUTE(SUBSTITUTE(UPPER($L174)," ",""),"F",""),";",REPT(" ",30)),181,30))),0)+IFERROR(VALUE(TRIM(MID(SUBSTITUTE(SUBSTITUTE(SUBSTITUTE(UPPER($L174)," ",""),"F",""),";",REPT(" ",30)),211,30))),0)))))</f>
        <v/>
      </c>
      <c r="O174" s="24" t="n"/>
      <c r="P174" s="8" t="n"/>
      <c r="Q174" s="14" t="n"/>
      <c r="R174" s="25">
        <f>IF($C174="","",IF($E174="Falta","-",MAX(0,MIN(10,5+IFERROR(VALUE(TRIM(MID(SUBSTITUTE(SUBSTITUTE(SUBSTITUTE(UPPER($P174)," ",""),"C",""),";",REPT(" ",30)),1,30))),0)+IFERROR(VALUE(TRIM(MID(SUBSTITUTE(SUBSTITUTE(SUBSTITUTE(UPPER($P174)," ",""),"C",""),";",REPT(" ",30)),31,30))),0)+IFERROR(VALUE(TRIM(MID(SUBSTITUTE(SUBSTITUTE(SUBSTITUTE(UPPER($P174)," ",""),"C",""),";",REPT(" ",30)),61,30))),0)+IFERROR(VALUE(TRIM(MID(SUBSTITUTE(SUBSTITUTE(SUBSTITUTE(UPPER($P174)," ",""),"C",""),";",REPT(" ",30)),91,30))),0)+IFERROR(VALUE(TRIM(MID(SUBSTITUTE(SUBSTITUTE(SUBSTITUTE(UPPER($P174)," ",""),"C",""),";",REPT(" ",30)),121,30))),0)+IFERROR(VALUE(TRIM(MID(SUBSTITUTE(SUBSTITUTE(SUBSTITUTE(UPPER($P174)," ",""),"C",""),";",REPT(" ",30)),151,30))),0)+IFERROR(VALUE(TRIM(MID(SUBSTITUTE(SUBSTITUTE(SUBSTITUTE(UPPER($P174)," ",""),"C",""),";",REPT(" ",30)),181,30))),0)+IFERROR(VALUE(TRIM(MID(SUBSTITUTE(SUBSTITUTE(SUBSTITUTE(UPPER($P174)," ",""),"C",""),";",REPT(" ",30)),211,30))),0)))))</f>
        <v/>
      </c>
      <c r="S174" s="24" t="n"/>
      <c r="T174" s="8" t="n"/>
      <c r="U174" s="14" t="n"/>
      <c r="V174" s="25">
        <f>IF($C174="","",IF($E174="Falta","-",MAX(0,MIN(10,5+IFERROR(VALUE(TRIM(MID(SUBSTITUTE(SUBSTITUTE(SUBSTITUTE(UPPER($T174)," ",""),"P",""),";",REPT(" ",30)),1,30))),0)+IFERROR(VALUE(TRIM(MID(SUBSTITUTE(SUBSTITUTE(SUBSTITUTE(UPPER($T174)," ",""),"P",""),";",REPT(" ",30)),31,30))),0)+IFERROR(VALUE(TRIM(MID(SUBSTITUTE(SUBSTITUTE(SUBSTITUTE(UPPER($T174)," ",""),"P",""),";",REPT(" ",30)),61,30))),0)+IFERROR(VALUE(TRIM(MID(SUBSTITUTE(SUBSTITUTE(SUBSTITUTE(UPPER($T174)," ",""),"P",""),";",REPT(" ",30)),91,30))),0)+IFERROR(VALUE(TRIM(MID(SUBSTITUTE(SUBSTITUTE(SUBSTITUTE(UPPER($T174)," ",""),"P",""),";",REPT(" ",30)),121,30))),0)+IFERROR(VALUE(TRIM(MID(SUBSTITUTE(SUBSTITUTE(SUBSTITUTE(UPPER($T174)," ",""),"P",""),";",REPT(" ",30)),151,30))),0)+IFERROR(VALUE(TRIM(MID(SUBSTITUTE(SUBSTITUTE(SUBSTITUTE(UPPER($T174)," ",""),"P",""),";",REPT(" ",30)),181,30))),0)+IFERROR(VALUE(TRIM(MID(SUBSTITUTE(SUBSTITUTE(SUBSTITUTE(UPPER($T174)," ",""),"P",""),";",REPT(" ",30)),211,30))),0)))))</f>
        <v/>
      </c>
      <c r="W174" s="24" t="n"/>
      <c r="X174" s="14" t="n"/>
    </row>
    <row r="175">
      <c r="A175" s="8">
        <f>IF($C175="","",35)</f>
        <v/>
      </c>
      <c r="B175" s="8">
        <f>IF($C175="","","2ª Sessão")</f>
        <v/>
      </c>
      <c r="C175" s="8">
        <f>IF(Preenchimento!$B$44="","",Preenchimento!$B$44)</f>
        <v/>
      </c>
      <c r="D175" s="8">
        <f>IF($C175="","",IF(Preenchimento!$C$44="","-",Preenchimento!$C$44))</f>
        <v/>
      </c>
      <c r="E175" s="8" t="n"/>
      <c r="F175" s="8" t="n"/>
      <c r="G175" s="24" t="n"/>
      <c r="H175" s="8" t="n"/>
      <c r="I175" s="14" t="n"/>
      <c r="J175" s="25">
        <f>IF($C175="","",IF($E175="Falta","-",MAX(0,MIN(10,8+IFERROR(VALUE(TRIM(MID(SUBSTITUTE(SUBSTITUTE(SUBSTITUTE(UPPER($H175)," ",""),"D",""),";",REPT(" ",30)),1,30))),0)+IFERROR(VALUE(TRIM(MID(SUBSTITUTE(SUBSTITUTE(SUBSTITUTE(UPPER($H175)," ",""),"D",""),";",REPT(" ",30)),31,30))),0)+IFERROR(VALUE(TRIM(MID(SUBSTITUTE(SUBSTITUTE(SUBSTITUTE(UPPER($H175)," ",""),"D",""),";",REPT(" ",30)),61,30))),0)+IFERROR(VALUE(TRIM(MID(SUBSTITUTE(SUBSTITUTE(SUBSTITUTE(UPPER($H175)," ",""),"D",""),";",REPT(" ",30)),91,30))),0)+IFERROR(VALUE(TRIM(MID(SUBSTITUTE(SUBSTITUTE(SUBSTITUTE(UPPER($H175)," ",""),"D",""),";",REPT(" ",30)),121,30))),0)+IFERROR(VALUE(TRIM(MID(SUBSTITUTE(SUBSTITUTE(SUBSTITUTE(UPPER($H175)," ",""),"D",""),";",REPT(" ",30)),151,30))),0)+IFERROR(VALUE(TRIM(MID(SUBSTITUTE(SUBSTITUTE(SUBSTITUTE(UPPER($H175)," ",""),"D",""),";",REPT(" ",30)),181,30))),0)+IFERROR(VALUE(TRIM(MID(SUBSTITUTE(SUBSTITUTE(SUBSTITUTE(UPPER($H175)," ",""),"D",""),";",REPT(" ",30)),211,30))),0)))))</f>
        <v/>
      </c>
      <c r="K175" s="24" t="n"/>
      <c r="L175" s="8" t="n"/>
      <c r="M175" s="14" t="n"/>
      <c r="N175" s="25">
        <f>IF($C175="","",IF($E175="Falta","-",MAX(0,MIN(10,8+IFERROR(VALUE(TRIM(MID(SUBSTITUTE(SUBSTITUTE(SUBSTITUTE(UPPER($L175)," ",""),"F",""),";",REPT(" ",30)),1,30))),0)+IFERROR(VALUE(TRIM(MID(SUBSTITUTE(SUBSTITUTE(SUBSTITUTE(UPPER($L175)," ",""),"F",""),";",REPT(" ",30)),31,30))),0)+IFERROR(VALUE(TRIM(MID(SUBSTITUTE(SUBSTITUTE(SUBSTITUTE(UPPER($L175)," ",""),"F",""),";",REPT(" ",30)),61,30))),0)+IFERROR(VALUE(TRIM(MID(SUBSTITUTE(SUBSTITUTE(SUBSTITUTE(UPPER($L175)," ",""),"F",""),";",REPT(" ",30)),91,30))),0)+IFERROR(VALUE(TRIM(MID(SUBSTITUTE(SUBSTITUTE(SUBSTITUTE(UPPER($L175)," ",""),"F",""),";",REPT(" ",30)),121,30))),0)+IFERROR(VALUE(TRIM(MID(SUBSTITUTE(SUBSTITUTE(SUBSTITUTE(UPPER($L175)," ",""),"F",""),";",REPT(" ",30)),151,30))),0)+IFERROR(VALUE(TRIM(MID(SUBSTITUTE(SUBSTITUTE(SUBSTITUTE(UPPER($L175)," ",""),"F",""),";",REPT(" ",30)),181,30))),0)+IFERROR(VALUE(TRIM(MID(SUBSTITUTE(SUBSTITUTE(SUBSTITUTE(UPPER($L175)," ",""),"F",""),";",REPT(" ",30)),211,30))),0)))))</f>
        <v/>
      </c>
      <c r="O175" s="24" t="n"/>
      <c r="P175" s="8" t="n"/>
      <c r="Q175" s="14" t="n"/>
      <c r="R175" s="25">
        <f>IF($C175="","",IF($E175="Falta","-",MAX(0,MIN(10,5+IFERROR(VALUE(TRIM(MID(SUBSTITUTE(SUBSTITUTE(SUBSTITUTE(UPPER($P175)," ",""),"C",""),";",REPT(" ",30)),1,30))),0)+IFERROR(VALUE(TRIM(MID(SUBSTITUTE(SUBSTITUTE(SUBSTITUTE(UPPER($P175)," ",""),"C",""),";",REPT(" ",30)),31,30))),0)+IFERROR(VALUE(TRIM(MID(SUBSTITUTE(SUBSTITUTE(SUBSTITUTE(UPPER($P175)," ",""),"C",""),";",REPT(" ",30)),61,30))),0)+IFERROR(VALUE(TRIM(MID(SUBSTITUTE(SUBSTITUTE(SUBSTITUTE(UPPER($P175)," ",""),"C",""),";",REPT(" ",30)),91,30))),0)+IFERROR(VALUE(TRIM(MID(SUBSTITUTE(SUBSTITUTE(SUBSTITUTE(UPPER($P175)," ",""),"C",""),";",REPT(" ",30)),121,30))),0)+IFERROR(VALUE(TRIM(MID(SUBSTITUTE(SUBSTITUTE(SUBSTITUTE(UPPER($P175)," ",""),"C",""),";",REPT(" ",30)),151,30))),0)+IFERROR(VALUE(TRIM(MID(SUBSTITUTE(SUBSTITUTE(SUBSTITUTE(UPPER($P175)," ",""),"C",""),";",REPT(" ",30)),181,30))),0)+IFERROR(VALUE(TRIM(MID(SUBSTITUTE(SUBSTITUTE(SUBSTITUTE(UPPER($P175)," ",""),"C",""),";",REPT(" ",30)),211,30))),0)))))</f>
        <v/>
      </c>
      <c r="S175" s="24" t="n"/>
      <c r="T175" s="8" t="n"/>
      <c r="U175" s="14" t="n"/>
      <c r="V175" s="25">
        <f>IF($C175="","",IF($E175="Falta","-",MAX(0,MIN(10,5+IFERROR(VALUE(TRIM(MID(SUBSTITUTE(SUBSTITUTE(SUBSTITUTE(UPPER($T175)," ",""),"P",""),";",REPT(" ",30)),1,30))),0)+IFERROR(VALUE(TRIM(MID(SUBSTITUTE(SUBSTITUTE(SUBSTITUTE(UPPER($T175)," ",""),"P",""),";",REPT(" ",30)),31,30))),0)+IFERROR(VALUE(TRIM(MID(SUBSTITUTE(SUBSTITUTE(SUBSTITUTE(UPPER($T175)," ",""),"P",""),";",REPT(" ",30)),61,30))),0)+IFERROR(VALUE(TRIM(MID(SUBSTITUTE(SUBSTITUTE(SUBSTITUTE(UPPER($T175)," ",""),"P",""),";",REPT(" ",30)),91,30))),0)+IFERROR(VALUE(TRIM(MID(SUBSTITUTE(SUBSTITUTE(SUBSTITUTE(UPPER($T175)," ",""),"P",""),";",REPT(" ",30)),121,30))),0)+IFERROR(VALUE(TRIM(MID(SUBSTITUTE(SUBSTITUTE(SUBSTITUTE(UPPER($T175)," ",""),"P",""),";",REPT(" ",30)),151,30))),0)+IFERROR(VALUE(TRIM(MID(SUBSTITUTE(SUBSTITUTE(SUBSTITUTE(UPPER($T175)," ",""),"P",""),";",REPT(" ",30)),181,30))),0)+IFERROR(VALUE(TRIM(MID(SUBSTITUTE(SUBSTITUTE(SUBSTITUTE(UPPER($T175)," ",""),"P",""),";",REPT(" ",30)),211,30))),0)))))</f>
        <v/>
      </c>
      <c r="W175" s="24" t="n"/>
      <c r="X175" s="14" t="n"/>
    </row>
    <row r="176">
      <c r="A176" s="8">
        <f>IF($C176="","",35)</f>
        <v/>
      </c>
      <c r="B176" s="8">
        <f>IF($C176="","","3ª Sessão")</f>
        <v/>
      </c>
      <c r="C176" s="8">
        <f>IF(Preenchimento!$B$44="","",Preenchimento!$B$44)</f>
        <v/>
      </c>
      <c r="D176" s="8">
        <f>IF($C176="","",IF(Preenchimento!$C$44="","-",Preenchimento!$C$44))</f>
        <v/>
      </c>
      <c r="E176" s="8" t="n"/>
      <c r="F176" s="8" t="n"/>
      <c r="G176" s="24" t="n"/>
      <c r="H176" s="8" t="n"/>
      <c r="I176" s="14" t="n"/>
      <c r="J176" s="25">
        <f>IF($C176="","",IF($E176="Falta","-",MAX(0,MIN(10,8+IFERROR(VALUE(TRIM(MID(SUBSTITUTE(SUBSTITUTE(SUBSTITUTE(UPPER($H176)," ",""),"D",""),";",REPT(" ",30)),1,30))),0)+IFERROR(VALUE(TRIM(MID(SUBSTITUTE(SUBSTITUTE(SUBSTITUTE(UPPER($H176)," ",""),"D",""),";",REPT(" ",30)),31,30))),0)+IFERROR(VALUE(TRIM(MID(SUBSTITUTE(SUBSTITUTE(SUBSTITUTE(UPPER($H176)," ",""),"D",""),";",REPT(" ",30)),61,30))),0)+IFERROR(VALUE(TRIM(MID(SUBSTITUTE(SUBSTITUTE(SUBSTITUTE(UPPER($H176)," ",""),"D",""),";",REPT(" ",30)),91,30))),0)+IFERROR(VALUE(TRIM(MID(SUBSTITUTE(SUBSTITUTE(SUBSTITUTE(UPPER($H176)," ",""),"D",""),";",REPT(" ",30)),121,30))),0)+IFERROR(VALUE(TRIM(MID(SUBSTITUTE(SUBSTITUTE(SUBSTITUTE(UPPER($H176)," ",""),"D",""),";",REPT(" ",30)),151,30))),0)+IFERROR(VALUE(TRIM(MID(SUBSTITUTE(SUBSTITUTE(SUBSTITUTE(UPPER($H176)," ",""),"D",""),";",REPT(" ",30)),181,30))),0)+IFERROR(VALUE(TRIM(MID(SUBSTITUTE(SUBSTITUTE(SUBSTITUTE(UPPER($H176)," ",""),"D",""),";",REPT(" ",30)),211,30))),0)))))</f>
        <v/>
      </c>
      <c r="K176" s="24" t="n"/>
      <c r="L176" s="8" t="n"/>
      <c r="M176" s="14" t="n"/>
      <c r="N176" s="25">
        <f>IF($C176="","",IF($E176="Falta","-",MAX(0,MIN(10,8+IFERROR(VALUE(TRIM(MID(SUBSTITUTE(SUBSTITUTE(SUBSTITUTE(UPPER($L176)," ",""),"F",""),";",REPT(" ",30)),1,30))),0)+IFERROR(VALUE(TRIM(MID(SUBSTITUTE(SUBSTITUTE(SUBSTITUTE(UPPER($L176)," ",""),"F",""),";",REPT(" ",30)),31,30))),0)+IFERROR(VALUE(TRIM(MID(SUBSTITUTE(SUBSTITUTE(SUBSTITUTE(UPPER($L176)," ",""),"F",""),";",REPT(" ",30)),61,30))),0)+IFERROR(VALUE(TRIM(MID(SUBSTITUTE(SUBSTITUTE(SUBSTITUTE(UPPER($L176)," ",""),"F",""),";",REPT(" ",30)),91,30))),0)+IFERROR(VALUE(TRIM(MID(SUBSTITUTE(SUBSTITUTE(SUBSTITUTE(UPPER($L176)," ",""),"F",""),";",REPT(" ",30)),121,30))),0)+IFERROR(VALUE(TRIM(MID(SUBSTITUTE(SUBSTITUTE(SUBSTITUTE(UPPER($L176)," ",""),"F",""),";",REPT(" ",30)),151,30))),0)+IFERROR(VALUE(TRIM(MID(SUBSTITUTE(SUBSTITUTE(SUBSTITUTE(UPPER($L176)," ",""),"F",""),";",REPT(" ",30)),181,30))),0)+IFERROR(VALUE(TRIM(MID(SUBSTITUTE(SUBSTITUTE(SUBSTITUTE(UPPER($L176)," ",""),"F",""),";",REPT(" ",30)),211,30))),0)))))</f>
        <v/>
      </c>
      <c r="O176" s="24" t="n"/>
      <c r="P176" s="8" t="n"/>
      <c r="Q176" s="14" t="n"/>
      <c r="R176" s="25">
        <f>IF($C176="","",IF($E176="Falta","-",MAX(0,MIN(10,5+IFERROR(VALUE(TRIM(MID(SUBSTITUTE(SUBSTITUTE(SUBSTITUTE(UPPER($P176)," ",""),"C",""),";",REPT(" ",30)),1,30))),0)+IFERROR(VALUE(TRIM(MID(SUBSTITUTE(SUBSTITUTE(SUBSTITUTE(UPPER($P176)," ",""),"C",""),";",REPT(" ",30)),31,30))),0)+IFERROR(VALUE(TRIM(MID(SUBSTITUTE(SUBSTITUTE(SUBSTITUTE(UPPER($P176)," ",""),"C",""),";",REPT(" ",30)),61,30))),0)+IFERROR(VALUE(TRIM(MID(SUBSTITUTE(SUBSTITUTE(SUBSTITUTE(UPPER($P176)," ",""),"C",""),";",REPT(" ",30)),91,30))),0)+IFERROR(VALUE(TRIM(MID(SUBSTITUTE(SUBSTITUTE(SUBSTITUTE(UPPER($P176)," ",""),"C",""),";",REPT(" ",30)),121,30))),0)+IFERROR(VALUE(TRIM(MID(SUBSTITUTE(SUBSTITUTE(SUBSTITUTE(UPPER($P176)," ",""),"C",""),";",REPT(" ",30)),151,30))),0)+IFERROR(VALUE(TRIM(MID(SUBSTITUTE(SUBSTITUTE(SUBSTITUTE(UPPER($P176)," ",""),"C",""),";",REPT(" ",30)),181,30))),0)+IFERROR(VALUE(TRIM(MID(SUBSTITUTE(SUBSTITUTE(SUBSTITUTE(UPPER($P176)," ",""),"C",""),";",REPT(" ",30)),211,30))),0)))))</f>
        <v/>
      </c>
      <c r="S176" s="24" t="n"/>
      <c r="T176" s="8" t="n"/>
      <c r="U176" s="14" t="n"/>
      <c r="V176" s="25">
        <f>IF($C176="","",IF($E176="Falta","-",MAX(0,MIN(10,5+IFERROR(VALUE(TRIM(MID(SUBSTITUTE(SUBSTITUTE(SUBSTITUTE(UPPER($T176)," ",""),"P",""),";",REPT(" ",30)),1,30))),0)+IFERROR(VALUE(TRIM(MID(SUBSTITUTE(SUBSTITUTE(SUBSTITUTE(UPPER($T176)," ",""),"P",""),";",REPT(" ",30)),31,30))),0)+IFERROR(VALUE(TRIM(MID(SUBSTITUTE(SUBSTITUTE(SUBSTITUTE(UPPER($T176)," ",""),"P",""),";",REPT(" ",30)),61,30))),0)+IFERROR(VALUE(TRIM(MID(SUBSTITUTE(SUBSTITUTE(SUBSTITUTE(UPPER($T176)," ",""),"P",""),";",REPT(" ",30)),91,30))),0)+IFERROR(VALUE(TRIM(MID(SUBSTITUTE(SUBSTITUTE(SUBSTITUTE(UPPER($T176)," ",""),"P",""),";",REPT(" ",30)),121,30))),0)+IFERROR(VALUE(TRIM(MID(SUBSTITUTE(SUBSTITUTE(SUBSTITUTE(UPPER($T176)," ",""),"P",""),";",REPT(" ",30)),151,30))),0)+IFERROR(VALUE(TRIM(MID(SUBSTITUTE(SUBSTITUTE(SUBSTITUTE(UPPER($T176)," ",""),"P",""),";",REPT(" ",30)),181,30))),0)+IFERROR(VALUE(TRIM(MID(SUBSTITUTE(SUBSTITUTE(SUBSTITUTE(UPPER($T176)," ",""),"P",""),";",REPT(" ",30)),211,30))),0)))))</f>
        <v/>
      </c>
      <c r="W176" s="24" t="n"/>
      <c r="X176" s="14" t="n"/>
    </row>
    <row r="177">
      <c r="A177" s="8">
        <f>IF($C177="","",35)</f>
        <v/>
      </c>
      <c r="B177" s="8">
        <f>IF($C177="","","4ª Sessão")</f>
        <v/>
      </c>
      <c r="C177" s="8">
        <f>IF(Preenchimento!$B$44="","",Preenchimento!$B$44)</f>
        <v/>
      </c>
      <c r="D177" s="8">
        <f>IF($C177="","",IF(Preenchimento!$C$44="","-",Preenchimento!$C$44))</f>
        <v/>
      </c>
      <c r="E177" s="8" t="n"/>
      <c r="F177" s="8" t="n"/>
      <c r="G177" s="24" t="n"/>
      <c r="H177" s="8" t="n"/>
      <c r="I177" s="14" t="n"/>
      <c r="J177" s="25">
        <f>IF($C177="","",IF($E177="Falta","-",MAX(0,MIN(10,8+IFERROR(VALUE(TRIM(MID(SUBSTITUTE(SUBSTITUTE(SUBSTITUTE(UPPER($H177)," ",""),"D",""),";",REPT(" ",30)),1,30))),0)+IFERROR(VALUE(TRIM(MID(SUBSTITUTE(SUBSTITUTE(SUBSTITUTE(UPPER($H177)," ",""),"D",""),";",REPT(" ",30)),31,30))),0)+IFERROR(VALUE(TRIM(MID(SUBSTITUTE(SUBSTITUTE(SUBSTITUTE(UPPER($H177)," ",""),"D",""),";",REPT(" ",30)),61,30))),0)+IFERROR(VALUE(TRIM(MID(SUBSTITUTE(SUBSTITUTE(SUBSTITUTE(UPPER($H177)," ",""),"D",""),";",REPT(" ",30)),91,30))),0)+IFERROR(VALUE(TRIM(MID(SUBSTITUTE(SUBSTITUTE(SUBSTITUTE(UPPER($H177)," ",""),"D",""),";",REPT(" ",30)),121,30))),0)+IFERROR(VALUE(TRIM(MID(SUBSTITUTE(SUBSTITUTE(SUBSTITUTE(UPPER($H177)," ",""),"D",""),";",REPT(" ",30)),151,30))),0)+IFERROR(VALUE(TRIM(MID(SUBSTITUTE(SUBSTITUTE(SUBSTITUTE(UPPER($H177)," ",""),"D",""),";",REPT(" ",30)),181,30))),0)+IFERROR(VALUE(TRIM(MID(SUBSTITUTE(SUBSTITUTE(SUBSTITUTE(UPPER($H177)," ",""),"D",""),";",REPT(" ",30)),211,30))),0)))))</f>
        <v/>
      </c>
      <c r="K177" s="24" t="n"/>
      <c r="L177" s="8" t="n"/>
      <c r="M177" s="14" t="n"/>
      <c r="N177" s="25">
        <f>IF($C177="","",IF($E177="Falta","-",MAX(0,MIN(10,8+IFERROR(VALUE(TRIM(MID(SUBSTITUTE(SUBSTITUTE(SUBSTITUTE(UPPER($L177)," ",""),"F",""),";",REPT(" ",30)),1,30))),0)+IFERROR(VALUE(TRIM(MID(SUBSTITUTE(SUBSTITUTE(SUBSTITUTE(UPPER($L177)," ",""),"F",""),";",REPT(" ",30)),31,30))),0)+IFERROR(VALUE(TRIM(MID(SUBSTITUTE(SUBSTITUTE(SUBSTITUTE(UPPER($L177)," ",""),"F",""),";",REPT(" ",30)),61,30))),0)+IFERROR(VALUE(TRIM(MID(SUBSTITUTE(SUBSTITUTE(SUBSTITUTE(UPPER($L177)," ",""),"F",""),";",REPT(" ",30)),91,30))),0)+IFERROR(VALUE(TRIM(MID(SUBSTITUTE(SUBSTITUTE(SUBSTITUTE(UPPER($L177)," ",""),"F",""),";",REPT(" ",30)),121,30))),0)+IFERROR(VALUE(TRIM(MID(SUBSTITUTE(SUBSTITUTE(SUBSTITUTE(UPPER($L177)," ",""),"F",""),";",REPT(" ",30)),151,30))),0)+IFERROR(VALUE(TRIM(MID(SUBSTITUTE(SUBSTITUTE(SUBSTITUTE(UPPER($L177)," ",""),"F",""),";",REPT(" ",30)),181,30))),0)+IFERROR(VALUE(TRIM(MID(SUBSTITUTE(SUBSTITUTE(SUBSTITUTE(UPPER($L177)," ",""),"F",""),";",REPT(" ",30)),211,30))),0)))))</f>
        <v/>
      </c>
      <c r="O177" s="24" t="n"/>
      <c r="P177" s="8" t="n"/>
      <c r="Q177" s="14" t="n"/>
      <c r="R177" s="25">
        <f>IF($C177="","",IF($E177="Falta","-",MAX(0,MIN(10,5+IFERROR(VALUE(TRIM(MID(SUBSTITUTE(SUBSTITUTE(SUBSTITUTE(UPPER($P177)," ",""),"C",""),";",REPT(" ",30)),1,30))),0)+IFERROR(VALUE(TRIM(MID(SUBSTITUTE(SUBSTITUTE(SUBSTITUTE(UPPER($P177)," ",""),"C",""),";",REPT(" ",30)),31,30))),0)+IFERROR(VALUE(TRIM(MID(SUBSTITUTE(SUBSTITUTE(SUBSTITUTE(UPPER($P177)," ",""),"C",""),";",REPT(" ",30)),61,30))),0)+IFERROR(VALUE(TRIM(MID(SUBSTITUTE(SUBSTITUTE(SUBSTITUTE(UPPER($P177)," ",""),"C",""),";",REPT(" ",30)),91,30))),0)+IFERROR(VALUE(TRIM(MID(SUBSTITUTE(SUBSTITUTE(SUBSTITUTE(UPPER($P177)," ",""),"C",""),";",REPT(" ",30)),121,30))),0)+IFERROR(VALUE(TRIM(MID(SUBSTITUTE(SUBSTITUTE(SUBSTITUTE(UPPER($P177)," ",""),"C",""),";",REPT(" ",30)),151,30))),0)+IFERROR(VALUE(TRIM(MID(SUBSTITUTE(SUBSTITUTE(SUBSTITUTE(UPPER($P177)," ",""),"C",""),";",REPT(" ",30)),181,30))),0)+IFERROR(VALUE(TRIM(MID(SUBSTITUTE(SUBSTITUTE(SUBSTITUTE(UPPER($P177)," ",""),"C",""),";",REPT(" ",30)),211,30))),0)))))</f>
        <v/>
      </c>
      <c r="S177" s="24" t="n"/>
      <c r="T177" s="8" t="n"/>
      <c r="U177" s="14" t="n"/>
      <c r="V177" s="25">
        <f>IF($C177="","",IF($E177="Falta","-",MAX(0,MIN(10,5+IFERROR(VALUE(TRIM(MID(SUBSTITUTE(SUBSTITUTE(SUBSTITUTE(UPPER($T177)," ",""),"P",""),";",REPT(" ",30)),1,30))),0)+IFERROR(VALUE(TRIM(MID(SUBSTITUTE(SUBSTITUTE(SUBSTITUTE(UPPER($T177)," ",""),"P",""),";",REPT(" ",30)),31,30))),0)+IFERROR(VALUE(TRIM(MID(SUBSTITUTE(SUBSTITUTE(SUBSTITUTE(UPPER($T177)," ",""),"P",""),";",REPT(" ",30)),61,30))),0)+IFERROR(VALUE(TRIM(MID(SUBSTITUTE(SUBSTITUTE(SUBSTITUTE(UPPER($T177)," ",""),"P",""),";",REPT(" ",30)),91,30))),0)+IFERROR(VALUE(TRIM(MID(SUBSTITUTE(SUBSTITUTE(SUBSTITUTE(UPPER($T177)," ",""),"P",""),";",REPT(" ",30)),121,30))),0)+IFERROR(VALUE(TRIM(MID(SUBSTITUTE(SUBSTITUTE(SUBSTITUTE(UPPER($T177)," ",""),"P",""),";",REPT(" ",30)),151,30))),0)+IFERROR(VALUE(TRIM(MID(SUBSTITUTE(SUBSTITUTE(SUBSTITUTE(UPPER($T177)," ",""),"P",""),";",REPT(" ",30)),181,30))),0)+IFERROR(VALUE(TRIM(MID(SUBSTITUTE(SUBSTITUTE(SUBSTITUTE(UPPER($T177)," ",""),"P",""),";",REPT(" ",30)),211,30))),0)))))</f>
        <v/>
      </c>
      <c r="W177" s="24" t="n"/>
      <c r="X177" s="14" t="n"/>
    </row>
    <row r="178">
      <c r="A178" s="8">
        <f>IF($C178="","",35)</f>
        <v/>
      </c>
      <c r="B178" s="8">
        <f>IF($C178="","","5ª Sessão")</f>
        <v/>
      </c>
      <c r="C178" s="8">
        <f>IF(Preenchimento!$B$44="","",Preenchimento!$B$44)</f>
        <v/>
      </c>
      <c r="D178" s="8">
        <f>IF($C178="","",IF(Preenchimento!$C$44="","-",Preenchimento!$C$44))</f>
        <v/>
      </c>
      <c r="E178" s="8" t="n"/>
      <c r="F178" s="8" t="n"/>
      <c r="G178" s="24" t="n"/>
      <c r="H178" s="8" t="n"/>
      <c r="I178" s="14" t="n"/>
      <c r="J178" s="25">
        <f>IF($C178="","",IF($E178="Falta","-",MAX(0,MIN(10,8+IFERROR(VALUE(TRIM(MID(SUBSTITUTE(SUBSTITUTE(SUBSTITUTE(UPPER($H178)," ",""),"D",""),";",REPT(" ",30)),1,30))),0)+IFERROR(VALUE(TRIM(MID(SUBSTITUTE(SUBSTITUTE(SUBSTITUTE(UPPER($H178)," ",""),"D",""),";",REPT(" ",30)),31,30))),0)+IFERROR(VALUE(TRIM(MID(SUBSTITUTE(SUBSTITUTE(SUBSTITUTE(UPPER($H178)," ",""),"D",""),";",REPT(" ",30)),61,30))),0)+IFERROR(VALUE(TRIM(MID(SUBSTITUTE(SUBSTITUTE(SUBSTITUTE(UPPER($H178)," ",""),"D",""),";",REPT(" ",30)),91,30))),0)+IFERROR(VALUE(TRIM(MID(SUBSTITUTE(SUBSTITUTE(SUBSTITUTE(UPPER($H178)," ",""),"D",""),";",REPT(" ",30)),121,30))),0)+IFERROR(VALUE(TRIM(MID(SUBSTITUTE(SUBSTITUTE(SUBSTITUTE(UPPER($H178)," ",""),"D",""),";",REPT(" ",30)),151,30))),0)+IFERROR(VALUE(TRIM(MID(SUBSTITUTE(SUBSTITUTE(SUBSTITUTE(UPPER($H178)," ",""),"D",""),";",REPT(" ",30)),181,30))),0)+IFERROR(VALUE(TRIM(MID(SUBSTITUTE(SUBSTITUTE(SUBSTITUTE(UPPER($H178)," ",""),"D",""),";",REPT(" ",30)),211,30))),0)))))</f>
        <v/>
      </c>
      <c r="K178" s="24" t="n"/>
      <c r="L178" s="8" t="n"/>
      <c r="M178" s="14" t="n"/>
      <c r="N178" s="25">
        <f>IF($C178="","",IF($E178="Falta","-",MAX(0,MIN(10,8+IFERROR(VALUE(TRIM(MID(SUBSTITUTE(SUBSTITUTE(SUBSTITUTE(UPPER($L178)," ",""),"F",""),";",REPT(" ",30)),1,30))),0)+IFERROR(VALUE(TRIM(MID(SUBSTITUTE(SUBSTITUTE(SUBSTITUTE(UPPER($L178)," ",""),"F",""),";",REPT(" ",30)),31,30))),0)+IFERROR(VALUE(TRIM(MID(SUBSTITUTE(SUBSTITUTE(SUBSTITUTE(UPPER($L178)," ",""),"F",""),";",REPT(" ",30)),61,30))),0)+IFERROR(VALUE(TRIM(MID(SUBSTITUTE(SUBSTITUTE(SUBSTITUTE(UPPER($L178)," ",""),"F",""),";",REPT(" ",30)),91,30))),0)+IFERROR(VALUE(TRIM(MID(SUBSTITUTE(SUBSTITUTE(SUBSTITUTE(UPPER($L178)," ",""),"F",""),";",REPT(" ",30)),121,30))),0)+IFERROR(VALUE(TRIM(MID(SUBSTITUTE(SUBSTITUTE(SUBSTITUTE(UPPER($L178)," ",""),"F",""),";",REPT(" ",30)),151,30))),0)+IFERROR(VALUE(TRIM(MID(SUBSTITUTE(SUBSTITUTE(SUBSTITUTE(UPPER($L178)," ",""),"F",""),";",REPT(" ",30)),181,30))),0)+IFERROR(VALUE(TRIM(MID(SUBSTITUTE(SUBSTITUTE(SUBSTITUTE(UPPER($L178)," ",""),"F",""),";",REPT(" ",30)),211,30))),0)))))</f>
        <v/>
      </c>
      <c r="O178" s="24" t="n"/>
      <c r="P178" s="8" t="n"/>
      <c r="Q178" s="14" t="n"/>
      <c r="R178" s="25">
        <f>IF($C178="","",IF($E178="Falta","-",MAX(0,MIN(10,5+IFERROR(VALUE(TRIM(MID(SUBSTITUTE(SUBSTITUTE(SUBSTITUTE(UPPER($P178)," ",""),"C",""),";",REPT(" ",30)),1,30))),0)+IFERROR(VALUE(TRIM(MID(SUBSTITUTE(SUBSTITUTE(SUBSTITUTE(UPPER($P178)," ",""),"C",""),";",REPT(" ",30)),31,30))),0)+IFERROR(VALUE(TRIM(MID(SUBSTITUTE(SUBSTITUTE(SUBSTITUTE(UPPER($P178)," ",""),"C",""),";",REPT(" ",30)),61,30))),0)+IFERROR(VALUE(TRIM(MID(SUBSTITUTE(SUBSTITUTE(SUBSTITUTE(UPPER($P178)," ",""),"C",""),";",REPT(" ",30)),91,30))),0)+IFERROR(VALUE(TRIM(MID(SUBSTITUTE(SUBSTITUTE(SUBSTITUTE(UPPER($P178)," ",""),"C",""),";",REPT(" ",30)),121,30))),0)+IFERROR(VALUE(TRIM(MID(SUBSTITUTE(SUBSTITUTE(SUBSTITUTE(UPPER($P178)," ",""),"C",""),";",REPT(" ",30)),151,30))),0)+IFERROR(VALUE(TRIM(MID(SUBSTITUTE(SUBSTITUTE(SUBSTITUTE(UPPER($P178)," ",""),"C",""),";",REPT(" ",30)),181,30))),0)+IFERROR(VALUE(TRIM(MID(SUBSTITUTE(SUBSTITUTE(SUBSTITUTE(UPPER($P178)," ",""),"C",""),";",REPT(" ",30)),211,30))),0)))))</f>
        <v/>
      </c>
      <c r="S178" s="24" t="n"/>
      <c r="T178" s="8" t="n"/>
      <c r="U178" s="14" t="n"/>
      <c r="V178" s="25">
        <f>IF($C178="","",IF($E178="Falta","-",MAX(0,MIN(10,5+IFERROR(VALUE(TRIM(MID(SUBSTITUTE(SUBSTITUTE(SUBSTITUTE(UPPER($T178)," ",""),"P",""),";",REPT(" ",30)),1,30))),0)+IFERROR(VALUE(TRIM(MID(SUBSTITUTE(SUBSTITUTE(SUBSTITUTE(UPPER($T178)," ",""),"P",""),";",REPT(" ",30)),31,30))),0)+IFERROR(VALUE(TRIM(MID(SUBSTITUTE(SUBSTITUTE(SUBSTITUTE(UPPER($T178)," ",""),"P",""),";",REPT(" ",30)),61,30))),0)+IFERROR(VALUE(TRIM(MID(SUBSTITUTE(SUBSTITUTE(SUBSTITUTE(UPPER($T178)," ",""),"P",""),";",REPT(" ",30)),91,30))),0)+IFERROR(VALUE(TRIM(MID(SUBSTITUTE(SUBSTITUTE(SUBSTITUTE(UPPER($T178)," ",""),"P",""),";",REPT(" ",30)),121,30))),0)+IFERROR(VALUE(TRIM(MID(SUBSTITUTE(SUBSTITUTE(SUBSTITUTE(UPPER($T178)," ",""),"P",""),";",REPT(" ",30)),151,30))),0)+IFERROR(VALUE(TRIM(MID(SUBSTITUTE(SUBSTITUTE(SUBSTITUTE(UPPER($T178)," ",""),"P",""),";",REPT(" ",30)),181,30))),0)+IFERROR(VALUE(TRIM(MID(SUBSTITUTE(SUBSTITUTE(SUBSTITUTE(UPPER($T178)," ",""),"P",""),";",REPT(" ",30)),211,30))),0)))))</f>
        <v/>
      </c>
      <c r="W178" s="24" t="n"/>
      <c r="X178" s="14" t="n"/>
    </row>
    <row r="179">
      <c r="A179" s="6">
        <f>IF($C179="","",36)</f>
        <v/>
      </c>
      <c r="B179" s="6">
        <f>IF($C179="","","1ª Sessão")</f>
        <v/>
      </c>
      <c r="C179" s="6">
        <f>IF(Preenchimento!$B$45="","",Preenchimento!$B$45)</f>
        <v/>
      </c>
      <c r="D179" s="6">
        <f>IF($C179="","",IF(Preenchimento!$C$45="","-",Preenchimento!$C$45))</f>
        <v/>
      </c>
      <c r="E179" s="6" t="n"/>
      <c r="F179" s="6" t="n"/>
      <c r="G179" s="26" t="n"/>
      <c r="H179" s="6" t="n"/>
      <c r="I179" s="13" t="n"/>
      <c r="J179" s="27">
        <f>IF($C179="","",IF($E179="Falta","-",MAX(0,MIN(10,8+IFERROR(VALUE(TRIM(MID(SUBSTITUTE(SUBSTITUTE(SUBSTITUTE(UPPER($H179)," ",""),"D",""),";",REPT(" ",30)),1,30))),0)+IFERROR(VALUE(TRIM(MID(SUBSTITUTE(SUBSTITUTE(SUBSTITUTE(UPPER($H179)," ",""),"D",""),";",REPT(" ",30)),31,30))),0)+IFERROR(VALUE(TRIM(MID(SUBSTITUTE(SUBSTITUTE(SUBSTITUTE(UPPER($H179)," ",""),"D",""),";",REPT(" ",30)),61,30))),0)+IFERROR(VALUE(TRIM(MID(SUBSTITUTE(SUBSTITUTE(SUBSTITUTE(UPPER($H179)," ",""),"D",""),";",REPT(" ",30)),91,30))),0)+IFERROR(VALUE(TRIM(MID(SUBSTITUTE(SUBSTITUTE(SUBSTITUTE(UPPER($H179)," ",""),"D",""),";",REPT(" ",30)),121,30))),0)+IFERROR(VALUE(TRIM(MID(SUBSTITUTE(SUBSTITUTE(SUBSTITUTE(UPPER($H179)," ",""),"D",""),";",REPT(" ",30)),151,30))),0)+IFERROR(VALUE(TRIM(MID(SUBSTITUTE(SUBSTITUTE(SUBSTITUTE(UPPER($H179)," ",""),"D",""),";",REPT(" ",30)),181,30))),0)+IFERROR(VALUE(TRIM(MID(SUBSTITUTE(SUBSTITUTE(SUBSTITUTE(UPPER($H179)," ",""),"D",""),";",REPT(" ",30)),211,30))),0)))))</f>
        <v/>
      </c>
      <c r="K179" s="26" t="n"/>
      <c r="L179" s="6" t="n"/>
      <c r="M179" s="13" t="n"/>
      <c r="N179" s="27">
        <f>IF($C179="","",IF($E179="Falta","-",MAX(0,MIN(10,8+IFERROR(VALUE(TRIM(MID(SUBSTITUTE(SUBSTITUTE(SUBSTITUTE(UPPER($L179)," ",""),"F",""),";",REPT(" ",30)),1,30))),0)+IFERROR(VALUE(TRIM(MID(SUBSTITUTE(SUBSTITUTE(SUBSTITUTE(UPPER($L179)," ",""),"F",""),";",REPT(" ",30)),31,30))),0)+IFERROR(VALUE(TRIM(MID(SUBSTITUTE(SUBSTITUTE(SUBSTITUTE(UPPER($L179)," ",""),"F",""),";",REPT(" ",30)),61,30))),0)+IFERROR(VALUE(TRIM(MID(SUBSTITUTE(SUBSTITUTE(SUBSTITUTE(UPPER($L179)," ",""),"F",""),";",REPT(" ",30)),91,30))),0)+IFERROR(VALUE(TRIM(MID(SUBSTITUTE(SUBSTITUTE(SUBSTITUTE(UPPER($L179)," ",""),"F",""),";",REPT(" ",30)),121,30))),0)+IFERROR(VALUE(TRIM(MID(SUBSTITUTE(SUBSTITUTE(SUBSTITUTE(UPPER($L179)," ",""),"F",""),";",REPT(" ",30)),151,30))),0)+IFERROR(VALUE(TRIM(MID(SUBSTITUTE(SUBSTITUTE(SUBSTITUTE(UPPER($L179)," ",""),"F",""),";",REPT(" ",30)),181,30))),0)+IFERROR(VALUE(TRIM(MID(SUBSTITUTE(SUBSTITUTE(SUBSTITUTE(UPPER($L179)," ",""),"F",""),";",REPT(" ",30)),211,30))),0)))))</f>
        <v/>
      </c>
      <c r="O179" s="26" t="n"/>
      <c r="P179" s="6" t="n"/>
      <c r="Q179" s="13" t="n"/>
      <c r="R179" s="27">
        <f>IF($C179="","",IF($E179="Falta","-",MAX(0,MIN(10,5+IFERROR(VALUE(TRIM(MID(SUBSTITUTE(SUBSTITUTE(SUBSTITUTE(UPPER($P179)," ",""),"C",""),";",REPT(" ",30)),1,30))),0)+IFERROR(VALUE(TRIM(MID(SUBSTITUTE(SUBSTITUTE(SUBSTITUTE(UPPER($P179)," ",""),"C",""),";",REPT(" ",30)),31,30))),0)+IFERROR(VALUE(TRIM(MID(SUBSTITUTE(SUBSTITUTE(SUBSTITUTE(UPPER($P179)," ",""),"C",""),";",REPT(" ",30)),61,30))),0)+IFERROR(VALUE(TRIM(MID(SUBSTITUTE(SUBSTITUTE(SUBSTITUTE(UPPER($P179)," ",""),"C",""),";",REPT(" ",30)),91,30))),0)+IFERROR(VALUE(TRIM(MID(SUBSTITUTE(SUBSTITUTE(SUBSTITUTE(UPPER($P179)," ",""),"C",""),";",REPT(" ",30)),121,30))),0)+IFERROR(VALUE(TRIM(MID(SUBSTITUTE(SUBSTITUTE(SUBSTITUTE(UPPER($P179)," ",""),"C",""),";",REPT(" ",30)),151,30))),0)+IFERROR(VALUE(TRIM(MID(SUBSTITUTE(SUBSTITUTE(SUBSTITUTE(UPPER($P179)," ",""),"C",""),";",REPT(" ",30)),181,30))),0)+IFERROR(VALUE(TRIM(MID(SUBSTITUTE(SUBSTITUTE(SUBSTITUTE(UPPER($P179)," ",""),"C",""),";",REPT(" ",30)),211,30))),0)))))</f>
        <v/>
      </c>
      <c r="S179" s="26" t="n"/>
      <c r="T179" s="6" t="n"/>
      <c r="U179" s="13" t="n"/>
      <c r="V179" s="27">
        <f>IF($C179="","",IF($E179="Falta","-",MAX(0,MIN(10,5+IFERROR(VALUE(TRIM(MID(SUBSTITUTE(SUBSTITUTE(SUBSTITUTE(UPPER($T179)," ",""),"P",""),";",REPT(" ",30)),1,30))),0)+IFERROR(VALUE(TRIM(MID(SUBSTITUTE(SUBSTITUTE(SUBSTITUTE(UPPER($T179)," ",""),"P",""),";",REPT(" ",30)),31,30))),0)+IFERROR(VALUE(TRIM(MID(SUBSTITUTE(SUBSTITUTE(SUBSTITUTE(UPPER($T179)," ",""),"P",""),";",REPT(" ",30)),61,30))),0)+IFERROR(VALUE(TRIM(MID(SUBSTITUTE(SUBSTITUTE(SUBSTITUTE(UPPER($T179)," ",""),"P",""),";",REPT(" ",30)),91,30))),0)+IFERROR(VALUE(TRIM(MID(SUBSTITUTE(SUBSTITUTE(SUBSTITUTE(UPPER($T179)," ",""),"P",""),";",REPT(" ",30)),121,30))),0)+IFERROR(VALUE(TRIM(MID(SUBSTITUTE(SUBSTITUTE(SUBSTITUTE(UPPER($T179)," ",""),"P",""),";",REPT(" ",30)),151,30))),0)+IFERROR(VALUE(TRIM(MID(SUBSTITUTE(SUBSTITUTE(SUBSTITUTE(UPPER($T179)," ",""),"P",""),";",REPT(" ",30)),181,30))),0)+IFERROR(VALUE(TRIM(MID(SUBSTITUTE(SUBSTITUTE(SUBSTITUTE(UPPER($T179)," ",""),"P",""),";",REPT(" ",30)),211,30))),0)))))</f>
        <v/>
      </c>
      <c r="W179" s="26" t="n"/>
      <c r="X179" s="13" t="n"/>
    </row>
    <row r="180">
      <c r="A180" s="6">
        <f>IF($C180="","",36)</f>
        <v/>
      </c>
      <c r="B180" s="6">
        <f>IF($C180="","","2ª Sessão")</f>
        <v/>
      </c>
      <c r="C180" s="6">
        <f>IF(Preenchimento!$B$45="","",Preenchimento!$B$45)</f>
        <v/>
      </c>
      <c r="D180" s="6">
        <f>IF($C180="","",IF(Preenchimento!$C$45="","-",Preenchimento!$C$45))</f>
        <v/>
      </c>
      <c r="E180" s="6" t="n"/>
      <c r="F180" s="6" t="n"/>
      <c r="G180" s="26" t="n"/>
      <c r="H180" s="6" t="n"/>
      <c r="I180" s="13" t="n"/>
      <c r="J180" s="27">
        <f>IF($C180="","",IF($E180="Falta","-",MAX(0,MIN(10,8+IFERROR(VALUE(TRIM(MID(SUBSTITUTE(SUBSTITUTE(SUBSTITUTE(UPPER($H180)," ",""),"D",""),";",REPT(" ",30)),1,30))),0)+IFERROR(VALUE(TRIM(MID(SUBSTITUTE(SUBSTITUTE(SUBSTITUTE(UPPER($H180)," ",""),"D",""),";",REPT(" ",30)),31,30))),0)+IFERROR(VALUE(TRIM(MID(SUBSTITUTE(SUBSTITUTE(SUBSTITUTE(UPPER($H180)," ",""),"D",""),";",REPT(" ",30)),61,30))),0)+IFERROR(VALUE(TRIM(MID(SUBSTITUTE(SUBSTITUTE(SUBSTITUTE(UPPER($H180)," ",""),"D",""),";",REPT(" ",30)),91,30))),0)+IFERROR(VALUE(TRIM(MID(SUBSTITUTE(SUBSTITUTE(SUBSTITUTE(UPPER($H180)," ",""),"D",""),";",REPT(" ",30)),121,30))),0)+IFERROR(VALUE(TRIM(MID(SUBSTITUTE(SUBSTITUTE(SUBSTITUTE(UPPER($H180)," ",""),"D",""),";",REPT(" ",30)),151,30))),0)+IFERROR(VALUE(TRIM(MID(SUBSTITUTE(SUBSTITUTE(SUBSTITUTE(UPPER($H180)," ",""),"D",""),";",REPT(" ",30)),181,30))),0)+IFERROR(VALUE(TRIM(MID(SUBSTITUTE(SUBSTITUTE(SUBSTITUTE(UPPER($H180)," ",""),"D",""),";",REPT(" ",30)),211,30))),0)))))</f>
        <v/>
      </c>
      <c r="K180" s="26" t="n"/>
      <c r="L180" s="6" t="n"/>
      <c r="M180" s="13" t="n"/>
      <c r="N180" s="27">
        <f>IF($C180="","",IF($E180="Falta","-",MAX(0,MIN(10,8+IFERROR(VALUE(TRIM(MID(SUBSTITUTE(SUBSTITUTE(SUBSTITUTE(UPPER($L180)," ",""),"F",""),";",REPT(" ",30)),1,30))),0)+IFERROR(VALUE(TRIM(MID(SUBSTITUTE(SUBSTITUTE(SUBSTITUTE(UPPER($L180)," ",""),"F",""),";",REPT(" ",30)),31,30))),0)+IFERROR(VALUE(TRIM(MID(SUBSTITUTE(SUBSTITUTE(SUBSTITUTE(UPPER($L180)," ",""),"F",""),";",REPT(" ",30)),61,30))),0)+IFERROR(VALUE(TRIM(MID(SUBSTITUTE(SUBSTITUTE(SUBSTITUTE(UPPER($L180)," ",""),"F",""),";",REPT(" ",30)),91,30))),0)+IFERROR(VALUE(TRIM(MID(SUBSTITUTE(SUBSTITUTE(SUBSTITUTE(UPPER($L180)," ",""),"F",""),";",REPT(" ",30)),121,30))),0)+IFERROR(VALUE(TRIM(MID(SUBSTITUTE(SUBSTITUTE(SUBSTITUTE(UPPER($L180)," ",""),"F",""),";",REPT(" ",30)),151,30))),0)+IFERROR(VALUE(TRIM(MID(SUBSTITUTE(SUBSTITUTE(SUBSTITUTE(UPPER($L180)," ",""),"F",""),";",REPT(" ",30)),181,30))),0)+IFERROR(VALUE(TRIM(MID(SUBSTITUTE(SUBSTITUTE(SUBSTITUTE(UPPER($L180)," ",""),"F",""),";",REPT(" ",30)),211,30))),0)))))</f>
        <v/>
      </c>
      <c r="O180" s="26" t="n"/>
      <c r="P180" s="6" t="n"/>
      <c r="Q180" s="13" t="n"/>
      <c r="R180" s="27">
        <f>IF($C180="","",IF($E180="Falta","-",MAX(0,MIN(10,5+IFERROR(VALUE(TRIM(MID(SUBSTITUTE(SUBSTITUTE(SUBSTITUTE(UPPER($P180)," ",""),"C",""),";",REPT(" ",30)),1,30))),0)+IFERROR(VALUE(TRIM(MID(SUBSTITUTE(SUBSTITUTE(SUBSTITUTE(UPPER($P180)," ",""),"C",""),";",REPT(" ",30)),31,30))),0)+IFERROR(VALUE(TRIM(MID(SUBSTITUTE(SUBSTITUTE(SUBSTITUTE(UPPER($P180)," ",""),"C",""),";",REPT(" ",30)),61,30))),0)+IFERROR(VALUE(TRIM(MID(SUBSTITUTE(SUBSTITUTE(SUBSTITUTE(UPPER($P180)," ",""),"C",""),";",REPT(" ",30)),91,30))),0)+IFERROR(VALUE(TRIM(MID(SUBSTITUTE(SUBSTITUTE(SUBSTITUTE(UPPER($P180)," ",""),"C",""),";",REPT(" ",30)),121,30))),0)+IFERROR(VALUE(TRIM(MID(SUBSTITUTE(SUBSTITUTE(SUBSTITUTE(UPPER($P180)," ",""),"C",""),";",REPT(" ",30)),151,30))),0)+IFERROR(VALUE(TRIM(MID(SUBSTITUTE(SUBSTITUTE(SUBSTITUTE(UPPER($P180)," ",""),"C",""),";",REPT(" ",30)),181,30))),0)+IFERROR(VALUE(TRIM(MID(SUBSTITUTE(SUBSTITUTE(SUBSTITUTE(UPPER($P180)," ",""),"C",""),";",REPT(" ",30)),211,30))),0)))))</f>
        <v/>
      </c>
      <c r="S180" s="26" t="n"/>
      <c r="T180" s="6" t="n"/>
      <c r="U180" s="13" t="n"/>
      <c r="V180" s="27">
        <f>IF($C180="","",IF($E180="Falta","-",MAX(0,MIN(10,5+IFERROR(VALUE(TRIM(MID(SUBSTITUTE(SUBSTITUTE(SUBSTITUTE(UPPER($T180)," ",""),"P",""),";",REPT(" ",30)),1,30))),0)+IFERROR(VALUE(TRIM(MID(SUBSTITUTE(SUBSTITUTE(SUBSTITUTE(UPPER($T180)," ",""),"P",""),";",REPT(" ",30)),31,30))),0)+IFERROR(VALUE(TRIM(MID(SUBSTITUTE(SUBSTITUTE(SUBSTITUTE(UPPER($T180)," ",""),"P",""),";",REPT(" ",30)),61,30))),0)+IFERROR(VALUE(TRIM(MID(SUBSTITUTE(SUBSTITUTE(SUBSTITUTE(UPPER($T180)," ",""),"P",""),";",REPT(" ",30)),91,30))),0)+IFERROR(VALUE(TRIM(MID(SUBSTITUTE(SUBSTITUTE(SUBSTITUTE(UPPER($T180)," ",""),"P",""),";",REPT(" ",30)),121,30))),0)+IFERROR(VALUE(TRIM(MID(SUBSTITUTE(SUBSTITUTE(SUBSTITUTE(UPPER($T180)," ",""),"P",""),";",REPT(" ",30)),151,30))),0)+IFERROR(VALUE(TRIM(MID(SUBSTITUTE(SUBSTITUTE(SUBSTITUTE(UPPER($T180)," ",""),"P",""),";",REPT(" ",30)),181,30))),0)+IFERROR(VALUE(TRIM(MID(SUBSTITUTE(SUBSTITUTE(SUBSTITUTE(UPPER($T180)," ",""),"P",""),";",REPT(" ",30)),211,30))),0)))))</f>
        <v/>
      </c>
      <c r="W180" s="26" t="n"/>
      <c r="X180" s="13" t="n"/>
    </row>
    <row r="181">
      <c r="A181" s="6">
        <f>IF($C181="","",36)</f>
        <v/>
      </c>
      <c r="B181" s="6">
        <f>IF($C181="","","3ª Sessão")</f>
        <v/>
      </c>
      <c r="C181" s="6">
        <f>IF(Preenchimento!$B$45="","",Preenchimento!$B$45)</f>
        <v/>
      </c>
      <c r="D181" s="6">
        <f>IF($C181="","",IF(Preenchimento!$C$45="","-",Preenchimento!$C$45))</f>
        <v/>
      </c>
      <c r="E181" s="6" t="n"/>
      <c r="F181" s="6" t="n"/>
      <c r="G181" s="26" t="n"/>
      <c r="H181" s="6" t="n"/>
      <c r="I181" s="13" t="n"/>
      <c r="J181" s="27">
        <f>IF($C181="","",IF($E181="Falta","-",MAX(0,MIN(10,8+IFERROR(VALUE(TRIM(MID(SUBSTITUTE(SUBSTITUTE(SUBSTITUTE(UPPER($H181)," ",""),"D",""),";",REPT(" ",30)),1,30))),0)+IFERROR(VALUE(TRIM(MID(SUBSTITUTE(SUBSTITUTE(SUBSTITUTE(UPPER($H181)," ",""),"D",""),";",REPT(" ",30)),31,30))),0)+IFERROR(VALUE(TRIM(MID(SUBSTITUTE(SUBSTITUTE(SUBSTITUTE(UPPER($H181)," ",""),"D",""),";",REPT(" ",30)),61,30))),0)+IFERROR(VALUE(TRIM(MID(SUBSTITUTE(SUBSTITUTE(SUBSTITUTE(UPPER($H181)," ",""),"D",""),";",REPT(" ",30)),91,30))),0)+IFERROR(VALUE(TRIM(MID(SUBSTITUTE(SUBSTITUTE(SUBSTITUTE(UPPER($H181)," ",""),"D",""),";",REPT(" ",30)),121,30))),0)+IFERROR(VALUE(TRIM(MID(SUBSTITUTE(SUBSTITUTE(SUBSTITUTE(UPPER($H181)," ",""),"D",""),";",REPT(" ",30)),151,30))),0)+IFERROR(VALUE(TRIM(MID(SUBSTITUTE(SUBSTITUTE(SUBSTITUTE(UPPER($H181)," ",""),"D",""),";",REPT(" ",30)),181,30))),0)+IFERROR(VALUE(TRIM(MID(SUBSTITUTE(SUBSTITUTE(SUBSTITUTE(UPPER($H181)," ",""),"D",""),";",REPT(" ",30)),211,30))),0)))))</f>
        <v/>
      </c>
      <c r="K181" s="26" t="n"/>
      <c r="L181" s="6" t="n"/>
      <c r="M181" s="13" t="n"/>
      <c r="N181" s="27">
        <f>IF($C181="","",IF($E181="Falta","-",MAX(0,MIN(10,8+IFERROR(VALUE(TRIM(MID(SUBSTITUTE(SUBSTITUTE(SUBSTITUTE(UPPER($L181)," ",""),"F",""),";",REPT(" ",30)),1,30))),0)+IFERROR(VALUE(TRIM(MID(SUBSTITUTE(SUBSTITUTE(SUBSTITUTE(UPPER($L181)," ",""),"F",""),";",REPT(" ",30)),31,30))),0)+IFERROR(VALUE(TRIM(MID(SUBSTITUTE(SUBSTITUTE(SUBSTITUTE(UPPER($L181)," ",""),"F",""),";",REPT(" ",30)),61,30))),0)+IFERROR(VALUE(TRIM(MID(SUBSTITUTE(SUBSTITUTE(SUBSTITUTE(UPPER($L181)," ",""),"F",""),";",REPT(" ",30)),91,30))),0)+IFERROR(VALUE(TRIM(MID(SUBSTITUTE(SUBSTITUTE(SUBSTITUTE(UPPER($L181)," ",""),"F",""),";",REPT(" ",30)),121,30))),0)+IFERROR(VALUE(TRIM(MID(SUBSTITUTE(SUBSTITUTE(SUBSTITUTE(UPPER($L181)," ",""),"F",""),";",REPT(" ",30)),151,30))),0)+IFERROR(VALUE(TRIM(MID(SUBSTITUTE(SUBSTITUTE(SUBSTITUTE(UPPER($L181)," ",""),"F",""),";",REPT(" ",30)),181,30))),0)+IFERROR(VALUE(TRIM(MID(SUBSTITUTE(SUBSTITUTE(SUBSTITUTE(UPPER($L181)," ",""),"F",""),";",REPT(" ",30)),211,30))),0)))))</f>
        <v/>
      </c>
      <c r="O181" s="26" t="n"/>
      <c r="P181" s="6" t="n"/>
      <c r="Q181" s="13" t="n"/>
      <c r="R181" s="27">
        <f>IF($C181="","",IF($E181="Falta","-",MAX(0,MIN(10,5+IFERROR(VALUE(TRIM(MID(SUBSTITUTE(SUBSTITUTE(SUBSTITUTE(UPPER($P181)," ",""),"C",""),";",REPT(" ",30)),1,30))),0)+IFERROR(VALUE(TRIM(MID(SUBSTITUTE(SUBSTITUTE(SUBSTITUTE(UPPER($P181)," ",""),"C",""),";",REPT(" ",30)),31,30))),0)+IFERROR(VALUE(TRIM(MID(SUBSTITUTE(SUBSTITUTE(SUBSTITUTE(UPPER($P181)," ",""),"C",""),";",REPT(" ",30)),61,30))),0)+IFERROR(VALUE(TRIM(MID(SUBSTITUTE(SUBSTITUTE(SUBSTITUTE(UPPER($P181)," ",""),"C",""),";",REPT(" ",30)),91,30))),0)+IFERROR(VALUE(TRIM(MID(SUBSTITUTE(SUBSTITUTE(SUBSTITUTE(UPPER($P181)," ",""),"C",""),";",REPT(" ",30)),121,30))),0)+IFERROR(VALUE(TRIM(MID(SUBSTITUTE(SUBSTITUTE(SUBSTITUTE(UPPER($P181)," ",""),"C",""),";",REPT(" ",30)),151,30))),0)+IFERROR(VALUE(TRIM(MID(SUBSTITUTE(SUBSTITUTE(SUBSTITUTE(UPPER($P181)," ",""),"C",""),";",REPT(" ",30)),181,30))),0)+IFERROR(VALUE(TRIM(MID(SUBSTITUTE(SUBSTITUTE(SUBSTITUTE(UPPER($P181)," ",""),"C",""),";",REPT(" ",30)),211,30))),0)))))</f>
        <v/>
      </c>
      <c r="S181" s="26" t="n"/>
      <c r="T181" s="6" t="n"/>
      <c r="U181" s="13" t="n"/>
      <c r="V181" s="27">
        <f>IF($C181="","",IF($E181="Falta","-",MAX(0,MIN(10,5+IFERROR(VALUE(TRIM(MID(SUBSTITUTE(SUBSTITUTE(SUBSTITUTE(UPPER($T181)," ",""),"P",""),";",REPT(" ",30)),1,30))),0)+IFERROR(VALUE(TRIM(MID(SUBSTITUTE(SUBSTITUTE(SUBSTITUTE(UPPER($T181)," ",""),"P",""),";",REPT(" ",30)),31,30))),0)+IFERROR(VALUE(TRIM(MID(SUBSTITUTE(SUBSTITUTE(SUBSTITUTE(UPPER($T181)," ",""),"P",""),";",REPT(" ",30)),61,30))),0)+IFERROR(VALUE(TRIM(MID(SUBSTITUTE(SUBSTITUTE(SUBSTITUTE(UPPER($T181)," ",""),"P",""),";",REPT(" ",30)),91,30))),0)+IFERROR(VALUE(TRIM(MID(SUBSTITUTE(SUBSTITUTE(SUBSTITUTE(UPPER($T181)," ",""),"P",""),";",REPT(" ",30)),121,30))),0)+IFERROR(VALUE(TRIM(MID(SUBSTITUTE(SUBSTITUTE(SUBSTITUTE(UPPER($T181)," ",""),"P",""),";",REPT(" ",30)),151,30))),0)+IFERROR(VALUE(TRIM(MID(SUBSTITUTE(SUBSTITUTE(SUBSTITUTE(UPPER($T181)," ",""),"P",""),";",REPT(" ",30)),181,30))),0)+IFERROR(VALUE(TRIM(MID(SUBSTITUTE(SUBSTITUTE(SUBSTITUTE(UPPER($T181)," ",""),"P",""),";",REPT(" ",30)),211,30))),0)))))</f>
        <v/>
      </c>
      <c r="W181" s="26" t="n"/>
      <c r="X181" s="13" t="n"/>
    </row>
    <row r="182">
      <c r="A182" s="6">
        <f>IF($C182="","",36)</f>
        <v/>
      </c>
      <c r="B182" s="6">
        <f>IF($C182="","","4ª Sessão")</f>
        <v/>
      </c>
      <c r="C182" s="6">
        <f>IF(Preenchimento!$B$45="","",Preenchimento!$B$45)</f>
        <v/>
      </c>
      <c r="D182" s="6">
        <f>IF($C182="","",IF(Preenchimento!$C$45="","-",Preenchimento!$C$45))</f>
        <v/>
      </c>
      <c r="E182" s="6" t="n"/>
      <c r="F182" s="6" t="n"/>
      <c r="G182" s="26" t="n"/>
      <c r="H182" s="6" t="n"/>
      <c r="I182" s="13" t="n"/>
      <c r="J182" s="27">
        <f>IF($C182="","",IF($E182="Falta","-",MAX(0,MIN(10,8+IFERROR(VALUE(TRIM(MID(SUBSTITUTE(SUBSTITUTE(SUBSTITUTE(UPPER($H182)," ",""),"D",""),";",REPT(" ",30)),1,30))),0)+IFERROR(VALUE(TRIM(MID(SUBSTITUTE(SUBSTITUTE(SUBSTITUTE(UPPER($H182)," ",""),"D",""),";",REPT(" ",30)),31,30))),0)+IFERROR(VALUE(TRIM(MID(SUBSTITUTE(SUBSTITUTE(SUBSTITUTE(UPPER($H182)," ",""),"D",""),";",REPT(" ",30)),61,30))),0)+IFERROR(VALUE(TRIM(MID(SUBSTITUTE(SUBSTITUTE(SUBSTITUTE(UPPER($H182)," ",""),"D",""),";",REPT(" ",30)),91,30))),0)+IFERROR(VALUE(TRIM(MID(SUBSTITUTE(SUBSTITUTE(SUBSTITUTE(UPPER($H182)," ",""),"D",""),";",REPT(" ",30)),121,30))),0)+IFERROR(VALUE(TRIM(MID(SUBSTITUTE(SUBSTITUTE(SUBSTITUTE(UPPER($H182)," ",""),"D",""),";",REPT(" ",30)),151,30))),0)+IFERROR(VALUE(TRIM(MID(SUBSTITUTE(SUBSTITUTE(SUBSTITUTE(UPPER($H182)," ",""),"D",""),";",REPT(" ",30)),181,30))),0)+IFERROR(VALUE(TRIM(MID(SUBSTITUTE(SUBSTITUTE(SUBSTITUTE(UPPER($H182)," ",""),"D",""),";",REPT(" ",30)),211,30))),0)))))</f>
        <v/>
      </c>
      <c r="K182" s="26" t="n"/>
      <c r="L182" s="6" t="n"/>
      <c r="M182" s="13" t="n"/>
      <c r="N182" s="27">
        <f>IF($C182="","",IF($E182="Falta","-",MAX(0,MIN(10,8+IFERROR(VALUE(TRIM(MID(SUBSTITUTE(SUBSTITUTE(SUBSTITUTE(UPPER($L182)," ",""),"F",""),";",REPT(" ",30)),1,30))),0)+IFERROR(VALUE(TRIM(MID(SUBSTITUTE(SUBSTITUTE(SUBSTITUTE(UPPER($L182)," ",""),"F",""),";",REPT(" ",30)),31,30))),0)+IFERROR(VALUE(TRIM(MID(SUBSTITUTE(SUBSTITUTE(SUBSTITUTE(UPPER($L182)," ",""),"F",""),";",REPT(" ",30)),61,30))),0)+IFERROR(VALUE(TRIM(MID(SUBSTITUTE(SUBSTITUTE(SUBSTITUTE(UPPER($L182)," ",""),"F",""),";",REPT(" ",30)),91,30))),0)+IFERROR(VALUE(TRIM(MID(SUBSTITUTE(SUBSTITUTE(SUBSTITUTE(UPPER($L182)," ",""),"F",""),";",REPT(" ",30)),121,30))),0)+IFERROR(VALUE(TRIM(MID(SUBSTITUTE(SUBSTITUTE(SUBSTITUTE(UPPER($L182)," ",""),"F",""),";",REPT(" ",30)),151,30))),0)+IFERROR(VALUE(TRIM(MID(SUBSTITUTE(SUBSTITUTE(SUBSTITUTE(UPPER($L182)," ",""),"F",""),";",REPT(" ",30)),181,30))),0)+IFERROR(VALUE(TRIM(MID(SUBSTITUTE(SUBSTITUTE(SUBSTITUTE(UPPER($L182)," ",""),"F",""),";",REPT(" ",30)),211,30))),0)))))</f>
        <v/>
      </c>
      <c r="O182" s="26" t="n"/>
      <c r="P182" s="6" t="n"/>
      <c r="Q182" s="13" t="n"/>
      <c r="R182" s="27">
        <f>IF($C182="","",IF($E182="Falta","-",MAX(0,MIN(10,5+IFERROR(VALUE(TRIM(MID(SUBSTITUTE(SUBSTITUTE(SUBSTITUTE(UPPER($P182)," ",""),"C",""),";",REPT(" ",30)),1,30))),0)+IFERROR(VALUE(TRIM(MID(SUBSTITUTE(SUBSTITUTE(SUBSTITUTE(UPPER($P182)," ",""),"C",""),";",REPT(" ",30)),31,30))),0)+IFERROR(VALUE(TRIM(MID(SUBSTITUTE(SUBSTITUTE(SUBSTITUTE(UPPER($P182)," ",""),"C",""),";",REPT(" ",30)),61,30))),0)+IFERROR(VALUE(TRIM(MID(SUBSTITUTE(SUBSTITUTE(SUBSTITUTE(UPPER($P182)," ",""),"C",""),";",REPT(" ",30)),91,30))),0)+IFERROR(VALUE(TRIM(MID(SUBSTITUTE(SUBSTITUTE(SUBSTITUTE(UPPER($P182)," ",""),"C",""),";",REPT(" ",30)),121,30))),0)+IFERROR(VALUE(TRIM(MID(SUBSTITUTE(SUBSTITUTE(SUBSTITUTE(UPPER($P182)," ",""),"C",""),";",REPT(" ",30)),151,30))),0)+IFERROR(VALUE(TRIM(MID(SUBSTITUTE(SUBSTITUTE(SUBSTITUTE(UPPER($P182)," ",""),"C",""),";",REPT(" ",30)),181,30))),0)+IFERROR(VALUE(TRIM(MID(SUBSTITUTE(SUBSTITUTE(SUBSTITUTE(UPPER($P182)," ",""),"C",""),";",REPT(" ",30)),211,30))),0)))))</f>
        <v/>
      </c>
      <c r="S182" s="26" t="n"/>
      <c r="T182" s="6" t="n"/>
      <c r="U182" s="13" t="n"/>
      <c r="V182" s="27">
        <f>IF($C182="","",IF($E182="Falta","-",MAX(0,MIN(10,5+IFERROR(VALUE(TRIM(MID(SUBSTITUTE(SUBSTITUTE(SUBSTITUTE(UPPER($T182)," ",""),"P",""),";",REPT(" ",30)),1,30))),0)+IFERROR(VALUE(TRIM(MID(SUBSTITUTE(SUBSTITUTE(SUBSTITUTE(UPPER($T182)," ",""),"P",""),";",REPT(" ",30)),31,30))),0)+IFERROR(VALUE(TRIM(MID(SUBSTITUTE(SUBSTITUTE(SUBSTITUTE(UPPER($T182)," ",""),"P",""),";",REPT(" ",30)),61,30))),0)+IFERROR(VALUE(TRIM(MID(SUBSTITUTE(SUBSTITUTE(SUBSTITUTE(UPPER($T182)," ",""),"P",""),";",REPT(" ",30)),91,30))),0)+IFERROR(VALUE(TRIM(MID(SUBSTITUTE(SUBSTITUTE(SUBSTITUTE(UPPER($T182)," ",""),"P",""),";",REPT(" ",30)),121,30))),0)+IFERROR(VALUE(TRIM(MID(SUBSTITUTE(SUBSTITUTE(SUBSTITUTE(UPPER($T182)," ",""),"P",""),";",REPT(" ",30)),151,30))),0)+IFERROR(VALUE(TRIM(MID(SUBSTITUTE(SUBSTITUTE(SUBSTITUTE(UPPER($T182)," ",""),"P",""),";",REPT(" ",30)),181,30))),0)+IFERROR(VALUE(TRIM(MID(SUBSTITUTE(SUBSTITUTE(SUBSTITUTE(UPPER($T182)," ",""),"P",""),";",REPT(" ",30)),211,30))),0)))))</f>
        <v/>
      </c>
      <c r="W182" s="26" t="n"/>
      <c r="X182" s="13" t="n"/>
    </row>
    <row r="183">
      <c r="A183" s="6">
        <f>IF($C183="","",36)</f>
        <v/>
      </c>
      <c r="B183" s="6">
        <f>IF($C183="","","5ª Sessão")</f>
        <v/>
      </c>
      <c r="C183" s="6">
        <f>IF(Preenchimento!$B$45="","",Preenchimento!$B$45)</f>
        <v/>
      </c>
      <c r="D183" s="6">
        <f>IF($C183="","",IF(Preenchimento!$C$45="","-",Preenchimento!$C$45))</f>
        <v/>
      </c>
      <c r="E183" s="6" t="n"/>
      <c r="F183" s="6" t="n"/>
      <c r="G183" s="26" t="n"/>
      <c r="H183" s="6" t="n"/>
      <c r="I183" s="13" t="n"/>
      <c r="J183" s="27">
        <f>IF($C183="","",IF($E183="Falta","-",MAX(0,MIN(10,8+IFERROR(VALUE(TRIM(MID(SUBSTITUTE(SUBSTITUTE(SUBSTITUTE(UPPER($H183)," ",""),"D",""),";",REPT(" ",30)),1,30))),0)+IFERROR(VALUE(TRIM(MID(SUBSTITUTE(SUBSTITUTE(SUBSTITUTE(UPPER($H183)," ",""),"D",""),";",REPT(" ",30)),31,30))),0)+IFERROR(VALUE(TRIM(MID(SUBSTITUTE(SUBSTITUTE(SUBSTITUTE(UPPER($H183)," ",""),"D",""),";",REPT(" ",30)),61,30))),0)+IFERROR(VALUE(TRIM(MID(SUBSTITUTE(SUBSTITUTE(SUBSTITUTE(UPPER($H183)," ",""),"D",""),";",REPT(" ",30)),91,30))),0)+IFERROR(VALUE(TRIM(MID(SUBSTITUTE(SUBSTITUTE(SUBSTITUTE(UPPER($H183)," ",""),"D",""),";",REPT(" ",30)),121,30))),0)+IFERROR(VALUE(TRIM(MID(SUBSTITUTE(SUBSTITUTE(SUBSTITUTE(UPPER($H183)," ",""),"D",""),";",REPT(" ",30)),151,30))),0)+IFERROR(VALUE(TRIM(MID(SUBSTITUTE(SUBSTITUTE(SUBSTITUTE(UPPER($H183)," ",""),"D",""),";",REPT(" ",30)),181,30))),0)+IFERROR(VALUE(TRIM(MID(SUBSTITUTE(SUBSTITUTE(SUBSTITUTE(UPPER($H183)," ",""),"D",""),";",REPT(" ",30)),211,30))),0)))))</f>
        <v/>
      </c>
      <c r="K183" s="26" t="n"/>
      <c r="L183" s="6" t="n"/>
      <c r="M183" s="13" t="n"/>
      <c r="N183" s="27">
        <f>IF($C183="","",IF($E183="Falta","-",MAX(0,MIN(10,8+IFERROR(VALUE(TRIM(MID(SUBSTITUTE(SUBSTITUTE(SUBSTITUTE(UPPER($L183)," ",""),"F",""),";",REPT(" ",30)),1,30))),0)+IFERROR(VALUE(TRIM(MID(SUBSTITUTE(SUBSTITUTE(SUBSTITUTE(UPPER($L183)," ",""),"F",""),";",REPT(" ",30)),31,30))),0)+IFERROR(VALUE(TRIM(MID(SUBSTITUTE(SUBSTITUTE(SUBSTITUTE(UPPER($L183)," ",""),"F",""),";",REPT(" ",30)),61,30))),0)+IFERROR(VALUE(TRIM(MID(SUBSTITUTE(SUBSTITUTE(SUBSTITUTE(UPPER($L183)," ",""),"F",""),";",REPT(" ",30)),91,30))),0)+IFERROR(VALUE(TRIM(MID(SUBSTITUTE(SUBSTITUTE(SUBSTITUTE(UPPER($L183)," ",""),"F",""),";",REPT(" ",30)),121,30))),0)+IFERROR(VALUE(TRIM(MID(SUBSTITUTE(SUBSTITUTE(SUBSTITUTE(UPPER($L183)," ",""),"F",""),";",REPT(" ",30)),151,30))),0)+IFERROR(VALUE(TRIM(MID(SUBSTITUTE(SUBSTITUTE(SUBSTITUTE(UPPER($L183)," ",""),"F",""),";",REPT(" ",30)),181,30))),0)+IFERROR(VALUE(TRIM(MID(SUBSTITUTE(SUBSTITUTE(SUBSTITUTE(UPPER($L183)," ",""),"F",""),";",REPT(" ",30)),211,30))),0)))))</f>
        <v/>
      </c>
      <c r="O183" s="26" t="n"/>
      <c r="P183" s="6" t="n"/>
      <c r="Q183" s="13" t="n"/>
      <c r="R183" s="27">
        <f>IF($C183="","",IF($E183="Falta","-",MAX(0,MIN(10,5+IFERROR(VALUE(TRIM(MID(SUBSTITUTE(SUBSTITUTE(SUBSTITUTE(UPPER($P183)," ",""),"C",""),";",REPT(" ",30)),1,30))),0)+IFERROR(VALUE(TRIM(MID(SUBSTITUTE(SUBSTITUTE(SUBSTITUTE(UPPER($P183)," ",""),"C",""),";",REPT(" ",30)),31,30))),0)+IFERROR(VALUE(TRIM(MID(SUBSTITUTE(SUBSTITUTE(SUBSTITUTE(UPPER($P183)," ",""),"C",""),";",REPT(" ",30)),61,30))),0)+IFERROR(VALUE(TRIM(MID(SUBSTITUTE(SUBSTITUTE(SUBSTITUTE(UPPER($P183)," ",""),"C",""),";",REPT(" ",30)),91,30))),0)+IFERROR(VALUE(TRIM(MID(SUBSTITUTE(SUBSTITUTE(SUBSTITUTE(UPPER($P183)," ",""),"C",""),";",REPT(" ",30)),121,30))),0)+IFERROR(VALUE(TRIM(MID(SUBSTITUTE(SUBSTITUTE(SUBSTITUTE(UPPER($P183)," ",""),"C",""),";",REPT(" ",30)),151,30))),0)+IFERROR(VALUE(TRIM(MID(SUBSTITUTE(SUBSTITUTE(SUBSTITUTE(UPPER($P183)," ",""),"C",""),";",REPT(" ",30)),181,30))),0)+IFERROR(VALUE(TRIM(MID(SUBSTITUTE(SUBSTITUTE(SUBSTITUTE(UPPER($P183)," ",""),"C",""),";",REPT(" ",30)),211,30))),0)))))</f>
        <v/>
      </c>
      <c r="S183" s="26" t="n"/>
      <c r="T183" s="6" t="n"/>
      <c r="U183" s="13" t="n"/>
      <c r="V183" s="27">
        <f>IF($C183="","",IF($E183="Falta","-",MAX(0,MIN(10,5+IFERROR(VALUE(TRIM(MID(SUBSTITUTE(SUBSTITUTE(SUBSTITUTE(UPPER($T183)," ",""),"P",""),";",REPT(" ",30)),1,30))),0)+IFERROR(VALUE(TRIM(MID(SUBSTITUTE(SUBSTITUTE(SUBSTITUTE(UPPER($T183)," ",""),"P",""),";",REPT(" ",30)),31,30))),0)+IFERROR(VALUE(TRIM(MID(SUBSTITUTE(SUBSTITUTE(SUBSTITUTE(UPPER($T183)," ",""),"P",""),";",REPT(" ",30)),61,30))),0)+IFERROR(VALUE(TRIM(MID(SUBSTITUTE(SUBSTITUTE(SUBSTITUTE(UPPER($T183)," ",""),"P",""),";",REPT(" ",30)),91,30))),0)+IFERROR(VALUE(TRIM(MID(SUBSTITUTE(SUBSTITUTE(SUBSTITUTE(UPPER($T183)," ",""),"P",""),";",REPT(" ",30)),121,30))),0)+IFERROR(VALUE(TRIM(MID(SUBSTITUTE(SUBSTITUTE(SUBSTITUTE(UPPER($T183)," ",""),"P",""),";",REPT(" ",30)),151,30))),0)+IFERROR(VALUE(TRIM(MID(SUBSTITUTE(SUBSTITUTE(SUBSTITUTE(UPPER($T183)," ",""),"P",""),";",REPT(" ",30)),181,30))),0)+IFERROR(VALUE(TRIM(MID(SUBSTITUTE(SUBSTITUTE(SUBSTITUTE(UPPER($T183)," ",""),"P",""),";",REPT(" ",30)),211,30))),0)))))</f>
        <v/>
      </c>
      <c r="W183" s="26" t="n"/>
      <c r="X183" s="13" t="n"/>
    </row>
    <row r="184">
      <c r="A184" s="8">
        <f>IF($C184="","",37)</f>
        <v/>
      </c>
      <c r="B184" s="8">
        <f>IF($C184="","","1ª Sessão")</f>
        <v/>
      </c>
      <c r="C184" s="8">
        <f>IF(Preenchimento!$B$46="","",Preenchimento!$B$46)</f>
        <v/>
      </c>
      <c r="D184" s="8">
        <f>IF($C184="","",IF(Preenchimento!$C$46="","-",Preenchimento!$C$46))</f>
        <v/>
      </c>
      <c r="E184" s="8" t="n"/>
      <c r="F184" s="8" t="n"/>
      <c r="G184" s="24" t="n"/>
      <c r="H184" s="8" t="n"/>
      <c r="I184" s="14" t="n"/>
      <c r="J184" s="25">
        <f>IF($C184="","",IF($E184="Falta","-",MAX(0,MIN(10,8+IFERROR(VALUE(TRIM(MID(SUBSTITUTE(SUBSTITUTE(SUBSTITUTE(UPPER($H184)," ",""),"D",""),";",REPT(" ",30)),1,30))),0)+IFERROR(VALUE(TRIM(MID(SUBSTITUTE(SUBSTITUTE(SUBSTITUTE(UPPER($H184)," ",""),"D",""),";",REPT(" ",30)),31,30))),0)+IFERROR(VALUE(TRIM(MID(SUBSTITUTE(SUBSTITUTE(SUBSTITUTE(UPPER($H184)," ",""),"D",""),";",REPT(" ",30)),61,30))),0)+IFERROR(VALUE(TRIM(MID(SUBSTITUTE(SUBSTITUTE(SUBSTITUTE(UPPER($H184)," ",""),"D",""),";",REPT(" ",30)),91,30))),0)+IFERROR(VALUE(TRIM(MID(SUBSTITUTE(SUBSTITUTE(SUBSTITUTE(UPPER($H184)," ",""),"D",""),";",REPT(" ",30)),121,30))),0)+IFERROR(VALUE(TRIM(MID(SUBSTITUTE(SUBSTITUTE(SUBSTITUTE(UPPER($H184)," ",""),"D",""),";",REPT(" ",30)),151,30))),0)+IFERROR(VALUE(TRIM(MID(SUBSTITUTE(SUBSTITUTE(SUBSTITUTE(UPPER($H184)," ",""),"D",""),";",REPT(" ",30)),181,30))),0)+IFERROR(VALUE(TRIM(MID(SUBSTITUTE(SUBSTITUTE(SUBSTITUTE(UPPER($H184)," ",""),"D",""),";",REPT(" ",30)),211,30))),0)))))</f>
        <v/>
      </c>
      <c r="K184" s="24" t="n"/>
      <c r="L184" s="8" t="n"/>
      <c r="M184" s="14" t="n"/>
      <c r="N184" s="25">
        <f>IF($C184="","",IF($E184="Falta","-",MAX(0,MIN(10,8+IFERROR(VALUE(TRIM(MID(SUBSTITUTE(SUBSTITUTE(SUBSTITUTE(UPPER($L184)," ",""),"F",""),";",REPT(" ",30)),1,30))),0)+IFERROR(VALUE(TRIM(MID(SUBSTITUTE(SUBSTITUTE(SUBSTITUTE(UPPER($L184)," ",""),"F",""),";",REPT(" ",30)),31,30))),0)+IFERROR(VALUE(TRIM(MID(SUBSTITUTE(SUBSTITUTE(SUBSTITUTE(UPPER($L184)," ",""),"F",""),";",REPT(" ",30)),61,30))),0)+IFERROR(VALUE(TRIM(MID(SUBSTITUTE(SUBSTITUTE(SUBSTITUTE(UPPER($L184)," ",""),"F",""),";",REPT(" ",30)),91,30))),0)+IFERROR(VALUE(TRIM(MID(SUBSTITUTE(SUBSTITUTE(SUBSTITUTE(UPPER($L184)," ",""),"F",""),";",REPT(" ",30)),121,30))),0)+IFERROR(VALUE(TRIM(MID(SUBSTITUTE(SUBSTITUTE(SUBSTITUTE(UPPER($L184)," ",""),"F",""),";",REPT(" ",30)),151,30))),0)+IFERROR(VALUE(TRIM(MID(SUBSTITUTE(SUBSTITUTE(SUBSTITUTE(UPPER($L184)," ",""),"F",""),";",REPT(" ",30)),181,30))),0)+IFERROR(VALUE(TRIM(MID(SUBSTITUTE(SUBSTITUTE(SUBSTITUTE(UPPER($L184)," ",""),"F",""),";",REPT(" ",30)),211,30))),0)))))</f>
        <v/>
      </c>
      <c r="O184" s="24" t="n"/>
      <c r="P184" s="8" t="n"/>
      <c r="Q184" s="14" t="n"/>
      <c r="R184" s="25">
        <f>IF($C184="","",IF($E184="Falta","-",MAX(0,MIN(10,5+IFERROR(VALUE(TRIM(MID(SUBSTITUTE(SUBSTITUTE(SUBSTITUTE(UPPER($P184)," ",""),"C",""),";",REPT(" ",30)),1,30))),0)+IFERROR(VALUE(TRIM(MID(SUBSTITUTE(SUBSTITUTE(SUBSTITUTE(UPPER($P184)," ",""),"C",""),";",REPT(" ",30)),31,30))),0)+IFERROR(VALUE(TRIM(MID(SUBSTITUTE(SUBSTITUTE(SUBSTITUTE(UPPER($P184)," ",""),"C",""),";",REPT(" ",30)),61,30))),0)+IFERROR(VALUE(TRIM(MID(SUBSTITUTE(SUBSTITUTE(SUBSTITUTE(UPPER($P184)," ",""),"C",""),";",REPT(" ",30)),91,30))),0)+IFERROR(VALUE(TRIM(MID(SUBSTITUTE(SUBSTITUTE(SUBSTITUTE(UPPER($P184)," ",""),"C",""),";",REPT(" ",30)),121,30))),0)+IFERROR(VALUE(TRIM(MID(SUBSTITUTE(SUBSTITUTE(SUBSTITUTE(UPPER($P184)," ",""),"C",""),";",REPT(" ",30)),151,30))),0)+IFERROR(VALUE(TRIM(MID(SUBSTITUTE(SUBSTITUTE(SUBSTITUTE(UPPER($P184)," ",""),"C",""),";",REPT(" ",30)),181,30))),0)+IFERROR(VALUE(TRIM(MID(SUBSTITUTE(SUBSTITUTE(SUBSTITUTE(UPPER($P184)," ",""),"C",""),";",REPT(" ",30)),211,30))),0)))))</f>
        <v/>
      </c>
      <c r="S184" s="24" t="n"/>
      <c r="T184" s="8" t="n"/>
      <c r="U184" s="14" t="n"/>
      <c r="V184" s="25">
        <f>IF($C184="","",IF($E184="Falta","-",MAX(0,MIN(10,5+IFERROR(VALUE(TRIM(MID(SUBSTITUTE(SUBSTITUTE(SUBSTITUTE(UPPER($T184)," ",""),"P",""),";",REPT(" ",30)),1,30))),0)+IFERROR(VALUE(TRIM(MID(SUBSTITUTE(SUBSTITUTE(SUBSTITUTE(UPPER($T184)," ",""),"P",""),";",REPT(" ",30)),31,30))),0)+IFERROR(VALUE(TRIM(MID(SUBSTITUTE(SUBSTITUTE(SUBSTITUTE(UPPER($T184)," ",""),"P",""),";",REPT(" ",30)),61,30))),0)+IFERROR(VALUE(TRIM(MID(SUBSTITUTE(SUBSTITUTE(SUBSTITUTE(UPPER($T184)," ",""),"P",""),";",REPT(" ",30)),91,30))),0)+IFERROR(VALUE(TRIM(MID(SUBSTITUTE(SUBSTITUTE(SUBSTITUTE(UPPER($T184)," ",""),"P",""),";",REPT(" ",30)),121,30))),0)+IFERROR(VALUE(TRIM(MID(SUBSTITUTE(SUBSTITUTE(SUBSTITUTE(UPPER($T184)," ",""),"P",""),";",REPT(" ",30)),151,30))),0)+IFERROR(VALUE(TRIM(MID(SUBSTITUTE(SUBSTITUTE(SUBSTITUTE(UPPER($T184)," ",""),"P",""),";",REPT(" ",30)),181,30))),0)+IFERROR(VALUE(TRIM(MID(SUBSTITUTE(SUBSTITUTE(SUBSTITUTE(UPPER($T184)," ",""),"P",""),";",REPT(" ",30)),211,30))),0)))))</f>
        <v/>
      </c>
      <c r="W184" s="24" t="n"/>
      <c r="X184" s="14" t="n"/>
    </row>
    <row r="185">
      <c r="A185" s="8">
        <f>IF($C185="","",37)</f>
        <v/>
      </c>
      <c r="B185" s="8">
        <f>IF($C185="","","2ª Sessão")</f>
        <v/>
      </c>
      <c r="C185" s="8">
        <f>IF(Preenchimento!$B$46="","",Preenchimento!$B$46)</f>
        <v/>
      </c>
      <c r="D185" s="8">
        <f>IF($C185="","",IF(Preenchimento!$C$46="","-",Preenchimento!$C$46))</f>
        <v/>
      </c>
      <c r="E185" s="8" t="n"/>
      <c r="F185" s="8" t="n"/>
      <c r="G185" s="24" t="n"/>
      <c r="H185" s="8" t="n"/>
      <c r="I185" s="14" t="n"/>
      <c r="J185" s="25">
        <f>IF($C185="","",IF($E185="Falta","-",MAX(0,MIN(10,8+IFERROR(VALUE(TRIM(MID(SUBSTITUTE(SUBSTITUTE(SUBSTITUTE(UPPER($H185)," ",""),"D",""),";",REPT(" ",30)),1,30))),0)+IFERROR(VALUE(TRIM(MID(SUBSTITUTE(SUBSTITUTE(SUBSTITUTE(UPPER($H185)," ",""),"D",""),";",REPT(" ",30)),31,30))),0)+IFERROR(VALUE(TRIM(MID(SUBSTITUTE(SUBSTITUTE(SUBSTITUTE(UPPER($H185)," ",""),"D",""),";",REPT(" ",30)),61,30))),0)+IFERROR(VALUE(TRIM(MID(SUBSTITUTE(SUBSTITUTE(SUBSTITUTE(UPPER($H185)," ",""),"D",""),";",REPT(" ",30)),91,30))),0)+IFERROR(VALUE(TRIM(MID(SUBSTITUTE(SUBSTITUTE(SUBSTITUTE(UPPER($H185)," ",""),"D",""),";",REPT(" ",30)),121,30))),0)+IFERROR(VALUE(TRIM(MID(SUBSTITUTE(SUBSTITUTE(SUBSTITUTE(UPPER($H185)," ",""),"D",""),";",REPT(" ",30)),151,30))),0)+IFERROR(VALUE(TRIM(MID(SUBSTITUTE(SUBSTITUTE(SUBSTITUTE(UPPER($H185)," ",""),"D",""),";",REPT(" ",30)),181,30))),0)+IFERROR(VALUE(TRIM(MID(SUBSTITUTE(SUBSTITUTE(SUBSTITUTE(UPPER($H185)," ",""),"D",""),";",REPT(" ",30)),211,30))),0)))))</f>
        <v/>
      </c>
      <c r="K185" s="24" t="n"/>
      <c r="L185" s="8" t="n"/>
      <c r="M185" s="14" t="n"/>
      <c r="N185" s="25">
        <f>IF($C185="","",IF($E185="Falta","-",MAX(0,MIN(10,8+IFERROR(VALUE(TRIM(MID(SUBSTITUTE(SUBSTITUTE(SUBSTITUTE(UPPER($L185)," ",""),"F",""),";",REPT(" ",30)),1,30))),0)+IFERROR(VALUE(TRIM(MID(SUBSTITUTE(SUBSTITUTE(SUBSTITUTE(UPPER($L185)," ",""),"F",""),";",REPT(" ",30)),31,30))),0)+IFERROR(VALUE(TRIM(MID(SUBSTITUTE(SUBSTITUTE(SUBSTITUTE(UPPER($L185)," ",""),"F",""),";",REPT(" ",30)),61,30))),0)+IFERROR(VALUE(TRIM(MID(SUBSTITUTE(SUBSTITUTE(SUBSTITUTE(UPPER($L185)," ",""),"F",""),";",REPT(" ",30)),91,30))),0)+IFERROR(VALUE(TRIM(MID(SUBSTITUTE(SUBSTITUTE(SUBSTITUTE(UPPER($L185)," ",""),"F",""),";",REPT(" ",30)),121,30))),0)+IFERROR(VALUE(TRIM(MID(SUBSTITUTE(SUBSTITUTE(SUBSTITUTE(UPPER($L185)," ",""),"F",""),";",REPT(" ",30)),151,30))),0)+IFERROR(VALUE(TRIM(MID(SUBSTITUTE(SUBSTITUTE(SUBSTITUTE(UPPER($L185)," ",""),"F",""),";",REPT(" ",30)),181,30))),0)+IFERROR(VALUE(TRIM(MID(SUBSTITUTE(SUBSTITUTE(SUBSTITUTE(UPPER($L185)," ",""),"F",""),";",REPT(" ",30)),211,30))),0)))))</f>
        <v/>
      </c>
      <c r="O185" s="24" t="n"/>
      <c r="P185" s="8" t="n"/>
      <c r="Q185" s="14" t="n"/>
      <c r="R185" s="25">
        <f>IF($C185="","",IF($E185="Falta","-",MAX(0,MIN(10,5+IFERROR(VALUE(TRIM(MID(SUBSTITUTE(SUBSTITUTE(SUBSTITUTE(UPPER($P185)," ",""),"C",""),";",REPT(" ",30)),1,30))),0)+IFERROR(VALUE(TRIM(MID(SUBSTITUTE(SUBSTITUTE(SUBSTITUTE(UPPER($P185)," ",""),"C",""),";",REPT(" ",30)),31,30))),0)+IFERROR(VALUE(TRIM(MID(SUBSTITUTE(SUBSTITUTE(SUBSTITUTE(UPPER($P185)," ",""),"C",""),";",REPT(" ",30)),61,30))),0)+IFERROR(VALUE(TRIM(MID(SUBSTITUTE(SUBSTITUTE(SUBSTITUTE(UPPER($P185)," ",""),"C",""),";",REPT(" ",30)),91,30))),0)+IFERROR(VALUE(TRIM(MID(SUBSTITUTE(SUBSTITUTE(SUBSTITUTE(UPPER($P185)," ",""),"C",""),";",REPT(" ",30)),121,30))),0)+IFERROR(VALUE(TRIM(MID(SUBSTITUTE(SUBSTITUTE(SUBSTITUTE(UPPER($P185)," ",""),"C",""),";",REPT(" ",30)),151,30))),0)+IFERROR(VALUE(TRIM(MID(SUBSTITUTE(SUBSTITUTE(SUBSTITUTE(UPPER($P185)," ",""),"C",""),";",REPT(" ",30)),181,30))),0)+IFERROR(VALUE(TRIM(MID(SUBSTITUTE(SUBSTITUTE(SUBSTITUTE(UPPER($P185)," ",""),"C",""),";",REPT(" ",30)),211,30))),0)))))</f>
        <v/>
      </c>
      <c r="S185" s="24" t="n"/>
      <c r="T185" s="8" t="n"/>
      <c r="U185" s="14" t="n"/>
      <c r="V185" s="25">
        <f>IF($C185="","",IF($E185="Falta","-",MAX(0,MIN(10,5+IFERROR(VALUE(TRIM(MID(SUBSTITUTE(SUBSTITUTE(SUBSTITUTE(UPPER($T185)," ",""),"P",""),";",REPT(" ",30)),1,30))),0)+IFERROR(VALUE(TRIM(MID(SUBSTITUTE(SUBSTITUTE(SUBSTITUTE(UPPER($T185)," ",""),"P",""),";",REPT(" ",30)),31,30))),0)+IFERROR(VALUE(TRIM(MID(SUBSTITUTE(SUBSTITUTE(SUBSTITUTE(UPPER($T185)," ",""),"P",""),";",REPT(" ",30)),61,30))),0)+IFERROR(VALUE(TRIM(MID(SUBSTITUTE(SUBSTITUTE(SUBSTITUTE(UPPER($T185)," ",""),"P",""),";",REPT(" ",30)),91,30))),0)+IFERROR(VALUE(TRIM(MID(SUBSTITUTE(SUBSTITUTE(SUBSTITUTE(UPPER($T185)," ",""),"P",""),";",REPT(" ",30)),121,30))),0)+IFERROR(VALUE(TRIM(MID(SUBSTITUTE(SUBSTITUTE(SUBSTITUTE(UPPER($T185)," ",""),"P",""),";",REPT(" ",30)),151,30))),0)+IFERROR(VALUE(TRIM(MID(SUBSTITUTE(SUBSTITUTE(SUBSTITUTE(UPPER($T185)," ",""),"P",""),";",REPT(" ",30)),181,30))),0)+IFERROR(VALUE(TRIM(MID(SUBSTITUTE(SUBSTITUTE(SUBSTITUTE(UPPER($T185)," ",""),"P",""),";",REPT(" ",30)),211,30))),0)))))</f>
        <v/>
      </c>
      <c r="W185" s="24" t="n"/>
      <c r="X185" s="14" t="n"/>
    </row>
    <row r="186">
      <c r="A186" s="8">
        <f>IF($C186="","",37)</f>
        <v/>
      </c>
      <c r="B186" s="8">
        <f>IF($C186="","","3ª Sessão")</f>
        <v/>
      </c>
      <c r="C186" s="8">
        <f>IF(Preenchimento!$B$46="","",Preenchimento!$B$46)</f>
        <v/>
      </c>
      <c r="D186" s="8">
        <f>IF($C186="","",IF(Preenchimento!$C$46="","-",Preenchimento!$C$46))</f>
        <v/>
      </c>
      <c r="E186" s="8" t="n"/>
      <c r="F186" s="8" t="n"/>
      <c r="G186" s="24" t="n"/>
      <c r="H186" s="8" t="n"/>
      <c r="I186" s="14" t="n"/>
      <c r="J186" s="25">
        <f>IF($C186="","",IF($E186="Falta","-",MAX(0,MIN(10,8+IFERROR(VALUE(TRIM(MID(SUBSTITUTE(SUBSTITUTE(SUBSTITUTE(UPPER($H186)," ",""),"D",""),";",REPT(" ",30)),1,30))),0)+IFERROR(VALUE(TRIM(MID(SUBSTITUTE(SUBSTITUTE(SUBSTITUTE(UPPER($H186)," ",""),"D",""),";",REPT(" ",30)),31,30))),0)+IFERROR(VALUE(TRIM(MID(SUBSTITUTE(SUBSTITUTE(SUBSTITUTE(UPPER($H186)," ",""),"D",""),";",REPT(" ",30)),61,30))),0)+IFERROR(VALUE(TRIM(MID(SUBSTITUTE(SUBSTITUTE(SUBSTITUTE(UPPER($H186)," ",""),"D",""),";",REPT(" ",30)),91,30))),0)+IFERROR(VALUE(TRIM(MID(SUBSTITUTE(SUBSTITUTE(SUBSTITUTE(UPPER($H186)," ",""),"D",""),";",REPT(" ",30)),121,30))),0)+IFERROR(VALUE(TRIM(MID(SUBSTITUTE(SUBSTITUTE(SUBSTITUTE(UPPER($H186)," ",""),"D",""),";",REPT(" ",30)),151,30))),0)+IFERROR(VALUE(TRIM(MID(SUBSTITUTE(SUBSTITUTE(SUBSTITUTE(UPPER($H186)," ",""),"D",""),";",REPT(" ",30)),181,30))),0)+IFERROR(VALUE(TRIM(MID(SUBSTITUTE(SUBSTITUTE(SUBSTITUTE(UPPER($H186)," ",""),"D",""),";",REPT(" ",30)),211,30))),0)))))</f>
        <v/>
      </c>
      <c r="K186" s="24" t="n"/>
      <c r="L186" s="8" t="n"/>
      <c r="M186" s="14" t="n"/>
      <c r="N186" s="25">
        <f>IF($C186="","",IF($E186="Falta","-",MAX(0,MIN(10,8+IFERROR(VALUE(TRIM(MID(SUBSTITUTE(SUBSTITUTE(SUBSTITUTE(UPPER($L186)," ",""),"F",""),";",REPT(" ",30)),1,30))),0)+IFERROR(VALUE(TRIM(MID(SUBSTITUTE(SUBSTITUTE(SUBSTITUTE(UPPER($L186)," ",""),"F",""),";",REPT(" ",30)),31,30))),0)+IFERROR(VALUE(TRIM(MID(SUBSTITUTE(SUBSTITUTE(SUBSTITUTE(UPPER($L186)," ",""),"F",""),";",REPT(" ",30)),61,30))),0)+IFERROR(VALUE(TRIM(MID(SUBSTITUTE(SUBSTITUTE(SUBSTITUTE(UPPER($L186)," ",""),"F",""),";",REPT(" ",30)),91,30))),0)+IFERROR(VALUE(TRIM(MID(SUBSTITUTE(SUBSTITUTE(SUBSTITUTE(UPPER($L186)," ",""),"F",""),";",REPT(" ",30)),121,30))),0)+IFERROR(VALUE(TRIM(MID(SUBSTITUTE(SUBSTITUTE(SUBSTITUTE(UPPER($L186)," ",""),"F",""),";",REPT(" ",30)),151,30))),0)+IFERROR(VALUE(TRIM(MID(SUBSTITUTE(SUBSTITUTE(SUBSTITUTE(UPPER($L186)," ",""),"F",""),";",REPT(" ",30)),181,30))),0)+IFERROR(VALUE(TRIM(MID(SUBSTITUTE(SUBSTITUTE(SUBSTITUTE(UPPER($L186)," ",""),"F",""),";",REPT(" ",30)),211,30))),0)))))</f>
        <v/>
      </c>
      <c r="O186" s="24" t="n"/>
      <c r="P186" s="8" t="n"/>
      <c r="Q186" s="14" t="n"/>
      <c r="R186" s="25">
        <f>IF($C186="","",IF($E186="Falta","-",MAX(0,MIN(10,5+IFERROR(VALUE(TRIM(MID(SUBSTITUTE(SUBSTITUTE(SUBSTITUTE(UPPER($P186)," ",""),"C",""),";",REPT(" ",30)),1,30))),0)+IFERROR(VALUE(TRIM(MID(SUBSTITUTE(SUBSTITUTE(SUBSTITUTE(UPPER($P186)," ",""),"C",""),";",REPT(" ",30)),31,30))),0)+IFERROR(VALUE(TRIM(MID(SUBSTITUTE(SUBSTITUTE(SUBSTITUTE(UPPER($P186)," ",""),"C",""),";",REPT(" ",30)),61,30))),0)+IFERROR(VALUE(TRIM(MID(SUBSTITUTE(SUBSTITUTE(SUBSTITUTE(UPPER($P186)," ",""),"C",""),";",REPT(" ",30)),91,30))),0)+IFERROR(VALUE(TRIM(MID(SUBSTITUTE(SUBSTITUTE(SUBSTITUTE(UPPER($P186)," ",""),"C",""),";",REPT(" ",30)),121,30))),0)+IFERROR(VALUE(TRIM(MID(SUBSTITUTE(SUBSTITUTE(SUBSTITUTE(UPPER($P186)," ",""),"C",""),";",REPT(" ",30)),151,30))),0)+IFERROR(VALUE(TRIM(MID(SUBSTITUTE(SUBSTITUTE(SUBSTITUTE(UPPER($P186)," ",""),"C",""),";",REPT(" ",30)),181,30))),0)+IFERROR(VALUE(TRIM(MID(SUBSTITUTE(SUBSTITUTE(SUBSTITUTE(UPPER($P186)," ",""),"C",""),";",REPT(" ",30)),211,30))),0)))))</f>
        <v/>
      </c>
      <c r="S186" s="24" t="n"/>
      <c r="T186" s="8" t="n"/>
      <c r="U186" s="14" t="n"/>
      <c r="V186" s="25">
        <f>IF($C186="","",IF($E186="Falta","-",MAX(0,MIN(10,5+IFERROR(VALUE(TRIM(MID(SUBSTITUTE(SUBSTITUTE(SUBSTITUTE(UPPER($T186)," ",""),"P",""),";",REPT(" ",30)),1,30))),0)+IFERROR(VALUE(TRIM(MID(SUBSTITUTE(SUBSTITUTE(SUBSTITUTE(UPPER($T186)," ",""),"P",""),";",REPT(" ",30)),31,30))),0)+IFERROR(VALUE(TRIM(MID(SUBSTITUTE(SUBSTITUTE(SUBSTITUTE(UPPER($T186)," ",""),"P",""),";",REPT(" ",30)),61,30))),0)+IFERROR(VALUE(TRIM(MID(SUBSTITUTE(SUBSTITUTE(SUBSTITUTE(UPPER($T186)," ",""),"P",""),";",REPT(" ",30)),91,30))),0)+IFERROR(VALUE(TRIM(MID(SUBSTITUTE(SUBSTITUTE(SUBSTITUTE(UPPER($T186)," ",""),"P",""),";",REPT(" ",30)),121,30))),0)+IFERROR(VALUE(TRIM(MID(SUBSTITUTE(SUBSTITUTE(SUBSTITUTE(UPPER($T186)," ",""),"P",""),";",REPT(" ",30)),151,30))),0)+IFERROR(VALUE(TRIM(MID(SUBSTITUTE(SUBSTITUTE(SUBSTITUTE(UPPER($T186)," ",""),"P",""),";",REPT(" ",30)),181,30))),0)+IFERROR(VALUE(TRIM(MID(SUBSTITUTE(SUBSTITUTE(SUBSTITUTE(UPPER($T186)," ",""),"P",""),";",REPT(" ",30)),211,30))),0)))))</f>
        <v/>
      </c>
      <c r="W186" s="24" t="n"/>
      <c r="X186" s="14" t="n"/>
    </row>
    <row r="187">
      <c r="A187" s="8">
        <f>IF($C187="","",37)</f>
        <v/>
      </c>
      <c r="B187" s="8">
        <f>IF($C187="","","4ª Sessão")</f>
        <v/>
      </c>
      <c r="C187" s="8">
        <f>IF(Preenchimento!$B$46="","",Preenchimento!$B$46)</f>
        <v/>
      </c>
      <c r="D187" s="8">
        <f>IF($C187="","",IF(Preenchimento!$C$46="","-",Preenchimento!$C$46))</f>
        <v/>
      </c>
      <c r="E187" s="8" t="n"/>
      <c r="F187" s="8" t="n"/>
      <c r="G187" s="24" t="n"/>
      <c r="H187" s="8" t="n"/>
      <c r="I187" s="14" t="n"/>
      <c r="J187" s="25">
        <f>IF($C187="","",IF($E187="Falta","-",MAX(0,MIN(10,8+IFERROR(VALUE(TRIM(MID(SUBSTITUTE(SUBSTITUTE(SUBSTITUTE(UPPER($H187)," ",""),"D",""),";",REPT(" ",30)),1,30))),0)+IFERROR(VALUE(TRIM(MID(SUBSTITUTE(SUBSTITUTE(SUBSTITUTE(UPPER($H187)," ",""),"D",""),";",REPT(" ",30)),31,30))),0)+IFERROR(VALUE(TRIM(MID(SUBSTITUTE(SUBSTITUTE(SUBSTITUTE(UPPER($H187)," ",""),"D",""),";",REPT(" ",30)),61,30))),0)+IFERROR(VALUE(TRIM(MID(SUBSTITUTE(SUBSTITUTE(SUBSTITUTE(UPPER($H187)," ",""),"D",""),";",REPT(" ",30)),91,30))),0)+IFERROR(VALUE(TRIM(MID(SUBSTITUTE(SUBSTITUTE(SUBSTITUTE(UPPER($H187)," ",""),"D",""),";",REPT(" ",30)),121,30))),0)+IFERROR(VALUE(TRIM(MID(SUBSTITUTE(SUBSTITUTE(SUBSTITUTE(UPPER($H187)," ",""),"D",""),";",REPT(" ",30)),151,30))),0)+IFERROR(VALUE(TRIM(MID(SUBSTITUTE(SUBSTITUTE(SUBSTITUTE(UPPER($H187)," ",""),"D",""),";",REPT(" ",30)),181,30))),0)+IFERROR(VALUE(TRIM(MID(SUBSTITUTE(SUBSTITUTE(SUBSTITUTE(UPPER($H187)," ",""),"D",""),";",REPT(" ",30)),211,30))),0)))))</f>
        <v/>
      </c>
      <c r="K187" s="24" t="n"/>
      <c r="L187" s="8" t="n"/>
      <c r="M187" s="14" t="n"/>
      <c r="N187" s="25">
        <f>IF($C187="","",IF($E187="Falta","-",MAX(0,MIN(10,8+IFERROR(VALUE(TRIM(MID(SUBSTITUTE(SUBSTITUTE(SUBSTITUTE(UPPER($L187)," ",""),"F",""),";",REPT(" ",30)),1,30))),0)+IFERROR(VALUE(TRIM(MID(SUBSTITUTE(SUBSTITUTE(SUBSTITUTE(UPPER($L187)," ",""),"F",""),";",REPT(" ",30)),31,30))),0)+IFERROR(VALUE(TRIM(MID(SUBSTITUTE(SUBSTITUTE(SUBSTITUTE(UPPER($L187)," ",""),"F",""),";",REPT(" ",30)),61,30))),0)+IFERROR(VALUE(TRIM(MID(SUBSTITUTE(SUBSTITUTE(SUBSTITUTE(UPPER($L187)," ",""),"F",""),";",REPT(" ",30)),91,30))),0)+IFERROR(VALUE(TRIM(MID(SUBSTITUTE(SUBSTITUTE(SUBSTITUTE(UPPER($L187)," ",""),"F",""),";",REPT(" ",30)),121,30))),0)+IFERROR(VALUE(TRIM(MID(SUBSTITUTE(SUBSTITUTE(SUBSTITUTE(UPPER($L187)," ",""),"F",""),";",REPT(" ",30)),151,30))),0)+IFERROR(VALUE(TRIM(MID(SUBSTITUTE(SUBSTITUTE(SUBSTITUTE(UPPER($L187)," ",""),"F",""),";",REPT(" ",30)),181,30))),0)+IFERROR(VALUE(TRIM(MID(SUBSTITUTE(SUBSTITUTE(SUBSTITUTE(UPPER($L187)," ",""),"F",""),";",REPT(" ",30)),211,30))),0)))))</f>
        <v/>
      </c>
      <c r="O187" s="24" t="n"/>
      <c r="P187" s="8" t="n"/>
      <c r="Q187" s="14" t="n"/>
      <c r="R187" s="25">
        <f>IF($C187="","",IF($E187="Falta","-",MAX(0,MIN(10,5+IFERROR(VALUE(TRIM(MID(SUBSTITUTE(SUBSTITUTE(SUBSTITUTE(UPPER($P187)," ",""),"C",""),";",REPT(" ",30)),1,30))),0)+IFERROR(VALUE(TRIM(MID(SUBSTITUTE(SUBSTITUTE(SUBSTITUTE(UPPER($P187)," ",""),"C",""),";",REPT(" ",30)),31,30))),0)+IFERROR(VALUE(TRIM(MID(SUBSTITUTE(SUBSTITUTE(SUBSTITUTE(UPPER($P187)," ",""),"C",""),";",REPT(" ",30)),61,30))),0)+IFERROR(VALUE(TRIM(MID(SUBSTITUTE(SUBSTITUTE(SUBSTITUTE(UPPER($P187)," ",""),"C",""),";",REPT(" ",30)),91,30))),0)+IFERROR(VALUE(TRIM(MID(SUBSTITUTE(SUBSTITUTE(SUBSTITUTE(UPPER($P187)," ",""),"C",""),";",REPT(" ",30)),121,30))),0)+IFERROR(VALUE(TRIM(MID(SUBSTITUTE(SUBSTITUTE(SUBSTITUTE(UPPER($P187)," ",""),"C",""),";",REPT(" ",30)),151,30))),0)+IFERROR(VALUE(TRIM(MID(SUBSTITUTE(SUBSTITUTE(SUBSTITUTE(UPPER($P187)," ",""),"C",""),";",REPT(" ",30)),181,30))),0)+IFERROR(VALUE(TRIM(MID(SUBSTITUTE(SUBSTITUTE(SUBSTITUTE(UPPER($P187)," ",""),"C",""),";",REPT(" ",30)),211,30))),0)))))</f>
        <v/>
      </c>
      <c r="S187" s="24" t="n"/>
      <c r="T187" s="8" t="n"/>
      <c r="U187" s="14" t="n"/>
      <c r="V187" s="25">
        <f>IF($C187="","",IF($E187="Falta","-",MAX(0,MIN(10,5+IFERROR(VALUE(TRIM(MID(SUBSTITUTE(SUBSTITUTE(SUBSTITUTE(UPPER($T187)," ",""),"P",""),";",REPT(" ",30)),1,30))),0)+IFERROR(VALUE(TRIM(MID(SUBSTITUTE(SUBSTITUTE(SUBSTITUTE(UPPER($T187)," ",""),"P",""),";",REPT(" ",30)),31,30))),0)+IFERROR(VALUE(TRIM(MID(SUBSTITUTE(SUBSTITUTE(SUBSTITUTE(UPPER($T187)," ",""),"P",""),";",REPT(" ",30)),61,30))),0)+IFERROR(VALUE(TRIM(MID(SUBSTITUTE(SUBSTITUTE(SUBSTITUTE(UPPER($T187)," ",""),"P",""),";",REPT(" ",30)),91,30))),0)+IFERROR(VALUE(TRIM(MID(SUBSTITUTE(SUBSTITUTE(SUBSTITUTE(UPPER($T187)," ",""),"P",""),";",REPT(" ",30)),121,30))),0)+IFERROR(VALUE(TRIM(MID(SUBSTITUTE(SUBSTITUTE(SUBSTITUTE(UPPER($T187)," ",""),"P",""),";",REPT(" ",30)),151,30))),0)+IFERROR(VALUE(TRIM(MID(SUBSTITUTE(SUBSTITUTE(SUBSTITUTE(UPPER($T187)," ",""),"P",""),";",REPT(" ",30)),181,30))),0)+IFERROR(VALUE(TRIM(MID(SUBSTITUTE(SUBSTITUTE(SUBSTITUTE(UPPER($T187)," ",""),"P",""),";",REPT(" ",30)),211,30))),0)))))</f>
        <v/>
      </c>
      <c r="W187" s="24" t="n"/>
      <c r="X187" s="14" t="n"/>
    </row>
    <row r="188">
      <c r="A188" s="8">
        <f>IF($C188="","",37)</f>
        <v/>
      </c>
      <c r="B188" s="8">
        <f>IF($C188="","","5ª Sessão")</f>
        <v/>
      </c>
      <c r="C188" s="8">
        <f>IF(Preenchimento!$B$46="","",Preenchimento!$B$46)</f>
        <v/>
      </c>
      <c r="D188" s="8">
        <f>IF($C188="","",IF(Preenchimento!$C$46="","-",Preenchimento!$C$46))</f>
        <v/>
      </c>
      <c r="E188" s="8" t="n"/>
      <c r="F188" s="8" t="n"/>
      <c r="G188" s="24" t="n"/>
      <c r="H188" s="8" t="n"/>
      <c r="I188" s="14" t="n"/>
      <c r="J188" s="25">
        <f>IF($C188="","",IF($E188="Falta","-",MAX(0,MIN(10,8+IFERROR(VALUE(TRIM(MID(SUBSTITUTE(SUBSTITUTE(SUBSTITUTE(UPPER($H188)," ",""),"D",""),";",REPT(" ",30)),1,30))),0)+IFERROR(VALUE(TRIM(MID(SUBSTITUTE(SUBSTITUTE(SUBSTITUTE(UPPER($H188)," ",""),"D",""),";",REPT(" ",30)),31,30))),0)+IFERROR(VALUE(TRIM(MID(SUBSTITUTE(SUBSTITUTE(SUBSTITUTE(UPPER($H188)," ",""),"D",""),";",REPT(" ",30)),61,30))),0)+IFERROR(VALUE(TRIM(MID(SUBSTITUTE(SUBSTITUTE(SUBSTITUTE(UPPER($H188)," ",""),"D",""),";",REPT(" ",30)),91,30))),0)+IFERROR(VALUE(TRIM(MID(SUBSTITUTE(SUBSTITUTE(SUBSTITUTE(UPPER($H188)," ",""),"D",""),";",REPT(" ",30)),121,30))),0)+IFERROR(VALUE(TRIM(MID(SUBSTITUTE(SUBSTITUTE(SUBSTITUTE(UPPER($H188)," ",""),"D",""),";",REPT(" ",30)),151,30))),0)+IFERROR(VALUE(TRIM(MID(SUBSTITUTE(SUBSTITUTE(SUBSTITUTE(UPPER($H188)," ",""),"D",""),";",REPT(" ",30)),181,30))),0)+IFERROR(VALUE(TRIM(MID(SUBSTITUTE(SUBSTITUTE(SUBSTITUTE(UPPER($H188)," ",""),"D",""),";",REPT(" ",30)),211,30))),0)))))</f>
        <v/>
      </c>
      <c r="K188" s="24" t="n"/>
      <c r="L188" s="8" t="n"/>
      <c r="M188" s="14" t="n"/>
      <c r="N188" s="25">
        <f>IF($C188="","",IF($E188="Falta","-",MAX(0,MIN(10,8+IFERROR(VALUE(TRIM(MID(SUBSTITUTE(SUBSTITUTE(SUBSTITUTE(UPPER($L188)," ",""),"F",""),";",REPT(" ",30)),1,30))),0)+IFERROR(VALUE(TRIM(MID(SUBSTITUTE(SUBSTITUTE(SUBSTITUTE(UPPER($L188)," ",""),"F",""),";",REPT(" ",30)),31,30))),0)+IFERROR(VALUE(TRIM(MID(SUBSTITUTE(SUBSTITUTE(SUBSTITUTE(UPPER($L188)," ",""),"F",""),";",REPT(" ",30)),61,30))),0)+IFERROR(VALUE(TRIM(MID(SUBSTITUTE(SUBSTITUTE(SUBSTITUTE(UPPER($L188)," ",""),"F",""),";",REPT(" ",30)),91,30))),0)+IFERROR(VALUE(TRIM(MID(SUBSTITUTE(SUBSTITUTE(SUBSTITUTE(UPPER($L188)," ",""),"F",""),";",REPT(" ",30)),121,30))),0)+IFERROR(VALUE(TRIM(MID(SUBSTITUTE(SUBSTITUTE(SUBSTITUTE(UPPER($L188)," ",""),"F",""),";",REPT(" ",30)),151,30))),0)+IFERROR(VALUE(TRIM(MID(SUBSTITUTE(SUBSTITUTE(SUBSTITUTE(UPPER($L188)," ",""),"F",""),";",REPT(" ",30)),181,30))),0)+IFERROR(VALUE(TRIM(MID(SUBSTITUTE(SUBSTITUTE(SUBSTITUTE(UPPER($L188)," ",""),"F",""),";",REPT(" ",30)),211,30))),0)))))</f>
        <v/>
      </c>
      <c r="O188" s="24" t="n"/>
      <c r="P188" s="8" t="n"/>
      <c r="Q188" s="14" t="n"/>
      <c r="R188" s="25">
        <f>IF($C188="","",IF($E188="Falta","-",MAX(0,MIN(10,5+IFERROR(VALUE(TRIM(MID(SUBSTITUTE(SUBSTITUTE(SUBSTITUTE(UPPER($P188)," ",""),"C",""),";",REPT(" ",30)),1,30))),0)+IFERROR(VALUE(TRIM(MID(SUBSTITUTE(SUBSTITUTE(SUBSTITUTE(UPPER($P188)," ",""),"C",""),";",REPT(" ",30)),31,30))),0)+IFERROR(VALUE(TRIM(MID(SUBSTITUTE(SUBSTITUTE(SUBSTITUTE(UPPER($P188)," ",""),"C",""),";",REPT(" ",30)),61,30))),0)+IFERROR(VALUE(TRIM(MID(SUBSTITUTE(SUBSTITUTE(SUBSTITUTE(UPPER($P188)," ",""),"C",""),";",REPT(" ",30)),91,30))),0)+IFERROR(VALUE(TRIM(MID(SUBSTITUTE(SUBSTITUTE(SUBSTITUTE(UPPER($P188)," ",""),"C",""),";",REPT(" ",30)),121,30))),0)+IFERROR(VALUE(TRIM(MID(SUBSTITUTE(SUBSTITUTE(SUBSTITUTE(UPPER($P188)," ",""),"C",""),";",REPT(" ",30)),151,30))),0)+IFERROR(VALUE(TRIM(MID(SUBSTITUTE(SUBSTITUTE(SUBSTITUTE(UPPER($P188)," ",""),"C",""),";",REPT(" ",30)),181,30))),0)+IFERROR(VALUE(TRIM(MID(SUBSTITUTE(SUBSTITUTE(SUBSTITUTE(UPPER($P188)," ",""),"C",""),";",REPT(" ",30)),211,30))),0)))))</f>
        <v/>
      </c>
      <c r="S188" s="24" t="n"/>
      <c r="T188" s="8" t="n"/>
      <c r="U188" s="14" t="n"/>
      <c r="V188" s="25">
        <f>IF($C188="","",IF($E188="Falta","-",MAX(0,MIN(10,5+IFERROR(VALUE(TRIM(MID(SUBSTITUTE(SUBSTITUTE(SUBSTITUTE(UPPER($T188)," ",""),"P",""),";",REPT(" ",30)),1,30))),0)+IFERROR(VALUE(TRIM(MID(SUBSTITUTE(SUBSTITUTE(SUBSTITUTE(UPPER($T188)," ",""),"P",""),";",REPT(" ",30)),31,30))),0)+IFERROR(VALUE(TRIM(MID(SUBSTITUTE(SUBSTITUTE(SUBSTITUTE(UPPER($T188)," ",""),"P",""),";",REPT(" ",30)),61,30))),0)+IFERROR(VALUE(TRIM(MID(SUBSTITUTE(SUBSTITUTE(SUBSTITUTE(UPPER($T188)," ",""),"P",""),";",REPT(" ",30)),91,30))),0)+IFERROR(VALUE(TRIM(MID(SUBSTITUTE(SUBSTITUTE(SUBSTITUTE(UPPER($T188)," ",""),"P",""),";",REPT(" ",30)),121,30))),0)+IFERROR(VALUE(TRIM(MID(SUBSTITUTE(SUBSTITUTE(SUBSTITUTE(UPPER($T188)," ",""),"P",""),";",REPT(" ",30)),151,30))),0)+IFERROR(VALUE(TRIM(MID(SUBSTITUTE(SUBSTITUTE(SUBSTITUTE(UPPER($T188)," ",""),"P",""),";",REPT(" ",30)),181,30))),0)+IFERROR(VALUE(TRIM(MID(SUBSTITUTE(SUBSTITUTE(SUBSTITUTE(UPPER($T188)," ",""),"P",""),";",REPT(" ",30)),211,30))),0)))))</f>
        <v/>
      </c>
      <c r="W188" s="24" t="n"/>
      <c r="X188" s="14" t="n"/>
    </row>
    <row r="189">
      <c r="A189" s="6">
        <f>IF($C189="","",38)</f>
        <v/>
      </c>
      <c r="B189" s="6">
        <f>IF($C189="","","1ª Sessão")</f>
        <v/>
      </c>
      <c r="C189" s="6">
        <f>IF(Preenchimento!$B$47="","",Preenchimento!$B$47)</f>
        <v/>
      </c>
      <c r="D189" s="6">
        <f>IF($C189="","",IF(Preenchimento!$C$47="","-",Preenchimento!$C$47))</f>
        <v/>
      </c>
      <c r="E189" s="6" t="n"/>
      <c r="F189" s="6" t="n"/>
      <c r="G189" s="26" t="n"/>
      <c r="H189" s="6" t="n"/>
      <c r="I189" s="13" t="n"/>
      <c r="J189" s="27">
        <f>IF($C189="","",IF($E189="Falta","-",MAX(0,MIN(10,8+IFERROR(VALUE(TRIM(MID(SUBSTITUTE(SUBSTITUTE(SUBSTITUTE(UPPER($H189)," ",""),"D",""),";",REPT(" ",30)),1,30))),0)+IFERROR(VALUE(TRIM(MID(SUBSTITUTE(SUBSTITUTE(SUBSTITUTE(UPPER($H189)," ",""),"D",""),";",REPT(" ",30)),31,30))),0)+IFERROR(VALUE(TRIM(MID(SUBSTITUTE(SUBSTITUTE(SUBSTITUTE(UPPER($H189)," ",""),"D",""),";",REPT(" ",30)),61,30))),0)+IFERROR(VALUE(TRIM(MID(SUBSTITUTE(SUBSTITUTE(SUBSTITUTE(UPPER($H189)," ",""),"D",""),";",REPT(" ",30)),91,30))),0)+IFERROR(VALUE(TRIM(MID(SUBSTITUTE(SUBSTITUTE(SUBSTITUTE(UPPER($H189)," ",""),"D",""),";",REPT(" ",30)),121,30))),0)+IFERROR(VALUE(TRIM(MID(SUBSTITUTE(SUBSTITUTE(SUBSTITUTE(UPPER($H189)," ",""),"D",""),";",REPT(" ",30)),151,30))),0)+IFERROR(VALUE(TRIM(MID(SUBSTITUTE(SUBSTITUTE(SUBSTITUTE(UPPER($H189)," ",""),"D",""),";",REPT(" ",30)),181,30))),0)+IFERROR(VALUE(TRIM(MID(SUBSTITUTE(SUBSTITUTE(SUBSTITUTE(UPPER($H189)," ",""),"D",""),";",REPT(" ",30)),211,30))),0)))))</f>
        <v/>
      </c>
      <c r="K189" s="26" t="n"/>
      <c r="L189" s="6" t="n"/>
      <c r="M189" s="13" t="n"/>
      <c r="N189" s="27">
        <f>IF($C189="","",IF($E189="Falta","-",MAX(0,MIN(10,8+IFERROR(VALUE(TRIM(MID(SUBSTITUTE(SUBSTITUTE(SUBSTITUTE(UPPER($L189)," ",""),"F",""),";",REPT(" ",30)),1,30))),0)+IFERROR(VALUE(TRIM(MID(SUBSTITUTE(SUBSTITUTE(SUBSTITUTE(UPPER($L189)," ",""),"F",""),";",REPT(" ",30)),31,30))),0)+IFERROR(VALUE(TRIM(MID(SUBSTITUTE(SUBSTITUTE(SUBSTITUTE(UPPER($L189)," ",""),"F",""),";",REPT(" ",30)),61,30))),0)+IFERROR(VALUE(TRIM(MID(SUBSTITUTE(SUBSTITUTE(SUBSTITUTE(UPPER($L189)," ",""),"F",""),";",REPT(" ",30)),91,30))),0)+IFERROR(VALUE(TRIM(MID(SUBSTITUTE(SUBSTITUTE(SUBSTITUTE(UPPER($L189)," ",""),"F",""),";",REPT(" ",30)),121,30))),0)+IFERROR(VALUE(TRIM(MID(SUBSTITUTE(SUBSTITUTE(SUBSTITUTE(UPPER($L189)," ",""),"F",""),";",REPT(" ",30)),151,30))),0)+IFERROR(VALUE(TRIM(MID(SUBSTITUTE(SUBSTITUTE(SUBSTITUTE(UPPER($L189)," ",""),"F",""),";",REPT(" ",30)),181,30))),0)+IFERROR(VALUE(TRIM(MID(SUBSTITUTE(SUBSTITUTE(SUBSTITUTE(UPPER($L189)," ",""),"F",""),";",REPT(" ",30)),211,30))),0)))))</f>
        <v/>
      </c>
      <c r="O189" s="26" t="n"/>
      <c r="P189" s="6" t="n"/>
      <c r="Q189" s="13" t="n"/>
      <c r="R189" s="27">
        <f>IF($C189="","",IF($E189="Falta","-",MAX(0,MIN(10,5+IFERROR(VALUE(TRIM(MID(SUBSTITUTE(SUBSTITUTE(SUBSTITUTE(UPPER($P189)," ",""),"C",""),";",REPT(" ",30)),1,30))),0)+IFERROR(VALUE(TRIM(MID(SUBSTITUTE(SUBSTITUTE(SUBSTITUTE(UPPER($P189)," ",""),"C",""),";",REPT(" ",30)),31,30))),0)+IFERROR(VALUE(TRIM(MID(SUBSTITUTE(SUBSTITUTE(SUBSTITUTE(UPPER($P189)," ",""),"C",""),";",REPT(" ",30)),61,30))),0)+IFERROR(VALUE(TRIM(MID(SUBSTITUTE(SUBSTITUTE(SUBSTITUTE(UPPER($P189)," ",""),"C",""),";",REPT(" ",30)),91,30))),0)+IFERROR(VALUE(TRIM(MID(SUBSTITUTE(SUBSTITUTE(SUBSTITUTE(UPPER($P189)," ",""),"C",""),";",REPT(" ",30)),121,30))),0)+IFERROR(VALUE(TRIM(MID(SUBSTITUTE(SUBSTITUTE(SUBSTITUTE(UPPER($P189)," ",""),"C",""),";",REPT(" ",30)),151,30))),0)+IFERROR(VALUE(TRIM(MID(SUBSTITUTE(SUBSTITUTE(SUBSTITUTE(UPPER($P189)," ",""),"C",""),";",REPT(" ",30)),181,30))),0)+IFERROR(VALUE(TRIM(MID(SUBSTITUTE(SUBSTITUTE(SUBSTITUTE(UPPER($P189)," ",""),"C",""),";",REPT(" ",30)),211,30))),0)))))</f>
        <v/>
      </c>
      <c r="S189" s="26" t="n"/>
      <c r="T189" s="6" t="n"/>
      <c r="U189" s="13" t="n"/>
      <c r="V189" s="27">
        <f>IF($C189="","",IF($E189="Falta","-",MAX(0,MIN(10,5+IFERROR(VALUE(TRIM(MID(SUBSTITUTE(SUBSTITUTE(SUBSTITUTE(UPPER($T189)," ",""),"P",""),";",REPT(" ",30)),1,30))),0)+IFERROR(VALUE(TRIM(MID(SUBSTITUTE(SUBSTITUTE(SUBSTITUTE(UPPER($T189)," ",""),"P",""),";",REPT(" ",30)),31,30))),0)+IFERROR(VALUE(TRIM(MID(SUBSTITUTE(SUBSTITUTE(SUBSTITUTE(UPPER($T189)," ",""),"P",""),";",REPT(" ",30)),61,30))),0)+IFERROR(VALUE(TRIM(MID(SUBSTITUTE(SUBSTITUTE(SUBSTITUTE(UPPER($T189)," ",""),"P",""),";",REPT(" ",30)),91,30))),0)+IFERROR(VALUE(TRIM(MID(SUBSTITUTE(SUBSTITUTE(SUBSTITUTE(UPPER($T189)," ",""),"P",""),";",REPT(" ",30)),121,30))),0)+IFERROR(VALUE(TRIM(MID(SUBSTITUTE(SUBSTITUTE(SUBSTITUTE(UPPER($T189)," ",""),"P",""),";",REPT(" ",30)),151,30))),0)+IFERROR(VALUE(TRIM(MID(SUBSTITUTE(SUBSTITUTE(SUBSTITUTE(UPPER($T189)," ",""),"P",""),";",REPT(" ",30)),181,30))),0)+IFERROR(VALUE(TRIM(MID(SUBSTITUTE(SUBSTITUTE(SUBSTITUTE(UPPER($T189)," ",""),"P",""),";",REPT(" ",30)),211,30))),0)))))</f>
        <v/>
      </c>
      <c r="W189" s="26" t="n"/>
      <c r="X189" s="13" t="n"/>
    </row>
    <row r="190">
      <c r="A190" s="6">
        <f>IF($C190="","",38)</f>
        <v/>
      </c>
      <c r="B190" s="6">
        <f>IF($C190="","","2ª Sessão")</f>
        <v/>
      </c>
      <c r="C190" s="6">
        <f>IF(Preenchimento!$B$47="","",Preenchimento!$B$47)</f>
        <v/>
      </c>
      <c r="D190" s="6">
        <f>IF($C190="","",IF(Preenchimento!$C$47="","-",Preenchimento!$C$47))</f>
        <v/>
      </c>
      <c r="E190" s="6" t="n"/>
      <c r="F190" s="6" t="n"/>
      <c r="G190" s="26" t="n"/>
      <c r="H190" s="6" t="n"/>
      <c r="I190" s="13" t="n"/>
      <c r="J190" s="27">
        <f>IF($C190="","",IF($E190="Falta","-",MAX(0,MIN(10,8+IFERROR(VALUE(TRIM(MID(SUBSTITUTE(SUBSTITUTE(SUBSTITUTE(UPPER($H190)," ",""),"D",""),";",REPT(" ",30)),1,30))),0)+IFERROR(VALUE(TRIM(MID(SUBSTITUTE(SUBSTITUTE(SUBSTITUTE(UPPER($H190)," ",""),"D",""),";",REPT(" ",30)),31,30))),0)+IFERROR(VALUE(TRIM(MID(SUBSTITUTE(SUBSTITUTE(SUBSTITUTE(UPPER($H190)," ",""),"D",""),";",REPT(" ",30)),61,30))),0)+IFERROR(VALUE(TRIM(MID(SUBSTITUTE(SUBSTITUTE(SUBSTITUTE(UPPER($H190)," ",""),"D",""),";",REPT(" ",30)),91,30))),0)+IFERROR(VALUE(TRIM(MID(SUBSTITUTE(SUBSTITUTE(SUBSTITUTE(UPPER($H190)," ",""),"D",""),";",REPT(" ",30)),121,30))),0)+IFERROR(VALUE(TRIM(MID(SUBSTITUTE(SUBSTITUTE(SUBSTITUTE(UPPER($H190)," ",""),"D",""),";",REPT(" ",30)),151,30))),0)+IFERROR(VALUE(TRIM(MID(SUBSTITUTE(SUBSTITUTE(SUBSTITUTE(UPPER($H190)," ",""),"D",""),";",REPT(" ",30)),181,30))),0)+IFERROR(VALUE(TRIM(MID(SUBSTITUTE(SUBSTITUTE(SUBSTITUTE(UPPER($H190)," ",""),"D",""),";",REPT(" ",30)),211,30))),0)))))</f>
        <v/>
      </c>
      <c r="K190" s="26" t="n"/>
      <c r="L190" s="6" t="n"/>
      <c r="M190" s="13" t="n"/>
      <c r="N190" s="27">
        <f>IF($C190="","",IF($E190="Falta","-",MAX(0,MIN(10,8+IFERROR(VALUE(TRIM(MID(SUBSTITUTE(SUBSTITUTE(SUBSTITUTE(UPPER($L190)," ",""),"F",""),";",REPT(" ",30)),1,30))),0)+IFERROR(VALUE(TRIM(MID(SUBSTITUTE(SUBSTITUTE(SUBSTITUTE(UPPER($L190)," ",""),"F",""),";",REPT(" ",30)),31,30))),0)+IFERROR(VALUE(TRIM(MID(SUBSTITUTE(SUBSTITUTE(SUBSTITUTE(UPPER($L190)," ",""),"F",""),";",REPT(" ",30)),61,30))),0)+IFERROR(VALUE(TRIM(MID(SUBSTITUTE(SUBSTITUTE(SUBSTITUTE(UPPER($L190)," ",""),"F",""),";",REPT(" ",30)),91,30))),0)+IFERROR(VALUE(TRIM(MID(SUBSTITUTE(SUBSTITUTE(SUBSTITUTE(UPPER($L190)," ",""),"F",""),";",REPT(" ",30)),121,30))),0)+IFERROR(VALUE(TRIM(MID(SUBSTITUTE(SUBSTITUTE(SUBSTITUTE(UPPER($L190)," ",""),"F",""),";",REPT(" ",30)),151,30))),0)+IFERROR(VALUE(TRIM(MID(SUBSTITUTE(SUBSTITUTE(SUBSTITUTE(UPPER($L190)," ",""),"F",""),";",REPT(" ",30)),181,30))),0)+IFERROR(VALUE(TRIM(MID(SUBSTITUTE(SUBSTITUTE(SUBSTITUTE(UPPER($L190)," ",""),"F",""),";",REPT(" ",30)),211,30))),0)))))</f>
        <v/>
      </c>
      <c r="O190" s="26" t="n"/>
      <c r="P190" s="6" t="n"/>
      <c r="Q190" s="13" t="n"/>
      <c r="R190" s="27">
        <f>IF($C190="","",IF($E190="Falta","-",MAX(0,MIN(10,5+IFERROR(VALUE(TRIM(MID(SUBSTITUTE(SUBSTITUTE(SUBSTITUTE(UPPER($P190)," ",""),"C",""),";",REPT(" ",30)),1,30))),0)+IFERROR(VALUE(TRIM(MID(SUBSTITUTE(SUBSTITUTE(SUBSTITUTE(UPPER($P190)," ",""),"C",""),";",REPT(" ",30)),31,30))),0)+IFERROR(VALUE(TRIM(MID(SUBSTITUTE(SUBSTITUTE(SUBSTITUTE(UPPER($P190)," ",""),"C",""),";",REPT(" ",30)),61,30))),0)+IFERROR(VALUE(TRIM(MID(SUBSTITUTE(SUBSTITUTE(SUBSTITUTE(UPPER($P190)," ",""),"C",""),";",REPT(" ",30)),91,30))),0)+IFERROR(VALUE(TRIM(MID(SUBSTITUTE(SUBSTITUTE(SUBSTITUTE(UPPER($P190)," ",""),"C",""),";",REPT(" ",30)),121,30))),0)+IFERROR(VALUE(TRIM(MID(SUBSTITUTE(SUBSTITUTE(SUBSTITUTE(UPPER($P190)," ",""),"C",""),";",REPT(" ",30)),151,30))),0)+IFERROR(VALUE(TRIM(MID(SUBSTITUTE(SUBSTITUTE(SUBSTITUTE(UPPER($P190)," ",""),"C",""),";",REPT(" ",30)),181,30))),0)+IFERROR(VALUE(TRIM(MID(SUBSTITUTE(SUBSTITUTE(SUBSTITUTE(UPPER($P190)," ",""),"C",""),";",REPT(" ",30)),211,30))),0)))))</f>
        <v/>
      </c>
      <c r="S190" s="26" t="n"/>
      <c r="T190" s="6" t="n"/>
      <c r="U190" s="13" t="n"/>
      <c r="V190" s="27">
        <f>IF($C190="","",IF($E190="Falta","-",MAX(0,MIN(10,5+IFERROR(VALUE(TRIM(MID(SUBSTITUTE(SUBSTITUTE(SUBSTITUTE(UPPER($T190)," ",""),"P",""),";",REPT(" ",30)),1,30))),0)+IFERROR(VALUE(TRIM(MID(SUBSTITUTE(SUBSTITUTE(SUBSTITUTE(UPPER($T190)," ",""),"P",""),";",REPT(" ",30)),31,30))),0)+IFERROR(VALUE(TRIM(MID(SUBSTITUTE(SUBSTITUTE(SUBSTITUTE(UPPER($T190)," ",""),"P",""),";",REPT(" ",30)),61,30))),0)+IFERROR(VALUE(TRIM(MID(SUBSTITUTE(SUBSTITUTE(SUBSTITUTE(UPPER($T190)," ",""),"P",""),";",REPT(" ",30)),91,30))),0)+IFERROR(VALUE(TRIM(MID(SUBSTITUTE(SUBSTITUTE(SUBSTITUTE(UPPER($T190)," ",""),"P",""),";",REPT(" ",30)),121,30))),0)+IFERROR(VALUE(TRIM(MID(SUBSTITUTE(SUBSTITUTE(SUBSTITUTE(UPPER($T190)," ",""),"P",""),";",REPT(" ",30)),151,30))),0)+IFERROR(VALUE(TRIM(MID(SUBSTITUTE(SUBSTITUTE(SUBSTITUTE(UPPER($T190)," ",""),"P",""),";",REPT(" ",30)),181,30))),0)+IFERROR(VALUE(TRIM(MID(SUBSTITUTE(SUBSTITUTE(SUBSTITUTE(UPPER($T190)," ",""),"P",""),";",REPT(" ",30)),211,30))),0)))))</f>
        <v/>
      </c>
      <c r="W190" s="26" t="n"/>
      <c r="X190" s="13" t="n"/>
    </row>
    <row r="191">
      <c r="A191" s="6">
        <f>IF($C191="","",38)</f>
        <v/>
      </c>
      <c r="B191" s="6">
        <f>IF($C191="","","3ª Sessão")</f>
        <v/>
      </c>
      <c r="C191" s="6">
        <f>IF(Preenchimento!$B$47="","",Preenchimento!$B$47)</f>
        <v/>
      </c>
      <c r="D191" s="6">
        <f>IF($C191="","",IF(Preenchimento!$C$47="","-",Preenchimento!$C$47))</f>
        <v/>
      </c>
      <c r="E191" s="6" t="n"/>
      <c r="F191" s="6" t="n"/>
      <c r="G191" s="26" t="n"/>
      <c r="H191" s="6" t="n"/>
      <c r="I191" s="13" t="n"/>
      <c r="J191" s="27">
        <f>IF($C191="","",IF($E191="Falta","-",MAX(0,MIN(10,8+IFERROR(VALUE(TRIM(MID(SUBSTITUTE(SUBSTITUTE(SUBSTITUTE(UPPER($H191)," ",""),"D",""),";",REPT(" ",30)),1,30))),0)+IFERROR(VALUE(TRIM(MID(SUBSTITUTE(SUBSTITUTE(SUBSTITUTE(UPPER($H191)," ",""),"D",""),";",REPT(" ",30)),31,30))),0)+IFERROR(VALUE(TRIM(MID(SUBSTITUTE(SUBSTITUTE(SUBSTITUTE(UPPER($H191)," ",""),"D",""),";",REPT(" ",30)),61,30))),0)+IFERROR(VALUE(TRIM(MID(SUBSTITUTE(SUBSTITUTE(SUBSTITUTE(UPPER($H191)," ",""),"D",""),";",REPT(" ",30)),91,30))),0)+IFERROR(VALUE(TRIM(MID(SUBSTITUTE(SUBSTITUTE(SUBSTITUTE(UPPER($H191)," ",""),"D",""),";",REPT(" ",30)),121,30))),0)+IFERROR(VALUE(TRIM(MID(SUBSTITUTE(SUBSTITUTE(SUBSTITUTE(UPPER($H191)," ",""),"D",""),";",REPT(" ",30)),151,30))),0)+IFERROR(VALUE(TRIM(MID(SUBSTITUTE(SUBSTITUTE(SUBSTITUTE(UPPER($H191)," ",""),"D",""),";",REPT(" ",30)),181,30))),0)+IFERROR(VALUE(TRIM(MID(SUBSTITUTE(SUBSTITUTE(SUBSTITUTE(UPPER($H191)," ",""),"D",""),";",REPT(" ",30)),211,30))),0)))))</f>
        <v/>
      </c>
      <c r="K191" s="26" t="n"/>
      <c r="L191" s="6" t="n"/>
      <c r="M191" s="13" t="n"/>
      <c r="N191" s="27">
        <f>IF($C191="","",IF($E191="Falta","-",MAX(0,MIN(10,8+IFERROR(VALUE(TRIM(MID(SUBSTITUTE(SUBSTITUTE(SUBSTITUTE(UPPER($L191)," ",""),"F",""),";",REPT(" ",30)),1,30))),0)+IFERROR(VALUE(TRIM(MID(SUBSTITUTE(SUBSTITUTE(SUBSTITUTE(UPPER($L191)," ",""),"F",""),";",REPT(" ",30)),31,30))),0)+IFERROR(VALUE(TRIM(MID(SUBSTITUTE(SUBSTITUTE(SUBSTITUTE(UPPER($L191)," ",""),"F",""),";",REPT(" ",30)),61,30))),0)+IFERROR(VALUE(TRIM(MID(SUBSTITUTE(SUBSTITUTE(SUBSTITUTE(UPPER($L191)," ",""),"F",""),";",REPT(" ",30)),91,30))),0)+IFERROR(VALUE(TRIM(MID(SUBSTITUTE(SUBSTITUTE(SUBSTITUTE(UPPER($L191)," ",""),"F",""),";",REPT(" ",30)),121,30))),0)+IFERROR(VALUE(TRIM(MID(SUBSTITUTE(SUBSTITUTE(SUBSTITUTE(UPPER($L191)," ",""),"F",""),";",REPT(" ",30)),151,30))),0)+IFERROR(VALUE(TRIM(MID(SUBSTITUTE(SUBSTITUTE(SUBSTITUTE(UPPER($L191)," ",""),"F",""),";",REPT(" ",30)),181,30))),0)+IFERROR(VALUE(TRIM(MID(SUBSTITUTE(SUBSTITUTE(SUBSTITUTE(UPPER($L191)," ",""),"F",""),";",REPT(" ",30)),211,30))),0)))))</f>
        <v/>
      </c>
      <c r="O191" s="26" t="n"/>
      <c r="P191" s="6" t="n"/>
      <c r="Q191" s="13" t="n"/>
      <c r="R191" s="27">
        <f>IF($C191="","",IF($E191="Falta","-",MAX(0,MIN(10,5+IFERROR(VALUE(TRIM(MID(SUBSTITUTE(SUBSTITUTE(SUBSTITUTE(UPPER($P191)," ",""),"C",""),";",REPT(" ",30)),1,30))),0)+IFERROR(VALUE(TRIM(MID(SUBSTITUTE(SUBSTITUTE(SUBSTITUTE(UPPER($P191)," ",""),"C",""),";",REPT(" ",30)),31,30))),0)+IFERROR(VALUE(TRIM(MID(SUBSTITUTE(SUBSTITUTE(SUBSTITUTE(UPPER($P191)," ",""),"C",""),";",REPT(" ",30)),61,30))),0)+IFERROR(VALUE(TRIM(MID(SUBSTITUTE(SUBSTITUTE(SUBSTITUTE(UPPER($P191)," ",""),"C",""),";",REPT(" ",30)),91,30))),0)+IFERROR(VALUE(TRIM(MID(SUBSTITUTE(SUBSTITUTE(SUBSTITUTE(UPPER($P191)," ",""),"C",""),";",REPT(" ",30)),121,30))),0)+IFERROR(VALUE(TRIM(MID(SUBSTITUTE(SUBSTITUTE(SUBSTITUTE(UPPER($P191)," ",""),"C",""),";",REPT(" ",30)),151,30))),0)+IFERROR(VALUE(TRIM(MID(SUBSTITUTE(SUBSTITUTE(SUBSTITUTE(UPPER($P191)," ",""),"C",""),";",REPT(" ",30)),181,30))),0)+IFERROR(VALUE(TRIM(MID(SUBSTITUTE(SUBSTITUTE(SUBSTITUTE(UPPER($P191)," ",""),"C",""),";",REPT(" ",30)),211,30))),0)))))</f>
        <v/>
      </c>
      <c r="S191" s="26" t="n"/>
      <c r="T191" s="6" t="n"/>
      <c r="U191" s="13" t="n"/>
      <c r="V191" s="27">
        <f>IF($C191="","",IF($E191="Falta","-",MAX(0,MIN(10,5+IFERROR(VALUE(TRIM(MID(SUBSTITUTE(SUBSTITUTE(SUBSTITUTE(UPPER($T191)," ",""),"P",""),";",REPT(" ",30)),1,30))),0)+IFERROR(VALUE(TRIM(MID(SUBSTITUTE(SUBSTITUTE(SUBSTITUTE(UPPER($T191)," ",""),"P",""),";",REPT(" ",30)),31,30))),0)+IFERROR(VALUE(TRIM(MID(SUBSTITUTE(SUBSTITUTE(SUBSTITUTE(UPPER($T191)," ",""),"P",""),";",REPT(" ",30)),61,30))),0)+IFERROR(VALUE(TRIM(MID(SUBSTITUTE(SUBSTITUTE(SUBSTITUTE(UPPER($T191)," ",""),"P",""),";",REPT(" ",30)),91,30))),0)+IFERROR(VALUE(TRIM(MID(SUBSTITUTE(SUBSTITUTE(SUBSTITUTE(UPPER($T191)," ",""),"P",""),";",REPT(" ",30)),121,30))),0)+IFERROR(VALUE(TRIM(MID(SUBSTITUTE(SUBSTITUTE(SUBSTITUTE(UPPER($T191)," ",""),"P",""),";",REPT(" ",30)),151,30))),0)+IFERROR(VALUE(TRIM(MID(SUBSTITUTE(SUBSTITUTE(SUBSTITUTE(UPPER($T191)," ",""),"P",""),";",REPT(" ",30)),181,30))),0)+IFERROR(VALUE(TRIM(MID(SUBSTITUTE(SUBSTITUTE(SUBSTITUTE(UPPER($T191)," ",""),"P",""),";",REPT(" ",30)),211,30))),0)))))</f>
        <v/>
      </c>
      <c r="W191" s="26" t="n"/>
      <c r="X191" s="13" t="n"/>
    </row>
    <row r="192">
      <c r="A192" s="6">
        <f>IF($C192="","",38)</f>
        <v/>
      </c>
      <c r="B192" s="6">
        <f>IF($C192="","","4ª Sessão")</f>
        <v/>
      </c>
      <c r="C192" s="6">
        <f>IF(Preenchimento!$B$47="","",Preenchimento!$B$47)</f>
        <v/>
      </c>
      <c r="D192" s="6">
        <f>IF($C192="","",IF(Preenchimento!$C$47="","-",Preenchimento!$C$47))</f>
        <v/>
      </c>
      <c r="E192" s="6" t="n"/>
      <c r="F192" s="6" t="n"/>
      <c r="G192" s="26" t="n"/>
      <c r="H192" s="6" t="n"/>
      <c r="I192" s="13" t="n"/>
      <c r="J192" s="27">
        <f>IF($C192="","",IF($E192="Falta","-",MAX(0,MIN(10,8+IFERROR(VALUE(TRIM(MID(SUBSTITUTE(SUBSTITUTE(SUBSTITUTE(UPPER($H192)," ",""),"D",""),";",REPT(" ",30)),1,30))),0)+IFERROR(VALUE(TRIM(MID(SUBSTITUTE(SUBSTITUTE(SUBSTITUTE(UPPER($H192)," ",""),"D",""),";",REPT(" ",30)),31,30))),0)+IFERROR(VALUE(TRIM(MID(SUBSTITUTE(SUBSTITUTE(SUBSTITUTE(UPPER($H192)," ",""),"D",""),";",REPT(" ",30)),61,30))),0)+IFERROR(VALUE(TRIM(MID(SUBSTITUTE(SUBSTITUTE(SUBSTITUTE(UPPER($H192)," ",""),"D",""),";",REPT(" ",30)),91,30))),0)+IFERROR(VALUE(TRIM(MID(SUBSTITUTE(SUBSTITUTE(SUBSTITUTE(UPPER($H192)," ",""),"D",""),";",REPT(" ",30)),121,30))),0)+IFERROR(VALUE(TRIM(MID(SUBSTITUTE(SUBSTITUTE(SUBSTITUTE(UPPER($H192)," ",""),"D",""),";",REPT(" ",30)),151,30))),0)+IFERROR(VALUE(TRIM(MID(SUBSTITUTE(SUBSTITUTE(SUBSTITUTE(UPPER($H192)," ",""),"D",""),";",REPT(" ",30)),181,30))),0)+IFERROR(VALUE(TRIM(MID(SUBSTITUTE(SUBSTITUTE(SUBSTITUTE(UPPER($H192)," ",""),"D",""),";",REPT(" ",30)),211,30))),0)))))</f>
        <v/>
      </c>
      <c r="K192" s="26" t="n"/>
      <c r="L192" s="6" t="n"/>
      <c r="M192" s="13" t="n"/>
      <c r="N192" s="27">
        <f>IF($C192="","",IF($E192="Falta","-",MAX(0,MIN(10,8+IFERROR(VALUE(TRIM(MID(SUBSTITUTE(SUBSTITUTE(SUBSTITUTE(UPPER($L192)," ",""),"F",""),";",REPT(" ",30)),1,30))),0)+IFERROR(VALUE(TRIM(MID(SUBSTITUTE(SUBSTITUTE(SUBSTITUTE(UPPER($L192)," ",""),"F",""),";",REPT(" ",30)),31,30))),0)+IFERROR(VALUE(TRIM(MID(SUBSTITUTE(SUBSTITUTE(SUBSTITUTE(UPPER($L192)," ",""),"F",""),";",REPT(" ",30)),61,30))),0)+IFERROR(VALUE(TRIM(MID(SUBSTITUTE(SUBSTITUTE(SUBSTITUTE(UPPER($L192)," ",""),"F",""),";",REPT(" ",30)),91,30))),0)+IFERROR(VALUE(TRIM(MID(SUBSTITUTE(SUBSTITUTE(SUBSTITUTE(UPPER($L192)," ",""),"F",""),";",REPT(" ",30)),121,30))),0)+IFERROR(VALUE(TRIM(MID(SUBSTITUTE(SUBSTITUTE(SUBSTITUTE(UPPER($L192)," ",""),"F",""),";",REPT(" ",30)),151,30))),0)+IFERROR(VALUE(TRIM(MID(SUBSTITUTE(SUBSTITUTE(SUBSTITUTE(UPPER($L192)," ",""),"F",""),";",REPT(" ",30)),181,30))),0)+IFERROR(VALUE(TRIM(MID(SUBSTITUTE(SUBSTITUTE(SUBSTITUTE(UPPER($L192)," ",""),"F",""),";",REPT(" ",30)),211,30))),0)))))</f>
        <v/>
      </c>
      <c r="O192" s="26" t="n"/>
      <c r="P192" s="6" t="n"/>
      <c r="Q192" s="13" t="n"/>
      <c r="R192" s="27">
        <f>IF($C192="","",IF($E192="Falta","-",MAX(0,MIN(10,5+IFERROR(VALUE(TRIM(MID(SUBSTITUTE(SUBSTITUTE(SUBSTITUTE(UPPER($P192)," ",""),"C",""),";",REPT(" ",30)),1,30))),0)+IFERROR(VALUE(TRIM(MID(SUBSTITUTE(SUBSTITUTE(SUBSTITUTE(UPPER($P192)," ",""),"C",""),";",REPT(" ",30)),31,30))),0)+IFERROR(VALUE(TRIM(MID(SUBSTITUTE(SUBSTITUTE(SUBSTITUTE(UPPER($P192)," ",""),"C",""),";",REPT(" ",30)),61,30))),0)+IFERROR(VALUE(TRIM(MID(SUBSTITUTE(SUBSTITUTE(SUBSTITUTE(UPPER($P192)," ",""),"C",""),";",REPT(" ",30)),91,30))),0)+IFERROR(VALUE(TRIM(MID(SUBSTITUTE(SUBSTITUTE(SUBSTITUTE(UPPER($P192)," ",""),"C",""),";",REPT(" ",30)),121,30))),0)+IFERROR(VALUE(TRIM(MID(SUBSTITUTE(SUBSTITUTE(SUBSTITUTE(UPPER($P192)," ",""),"C",""),";",REPT(" ",30)),151,30))),0)+IFERROR(VALUE(TRIM(MID(SUBSTITUTE(SUBSTITUTE(SUBSTITUTE(UPPER($P192)," ",""),"C",""),";",REPT(" ",30)),181,30))),0)+IFERROR(VALUE(TRIM(MID(SUBSTITUTE(SUBSTITUTE(SUBSTITUTE(UPPER($P192)," ",""),"C",""),";",REPT(" ",30)),211,30))),0)))))</f>
        <v/>
      </c>
      <c r="S192" s="26" t="n"/>
      <c r="T192" s="6" t="n"/>
      <c r="U192" s="13" t="n"/>
      <c r="V192" s="27">
        <f>IF($C192="","",IF($E192="Falta","-",MAX(0,MIN(10,5+IFERROR(VALUE(TRIM(MID(SUBSTITUTE(SUBSTITUTE(SUBSTITUTE(UPPER($T192)," ",""),"P",""),";",REPT(" ",30)),1,30))),0)+IFERROR(VALUE(TRIM(MID(SUBSTITUTE(SUBSTITUTE(SUBSTITUTE(UPPER($T192)," ",""),"P",""),";",REPT(" ",30)),31,30))),0)+IFERROR(VALUE(TRIM(MID(SUBSTITUTE(SUBSTITUTE(SUBSTITUTE(UPPER($T192)," ",""),"P",""),";",REPT(" ",30)),61,30))),0)+IFERROR(VALUE(TRIM(MID(SUBSTITUTE(SUBSTITUTE(SUBSTITUTE(UPPER($T192)," ",""),"P",""),";",REPT(" ",30)),91,30))),0)+IFERROR(VALUE(TRIM(MID(SUBSTITUTE(SUBSTITUTE(SUBSTITUTE(UPPER($T192)," ",""),"P",""),";",REPT(" ",30)),121,30))),0)+IFERROR(VALUE(TRIM(MID(SUBSTITUTE(SUBSTITUTE(SUBSTITUTE(UPPER($T192)," ",""),"P",""),";",REPT(" ",30)),151,30))),0)+IFERROR(VALUE(TRIM(MID(SUBSTITUTE(SUBSTITUTE(SUBSTITUTE(UPPER($T192)," ",""),"P",""),";",REPT(" ",30)),181,30))),0)+IFERROR(VALUE(TRIM(MID(SUBSTITUTE(SUBSTITUTE(SUBSTITUTE(UPPER($T192)," ",""),"P",""),";",REPT(" ",30)),211,30))),0)))))</f>
        <v/>
      </c>
      <c r="W192" s="26" t="n"/>
      <c r="X192" s="13" t="n"/>
    </row>
    <row r="193">
      <c r="A193" s="6">
        <f>IF($C193="","",38)</f>
        <v/>
      </c>
      <c r="B193" s="6">
        <f>IF($C193="","","5ª Sessão")</f>
        <v/>
      </c>
      <c r="C193" s="6">
        <f>IF(Preenchimento!$B$47="","",Preenchimento!$B$47)</f>
        <v/>
      </c>
      <c r="D193" s="6">
        <f>IF($C193="","",IF(Preenchimento!$C$47="","-",Preenchimento!$C$47))</f>
        <v/>
      </c>
      <c r="E193" s="6" t="n"/>
      <c r="F193" s="6" t="n"/>
      <c r="G193" s="26" t="n"/>
      <c r="H193" s="6" t="n"/>
      <c r="I193" s="13" t="n"/>
      <c r="J193" s="27">
        <f>IF($C193="","",IF($E193="Falta","-",MAX(0,MIN(10,8+IFERROR(VALUE(TRIM(MID(SUBSTITUTE(SUBSTITUTE(SUBSTITUTE(UPPER($H193)," ",""),"D",""),";",REPT(" ",30)),1,30))),0)+IFERROR(VALUE(TRIM(MID(SUBSTITUTE(SUBSTITUTE(SUBSTITUTE(UPPER($H193)," ",""),"D",""),";",REPT(" ",30)),31,30))),0)+IFERROR(VALUE(TRIM(MID(SUBSTITUTE(SUBSTITUTE(SUBSTITUTE(UPPER($H193)," ",""),"D",""),";",REPT(" ",30)),61,30))),0)+IFERROR(VALUE(TRIM(MID(SUBSTITUTE(SUBSTITUTE(SUBSTITUTE(UPPER($H193)," ",""),"D",""),";",REPT(" ",30)),91,30))),0)+IFERROR(VALUE(TRIM(MID(SUBSTITUTE(SUBSTITUTE(SUBSTITUTE(UPPER($H193)," ",""),"D",""),";",REPT(" ",30)),121,30))),0)+IFERROR(VALUE(TRIM(MID(SUBSTITUTE(SUBSTITUTE(SUBSTITUTE(UPPER($H193)," ",""),"D",""),";",REPT(" ",30)),151,30))),0)+IFERROR(VALUE(TRIM(MID(SUBSTITUTE(SUBSTITUTE(SUBSTITUTE(UPPER($H193)," ",""),"D",""),";",REPT(" ",30)),181,30))),0)+IFERROR(VALUE(TRIM(MID(SUBSTITUTE(SUBSTITUTE(SUBSTITUTE(UPPER($H193)," ",""),"D",""),";",REPT(" ",30)),211,30))),0)))))</f>
        <v/>
      </c>
      <c r="K193" s="26" t="n"/>
      <c r="L193" s="6" t="n"/>
      <c r="M193" s="13" t="n"/>
      <c r="N193" s="27">
        <f>IF($C193="","",IF($E193="Falta","-",MAX(0,MIN(10,8+IFERROR(VALUE(TRIM(MID(SUBSTITUTE(SUBSTITUTE(SUBSTITUTE(UPPER($L193)," ",""),"F",""),";",REPT(" ",30)),1,30))),0)+IFERROR(VALUE(TRIM(MID(SUBSTITUTE(SUBSTITUTE(SUBSTITUTE(UPPER($L193)," ",""),"F",""),";",REPT(" ",30)),31,30))),0)+IFERROR(VALUE(TRIM(MID(SUBSTITUTE(SUBSTITUTE(SUBSTITUTE(UPPER($L193)," ",""),"F",""),";",REPT(" ",30)),61,30))),0)+IFERROR(VALUE(TRIM(MID(SUBSTITUTE(SUBSTITUTE(SUBSTITUTE(UPPER($L193)," ",""),"F",""),";",REPT(" ",30)),91,30))),0)+IFERROR(VALUE(TRIM(MID(SUBSTITUTE(SUBSTITUTE(SUBSTITUTE(UPPER($L193)," ",""),"F",""),";",REPT(" ",30)),121,30))),0)+IFERROR(VALUE(TRIM(MID(SUBSTITUTE(SUBSTITUTE(SUBSTITUTE(UPPER($L193)," ",""),"F",""),";",REPT(" ",30)),151,30))),0)+IFERROR(VALUE(TRIM(MID(SUBSTITUTE(SUBSTITUTE(SUBSTITUTE(UPPER($L193)," ",""),"F",""),";",REPT(" ",30)),181,30))),0)+IFERROR(VALUE(TRIM(MID(SUBSTITUTE(SUBSTITUTE(SUBSTITUTE(UPPER($L193)," ",""),"F",""),";",REPT(" ",30)),211,30))),0)))))</f>
        <v/>
      </c>
      <c r="O193" s="26" t="n"/>
      <c r="P193" s="6" t="n"/>
      <c r="Q193" s="13" t="n"/>
      <c r="R193" s="27">
        <f>IF($C193="","",IF($E193="Falta","-",MAX(0,MIN(10,5+IFERROR(VALUE(TRIM(MID(SUBSTITUTE(SUBSTITUTE(SUBSTITUTE(UPPER($P193)," ",""),"C",""),";",REPT(" ",30)),1,30))),0)+IFERROR(VALUE(TRIM(MID(SUBSTITUTE(SUBSTITUTE(SUBSTITUTE(UPPER($P193)," ",""),"C",""),";",REPT(" ",30)),31,30))),0)+IFERROR(VALUE(TRIM(MID(SUBSTITUTE(SUBSTITUTE(SUBSTITUTE(UPPER($P193)," ",""),"C",""),";",REPT(" ",30)),61,30))),0)+IFERROR(VALUE(TRIM(MID(SUBSTITUTE(SUBSTITUTE(SUBSTITUTE(UPPER($P193)," ",""),"C",""),";",REPT(" ",30)),91,30))),0)+IFERROR(VALUE(TRIM(MID(SUBSTITUTE(SUBSTITUTE(SUBSTITUTE(UPPER($P193)," ",""),"C",""),";",REPT(" ",30)),121,30))),0)+IFERROR(VALUE(TRIM(MID(SUBSTITUTE(SUBSTITUTE(SUBSTITUTE(UPPER($P193)," ",""),"C",""),";",REPT(" ",30)),151,30))),0)+IFERROR(VALUE(TRIM(MID(SUBSTITUTE(SUBSTITUTE(SUBSTITUTE(UPPER($P193)," ",""),"C",""),";",REPT(" ",30)),181,30))),0)+IFERROR(VALUE(TRIM(MID(SUBSTITUTE(SUBSTITUTE(SUBSTITUTE(UPPER($P193)," ",""),"C",""),";",REPT(" ",30)),211,30))),0)))))</f>
        <v/>
      </c>
      <c r="S193" s="26" t="n"/>
      <c r="T193" s="6" t="n"/>
      <c r="U193" s="13" t="n"/>
      <c r="V193" s="27">
        <f>IF($C193="","",IF($E193="Falta","-",MAX(0,MIN(10,5+IFERROR(VALUE(TRIM(MID(SUBSTITUTE(SUBSTITUTE(SUBSTITUTE(UPPER($T193)," ",""),"P",""),";",REPT(" ",30)),1,30))),0)+IFERROR(VALUE(TRIM(MID(SUBSTITUTE(SUBSTITUTE(SUBSTITUTE(UPPER($T193)," ",""),"P",""),";",REPT(" ",30)),31,30))),0)+IFERROR(VALUE(TRIM(MID(SUBSTITUTE(SUBSTITUTE(SUBSTITUTE(UPPER($T193)," ",""),"P",""),";",REPT(" ",30)),61,30))),0)+IFERROR(VALUE(TRIM(MID(SUBSTITUTE(SUBSTITUTE(SUBSTITUTE(UPPER($T193)," ",""),"P",""),";",REPT(" ",30)),91,30))),0)+IFERROR(VALUE(TRIM(MID(SUBSTITUTE(SUBSTITUTE(SUBSTITUTE(UPPER($T193)," ",""),"P",""),";",REPT(" ",30)),121,30))),0)+IFERROR(VALUE(TRIM(MID(SUBSTITUTE(SUBSTITUTE(SUBSTITUTE(UPPER($T193)," ",""),"P",""),";",REPT(" ",30)),151,30))),0)+IFERROR(VALUE(TRIM(MID(SUBSTITUTE(SUBSTITUTE(SUBSTITUTE(UPPER($T193)," ",""),"P",""),";",REPT(" ",30)),181,30))),0)+IFERROR(VALUE(TRIM(MID(SUBSTITUTE(SUBSTITUTE(SUBSTITUTE(UPPER($T193)," ",""),"P",""),";",REPT(" ",30)),211,30))),0)))))</f>
        <v/>
      </c>
      <c r="W193" s="26" t="n"/>
      <c r="X193" s="13" t="n"/>
    </row>
    <row r="194">
      <c r="A194" s="8">
        <f>IF($C194="","",39)</f>
        <v/>
      </c>
      <c r="B194" s="8">
        <f>IF($C194="","","1ª Sessão")</f>
        <v/>
      </c>
      <c r="C194" s="8">
        <f>IF(Preenchimento!$B$48="","",Preenchimento!$B$48)</f>
        <v/>
      </c>
      <c r="D194" s="8">
        <f>IF($C194="","",IF(Preenchimento!$C$48="","-",Preenchimento!$C$48))</f>
        <v/>
      </c>
      <c r="E194" s="8" t="n"/>
      <c r="F194" s="8" t="n"/>
      <c r="G194" s="24" t="n"/>
      <c r="H194" s="8" t="n"/>
      <c r="I194" s="14" t="n"/>
      <c r="J194" s="25">
        <f>IF($C194="","",IF($E194="Falta","-",MAX(0,MIN(10,8+IFERROR(VALUE(TRIM(MID(SUBSTITUTE(SUBSTITUTE(SUBSTITUTE(UPPER($H194)," ",""),"D",""),";",REPT(" ",30)),1,30))),0)+IFERROR(VALUE(TRIM(MID(SUBSTITUTE(SUBSTITUTE(SUBSTITUTE(UPPER($H194)," ",""),"D",""),";",REPT(" ",30)),31,30))),0)+IFERROR(VALUE(TRIM(MID(SUBSTITUTE(SUBSTITUTE(SUBSTITUTE(UPPER($H194)," ",""),"D",""),";",REPT(" ",30)),61,30))),0)+IFERROR(VALUE(TRIM(MID(SUBSTITUTE(SUBSTITUTE(SUBSTITUTE(UPPER($H194)," ",""),"D",""),";",REPT(" ",30)),91,30))),0)+IFERROR(VALUE(TRIM(MID(SUBSTITUTE(SUBSTITUTE(SUBSTITUTE(UPPER($H194)," ",""),"D",""),";",REPT(" ",30)),121,30))),0)+IFERROR(VALUE(TRIM(MID(SUBSTITUTE(SUBSTITUTE(SUBSTITUTE(UPPER($H194)," ",""),"D",""),";",REPT(" ",30)),151,30))),0)+IFERROR(VALUE(TRIM(MID(SUBSTITUTE(SUBSTITUTE(SUBSTITUTE(UPPER($H194)," ",""),"D",""),";",REPT(" ",30)),181,30))),0)+IFERROR(VALUE(TRIM(MID(SUBSTITUTE(SUBSTITUTE(SUBSTITUTE(UPPER($H194)," ",""),"D",""),";",REPT(" ",30)),211,30))),0)))))</f>
        <v/>
      </c>
      <c r="K194" s="24" t="n"/>
      <c r="L194" s="8" t="n"/>
      <c r="M194" s="14" t="n"/>
      <c r="N194" s="25">
        <f>IF($C194="","",IF($E194="Falta","-",MAX(0,MIN(10,8+IFERROR(VALUE(TRIM(MID(SUBSTITUTE(SUBSTITUTE(SUBSTITUTE(UPPER($L194)," ",""),"F",""),";",REPT(" ",30)),1,30))),0)+IFERROR(VALUE(TRIM(MID(SUBSTITUTE(SUBSTITUTE(SUBSTITUTE(UPPER($L194)," ",""),"F",""),";",REPT(" ",30)),31,30))),0)+IFERROR(VALUE(TRIM(MID(SUBSTITUTE(SUBSTITUTE(SUBSTITUTE(UPPER($L194)," ",""),"F",""),";",REPT(" ",30)),61,30))),0)+IFERROR(VALUE(TRIM(MID(SUBSTITUTE(SUBSTITUTE(SUBSTITUTE(UPPER($L194)," ",""),"F",""),";",REPT(" ",30)),91,30))),0)+IFERROR(VALUE(TRIM(MID(SUBSTITUTE(SUBSTITUTE(SUBSTITUTE(UPPER($L194)," ",""),"F",""),";",REPT(" ",30)),121,30))),0)+IFERROR(VALUE(TRIM(MID(SUBSTITUTE(SUBSTITUTE(SUBSTITUTE(UPPER($L194)," ",""),"F",""),";",REPT(" ",30)),151,30))),0)+IFERROR(VALUE(TRIM(MID(SUBSTITUTE(SUBSTITUTE(SUBSTITUTE(UPPER($L194)," ",""),"F",""),";",REPT(" ",30)),181,30))),0)+IFERROR(VALUE(TRIM(MID(SUBSTITUTE(SUBSTITUTE(SUBSTITUTE(UPPER($L194)," ",""),"F",""),";",REPT(" ",30)),211,30))),0)))))</f>
        <v/>
      </c>
      <c r="O194" s="24" t="n"/>
      <c r="P194" s="8" t="n"/>
      <c r="Q194" s="14" t="n"/>
      <c r="R194" s="25">
        <f>IF($C194="","",IF($E194="Falta","-",MAX(0,MIN(10,5+IFERROR(VALUE(TRIM(MID(SUBSTITUTE(SUBSTITUTE(SUBSTITUTE(UPPER($P194)," ",""),"C",""),";",REPT(" ",30)),1,30))),0)+IFERROR(VALUE(TRIM(MID(SUBSTITUTE(SUBSTITUTE(SUBSTITUTE(UPPER($P194)," ",""),"C",""),";",REPT(" ",30)),31,30))),0)+IFERROR(VALUE(TRIM(MID(SUBSTITUTE(SUBSTITUTE(SUBSTITUTE(UPPER($P194)," ",""),"C",""),";",REPT(" ",30)),61,30))),0)+IFERROR(VALUE(TRIM(MID(SUBSTITUTE(SUBSTITUTE(SUBSTITUTE(UPPER($P194)," ",""),"C",""),";",REPT(" ",30)),91,30))),0)+IFERROR(VALUE(TRIM(MID(SUBSTITUTE(SUBSTITUTE(SUBSTITUTE(UPPER($P194)," ",""),"C",""),";",REPT(" ",30)),121,30))),0)+IFERROR(VALUE(TRIM(MID(SUBSTITUTE(SUBSTITUTE(SUBSTITUTE(UPPER($P194)," ",""),"C",""),";",REPT(" ",30)),151,30))),0)+IFERROR(VALUE(TRIM(MID(SUBSTITUTE(SUBSTITUTE(SUBSTITUTE(UPPER($P194)," ",""),"C",""),";",REPT(" ",30)),181,30))),0)+IFERROR(VALUE(TRIM(MID(SUBSTITUTE(SUBSTITUTE(SUBSTITUTE(UPPER($P194)," ",""),"C",""),";",REPT(" ",30)),211,30))),0)))))</f>
        <v/>
      </c>
      <c r="S194" s="24" t="n"/>
      <c r="T194" s="8" t="n"/>
      <c r="U194" s="14" t="n"/>
      <c r="V194" s="25">
        <f>IF($C194="","",IF($E194="Falta","-",MAX(0,MIN(10,5+IFERROR(VALUE(TRIM(MID(SUBSTITUTE(SUBSTITUTE(SUBSTITUTE(UPPER($T194)," ",""),"P",""),";",REPT(" ",30)),1,30))),0)+IFERROR(VALUE(TRIM(MID(SUBSTITUTE(SUBSTITUTE(SUBSTITUTE(UPPER($T194)," ",""),"P",""),";",REPT(" ",30)),31,30))),0)+IFERROR(VALUE(TRIM(MID(SUBSTITUTE(SUBSTITUTE(SUBSTITUTE(UPPER($T194)," ",""),"P",""),";",REPT(" ",30)),61,30))),0)+IFERROR(VALUE(TRIM(MID(SUBSTITUTE(SUBSTITUTE(SUBSTITUTE(UPPER($T194)," ",""),"P",""),";",REPT(" ",30)),91,30))),0)+IFERROR(VALUE(TRIM(MID(SUBSTITUTE(SUBSTITUTE(SUBSTITUTE(UPPER($T194)," ",""),"P",""),";",REPT(" ",30)),121,30))),0)+IFERROR(VALUE(TRIM(MID(SUBSTITUTE(SUBSTITUTE(SUBSTITUTE(UPPER($T194)," ",""),"P",""),";",REPT(" ",30)),151,30))),0)+IFERROR(VALUE(TRIM(MID(SUBSTITUTE(SUBSTITUTE(SUBSTITUTE(UPPER($T194)," ",""),"P",""),";",REPT(" ",30)),181,30))),0)+IFERROR(VALUE(TRIM(MID(SUBSTITUTE(SUBSTITUTE(SUBSTITUTE(UPPER($T194)," ",""),"P",""),";",REPT(" ",30)),211,30))),0)))))</f>
        <v/>
      </c>
      <c r="W194" s="24" t="n"/>
      <c r="X194" s="14" t="n"/>
    </row>
    <row r="195">
      <c r="A195" s="8">
        <f>IF($C195="","",39)</f>
        <v/>
      </c>
      <c r="B195" s="8">
        <f>IF($C195="","","2ª Sessão")</f>
        <v/>
      </c>
      <c r="C195" s="8">
        <f>IF(Preenchimento!$B$48="","",Preenchimento!$B$48)</f>
        <v/>
      </c>
      <c r="D195" s="8">
        <f>IF($C195="","",IF(Preenchimento!$C$48="","-",Preenchimento!$C$48))</f>
        <v/>
      </c>
      <c r="E195" s="8" t="n"/>
      <c r="F195" s="8" t="n"/>
      <c r="G195" s="24" t="n"/>
      <c r="H195" s="8" t="n"/>
      <c r="I195" s="14" t="n"/>
      <c r="J195" s="25">
        <f>IF($C195="","",IF($E195="Falta","-",MAX(0,MIN(10,8+IFERROR(VALUE(TRIM(MID(SUBSTITUTE(SUBSTITUTE(SUBSTITUTE(UPPER($H195)," ",""),"D",""),";",REPT(" ",30)),1,30))),0)+IFERROR(VALUE(TRIM(MID(SUBSTITUTE(SUBSTITUTE(SUBSTITUTE(UPPER($H195)," ",""),"D",""),";",REPT(" ",30)),31,30))),0)+IFERROR(VALUE(TRIM(MID(SUBSTITUTE(SUBSTITUTE(SUBSTITUTE(UPPER($H195)," ",""),"D",""),";",REPT(" ",30)),61,30))),0)+IFERROR(VALUE(TRIM(MID(SUBSTITUTE(SUBSTITUTE(SUBSTITUTE(UPPER($H195)," ",""),"D",""),";",REPT(" ",30)),91,30))),0)+IFERROR(VALUE(TRIM(MID(SUBSTITUTE(SUBSTITUTE(SUBSTITUTE(UPPER($H195)," ",""),"D",""),";",REPT(" ",30)),121,30))),0)+IFERROR(VALUE(TRIM(MID(SUBSTITUTE(SUBSTITUTE(SUBSTITUTE(UPPER($H195)," ",""),"D",""),";",REPT(" ",30)),151,30))),0)+IFERROR(VALUE(TRIM(MID(SUBSTITUTE(SUBSTITUTE(SUBSTITUTE(UPPER($H195)," ",""),"D",""),";",REPT(" ",30)),181,30))),0)+IFERROR(VALUE(TRIM(MID(SUBSTITUTE(SUBSTITUTE(SUBSTITUTE(UPPER($H195)," ",""),"D",""),";",REPT(" ",30)),211,30))),0)))))</f>
        <v/>
      </c>
      <c r="K195" s="24" t="n"/>
      <c r="L195" s="8" t="n"/>
      <c r="M195" s="14" t="n"/>
      <c r="N195" s="25">
        <f>IF($C195="","",IF($E195="Falta","-",MAX(0,MIN(10,8+IFERROR(VALUE(TRIM(MID(SUBSTITUTE(SUBSTITUTE(SUBSTITUTE(UPPER($L195)," ",""),"F",""),";",REPT(" ",30)),1,30))),0)+IFERROR(VALUE(TRIM(MID(SUBSTITUTE(SUBSTITUTE(SUBSTITUTE(UPPER($L195)," ",""),"F",""),";",REPT(" ",30)),31,30))),0)+IFERROR(VALUE(TRIM(MID(SUBSTITUTE(SUBSTITUTE(SUBSTITUTE(UPPER($L195)," ",""),"F",""),";",REPT(" ",30)),61,30))),0)+IFERROR(VALUE(TRIM(MID(SUBSTITUTE(SUBSTITUTE(SUBSTITUTE(UPPER($L195)," ",""),"F",""),";",REPT(" ",30)),91,30))),0)+IFERROR(VALUE(TRIM(MID(SUBSTITUTE(SUBSTITUTE(SUBSTITUTE(UPPER($L195)," ",""),"F",""),";",REPT(" ",30)),121,30))),0)+IFERROR(VALUE(TRIM(MID(SUBSTITUTE(SUBSTITUTE(SUBSTITUTE(UPPER($L195)," ",""),"F",""),";",REPT(" ",30)),151,30))),0)+IFERROR(VALUE(TRIM(MID(SUBSTITUTE(SUBSTITUTE(SUBSTITUTE(UPPER($L195)," ",""),"F",""),";",REPT(" ",30)),181,30))),0)+IFERROR(VALUE(TRIM(MID(SUBSTITUTE(SUBSTITUTE(SUBSTITUTE(UPPER($L195)," ",""),"F",""),";",REPT(" ",30)),211,30))),0)))))</f>
        <v/>
      </c>
      <c r="O195" s="24" t="n"/>
      <c r="P195" s="8" t="n"/>
      <c r="Q195" s="14" t="n"/>
      <c r="R195" s="25">
        <f>IF($C195="","",IF($E195="Falta","-",MAX(0,MIN(10,5+IFERROR(VALUE(TRIM(MID(SUBSTITUTE(SUBSTITUTE(SUBSTITUTE(UPPER($P195)," ",""),"C",""),";",REPT(" ",30)),1,30))),0)+IFERROR(VALUE(TRIM(MID(SUBSTITUTE(SUBSTITUTE(SUBSTITUTE(UPPER($P195)," ",""),"C",""),";",REPT(" ",30)),31,30))),0)+IFERROR(VALUE(TRIM(MID(SUBSTITUTE(SUBSTITUTE(SUBSTITUTE(UPPER($P195)," ",""),"C",""),";",REPT(" ",30)),61,30))),0)+IFERROR(VALUE(TRIM(MID(SUBSTITUTE(SUBSTITUTE(SUBSTITUTE(UPPER($P195)," ",""),"C",""),";",REPT(" ",30)),91,30))),0)+IFERROR(VALUE(TRIM(MID(SUBSTITUTE(SUBSTITUTE(SUBSTITUTE(UPPER($P195)," ",""),"C",""),";",REPT(" ",30)),121,30))),0)+IFERROR(VALUE(TRIM(MID(SUBSTITUTE(SUBSTITUTE(SUBSTITUTE(UPPER($P195)," ",""),"C",""),";",REPT(" ",30)),151,30))),0)+IFERROR(VALUE(TRIM(MID(SUBSTITUTE(SUBSTITUTE(SUBSTITUTE(UPPER($P195)," ",""),"C",""),";",REPT(" ",30)),181,30))),0)+IFERROR(VALUE(TRIM(MID(SUBSTITUTE(SUBSTITUTE(SUBSTITUTE(UPPER($P195)," ",""),"C",""),";",REPT(" ",30)),211,30))),0)))))</f>
        <v/>
      </c>
      <c r="S195" s="24" t="n"/>
      <c r="T195" s="8" t="n"/>
      <c r="U195" s="14" t="n"/>
      <c r="V195" s="25">
        <f>IF($C195="","",IF($E195="Falta","-",MAX(0,MIN(10,5+IFERROR(VALUE(TRIM(MID(SUBSTITUTE(SUBSTITUTE(SUBSTITUTE(UPPER($T195)," ",""),"P",""),";",REPT(" ",30)),1,30))),0)+IFERROR(VALUE(TRIM(MID(SUBSTITUTE(SUBSTITUTE(SUBSTITUTE(UPPER($T195)," ",""),"P",""),";",REPT(" ",30)),31,30))),0)+IFERROR(VALUE(TRIM(MID(SUBSTITUTE(SUBSTITUTE(SUBSTITUTE(UPPER($T195)," ",""),"P",""),";",REPT(" ",30)),61,30))),0)+IFERROR(VALUE(TRIM(MID(SUBSTITUTE(SUBSTITUTE(SUBSTITUTE(UPPER($T195)," ",""),"P",""),";",REPT(" ",30)),91,30))),0)+IFERROR(VALUE(TRIM(MID(SUBSTITUTE(SUBSTITUTE(SUBSTITUTE(UPPER($T195)," ",""),"P",""),";",REPT(" ",30)),121,30))),0)+IFERROR(VALUE(TRIM(MID(SUBSTITUTE(SUBSTITUTE(SUBSTITUTE(UPPER($T195)," ",""),"P",""),";",REPT(" ",30)),151,30))),0)+IFERROR(VALUE(TRIM(MID(SUBSTITUTE(SUBSTITUTE(SUBSTITUTE(UPPER($T195)," ",""),"P",""),";",REPT(" ",30)),181,30))),0)+IFERROR(VALUE(TRIM(MID(SUBSTITUTE(SUBSTITUTE(SUBSTITUTE(UPPER($T195)," ",""),"P",""),";",REPT(" ",30)),211,30))),0)))))</f>
        <v/>
      </c>
      <c r="W195" s="24" t="n"/>
      <c r="X195" s="14" t="n"/>
    </row>
    <row r="196">
      <c r="A196" s="8">
        <f>IF($C196="","",39)</f>
        <v/>
      </c>
      <c r="B196" s="8">
        <f>IF($C196="","","3ª Sessão")</f>
        <v/>
      </c>
      <c r="C196" s="8">
        <f>IF(Preenchimento!$B$48="","",Preenchimento!$B$48)</f>
        <v/>
      </c>
      <c r="D196" s="8">
        <f>IF($C196="","",IF(Preenchimento!$C$48="","-",Preenchimento!$C$48))</f>
        <v/>
      </c>
      <c r="E196" s="8" t="n"/>
      <c r="F196" s="8" t="n"/>
      <c r="G196" s="24" t="n"/>
      <c r="H196" s="8" t="n"/>
      <c r="I196" s="14" t="n"/>
      <c r="J196" s="25">
        <f>IF($C196="","",IF($E196="Falta","-",MAX(0,MIN(10,8+IFERROR(VALUE(TRIM(MID(SUBSTITUTE(SUBSTITUTE(SUBSTITUTE(UPPER($H196)," ",""),"D",""),";",REPT(" ",30)),1,30))),0)+IFERROR(VALUE(TRIM(MID(SUBSTITUTE(SUBSTITUTE(SUBSTITUTE(UPPER($H196)," ",""),"D",""),";",REPT(" ",30)),31,30))),0)+IFERROR(VALUE(TRIM(MID(SUBSTITUTE(SUBSTITUTE(SUBSTITUTE(UPPER($H196)," ",""),"D",""),";",REPT(" ",30)),61,30))),0)+IFERROR(VALUE(TRIM(MID(SUBSTITUTE(SUBSTITUTE(SUBSTITUTE(UPPER($H196)," ",""),"D",""),";",REPT(" ",30)),91,30))),0)+IFERROR(VALUE(TRIM(MID(SUBSTITUTE(SUBSTITUTE(SUBSTITUTE(UPPER($H196)," ",""),"D",""),";",REPT(" ",30)),121,30))),0)+IFERROR(VALUE(TRIM(MID(SUBSTITUTE(SUBSTITUTE(SUBSTITUTE(UPPER($H196)," ",""),"D",""),";",REPT(" ",30)),151,30))),0)+IFERROR(VALUE(TRIM(MID(SUBSTITUTE(SUBSTITUTE(SUBSTITUTE(UPPER($H196)," ",""),"D",""),";",REPT(" ",30)),181,30))),0)+IFERROR(VALUE(TRIM(MID(SUBSTITUTE(SUBSTITUTE(SUBSTITUTE(UPPER($H196)," ",""),"D",""),";",REPT(" ",30)),211,30))),0)))))</f>
        <v/>
      </c>
      <c r="K196" s="24" t="n"/>
      <c r="L196" s="8" t="n"/>
      <c r="M196" s="14" t="n"/>
      <c r="N196" s="25">
        <f>IF($C196="","",IF($E196="Falta","-",MAX(0,MIN(10,8+IFERROR(VALUE(TRIM(MID(SUBSTITUTE(SUBSTITUTE(SUBSTITUTE(UPPER($L196)," ",""),"F",""),";",REPT(" ",30)),1,30))),0)+IFERROR(VALUE(TRIM(MID(SUBSTITUTE(SUBSTITUTE(SUBSTITUTE(UPPER($L196)," ",""),"F",""),";",REPT(" ",30)),31,30))),0)+IFERROR(VALUE(TRIM(MID(SUBSTITUTE(SUBSTITUTE(SUBSTITUTE(UPPER($L196)," ",""),"F",""),";",REPT(" ",30)),61,30))),0)+IFERROR(VALUE(TRIM(MID(SUBSTITUTE(SUBSTITUTE(SUBSTITUTE(UPPER($L196)," ",""),"F",""),";",REPT(" ",30)),91,30))),0)+IFERROR(VALUE(TRIM(MID(SUBSTITUTE(SUBSTITUTE(SUBSTITUTE(UPPER($L196)," ",""),"F",""),";",REPT(" ",30)),121,30))),0)+IFERROR(VALUE(TRIM(MID(SUBSTITUTE(SUBSTITUTE(SUBSTITUTE(UPPER($L196)," ",""),"F",""),";",REPT(" ",30)),151,30))),0)+IFERROR(VALUE(TRIM(MID(SUBSTITUTE(SUBSTITUTE(SUBSTITUTE(UPPER($L196)," ",""),"F",""),";",REPT(" ",30)),181,30))),0)+IFERROR(VALUE(TRIM(MID(SUBSTITUTE(SUBSTITUTE(SUBSTITUTE(UPPER($L196)," ",""),"F",""),";",REPT(" ",30)),211,30))),0)))))</f>
        <v/>
      </c>
      <c r="O196" s="24" t="n"/>
      <c r="P196" s="8" t="n"/>
      <c r="Q196" s="14" t="n"/>
      <c r="R196" s="25">
        <f>IF($C196="","",IF($E196="Falta","-",MAX(0,MIN(10,5+IFERROR(VALUE(TRIM(MID(SUBSTITUTE(SUBSTITUTE(SUBSTITUTE(UPPER($P196)," ",""),"C",""),";",REPT(" ",30)),1,30))),0)+IFERROR(VALUE(TRIM(MID(SUBSTITUTE(SUBSTITUTE(SUBSTITUTE(UPPER($P196)," ",""),"C",""),";",REPT(" ",30)),31,30))),0)+IFERROR(VALUE(TRIM(MID(SUBSTITUTE(SUBSTITUTE(SUBSTITUTE(UPPER($P196)," ",""),"C",""),";",REPT(" ",30)),61,30))),0)+IFERROR(VALUE(TRIM(MID(SUBSTITUTE(SUBSTITUTE(SUBSTITUTE(UPPER($P196)," ",""),"C",""),";",REPT(" ",30)),91,30))),0)+IFERROR(VALUE(TRIM(MID(SUBSTITUTE(SUBSTITUTE(SUBSTITUTE(UPPER($P196)," ",""),"C",""),";",REPT(" ",30)),121,30))),0)+IFERROR(VALUE(TRIM(MID(SUBSTITUTE(SUBSTITUTE(SUBSTITUTE(UPPER($P196)," ",""),"C",""),";",REPT(" ",30)),151,30))),0)+IFERROR(VALUE(TRIM(MID(SUBSTITUTE(SUBSTITUTE(SUBSTITUTE(UPPER($P196)," ",""),"C",""),";",REPT(" ",30)),181,30))),0)+IFERROR(VALUE(TRIM(MID(SUBSTITUTE(SUBSTITUTE(SUBSTITUTE(UPPER($P196)," ",""),"C",""),";",REPT(" ",30)),211,30))),0)))))</f>
        <v/>
      </c>
      <c r="S196" s="24" t="n"/>
      <c r="T196" s="8" t="n"/>
      <c r="U196" s="14" t="n"/>
      <c r="V196" s="25">
        <f>IF($C196="","",IF($E196="Falta","-",MAX(0,MIN(10,5+IFERROR(VALUE(TRIM(MID(SUBSTITUTE(SUBSTITUTE(SUBSTITUTE(UPPER($T196)," ",""),"P",""),";",REPT(" ",30)),1,30))),0)+IFERROR(VALUE(TRIM(MID(SUBSTITUTE(SUBSTITUTE(SUBSTITUTE(UPPER($T196)," ",""),"P",""),";",REPT(" ",30)),31,30))),0)+IFERROR(VALUE(TRIM(MID(SUBSTITUTE(SUBSTITUTE(SUBSTITUTE(UPPER($T196)," ",""),"P",""),";",REPT(" ",30)),61,30))),0)+IFERROR(VALUE(TRIM(MID(SUBSTITUTE(SUBSTITUTE(SUBSTITUTE(UPPER($T196)," ",""),"P",""),";",REPT(" ",30)),91,30))),0)+IFERROR(VALUE(TRIM(MID(SUBSTITUTE(SUBSTITUTE(SUBSTITUTE(UPPER($T196)," ",""),"P",""),";",REPT(" ",30)),121,30))),0)+IFERROR(VALUE(TRIM(MID(SUBSTITUTE(SUBSTITUTE(SUBSTITUTE(UPPER($T196)," ",""),"P",""),";",REPT(" ",30)),151,30))),0)+IFERROR(VALUE(TRIM(MID(SUBSTITUTE(SUBSTITUTE(SUBSTITUTE(UPPER($T196)," ",""),"P",""),";",REPT(" ",30)),181,30))),0)+IFERROR(VALUE(TRIM(MID(SUBSTITUTE(SUBSTITUTE(SUBSTITUTE(UPPER($T196)," ",""),"P",""),";",REPT(" ",30)),211,30))),0)))))</f>
        <v/>
      </c>
      <c r="W196" s="24" t="n"/>
      <c r="X196" s="14" t="n"/>
    </row>
    <row r="197">
      <c r="A197" s="8">
        <f>IF($C197="","",39)</f>
        <v/>
      </c>
      <c r="B197" s="8">
        <f>IF($C197="","","4ª Sessão")</f>
        <v/>
      </c>
      <c r="C197" s="8">
        <f>IF(Preenchimento!$B$48="","",Preenchimento!$B$48)</f>
        <v/>
      </c>
      <c r="D197" s="8">
        <f>IF($C197="","",IF(Preenchimento!$C$48="","-",Preenchimento!$C$48))</f>
        <v/>
      </c>
      <c r="E197" s="8" t="n"/>
      <c r="F197" s="8" t="n"/>
      <c r="G197" s="24" t="n"/>
      <c r="H197" s="8" t="n"/>
      <c r="I197" s="14" t="n"/>
      <c r="J197" s="25">
        <f>IF($C197="","",IF($E197="Falta","-",MAX(0,MIN(10,8+IFERROR(VALUE(TRIM(MID(SUBSTITUTE(SUBSTITUTE(SUBSTITUTE(UPPER($H197)," ",""),"D",""),";",REPT(" ",30)),1,30))),0)+IFERROR(VALUE(TRIM(MID(SUBSTITUTE(SUBSTITUTE(SUBSTITUTE(UPPER($H197)," ",""),"D",""),";",REPT(" ",30)),31,30))),0)+IFERROR(VALUE(TRIM(MID(SUBSTITUTE(SUBSTITUTE(SUBSTITUTE(UPPER($H197)," ",""),"D",""),";",REPT(" ",30)),61,30))),0)+IFERROR(VALUE(TRIM(MID(SUBSTITUTE(SUBSTITUTE(SUBSTITUTE(UPPER($H197)," ",""),"D",""),";",REPT(" ",30)),91,30))),0)+IFERROR(VALUE(TRIM(MID(SUBSTITUTE(SUBSTITUTE(SUBSTITUTE(UPPER($H197)," ",""),"D",""),";",REPT(" ",30)),121,30))),0)+IFERROR(VALUE(TRIM(MID(SUBSTITUTE(SUBSTITUTE(SUBSTITUTE(UPPER($H197)," ",""),"D",""),";",REPT(" ",30)),151,30))),0)+IFERROR(VALUE(TRIM(MID(SUBSTITUTE(SUBSTITUTE(SUBSTITUTE(UPPER($H197)," ",""),"D",""),";",REPT(" ",30)),181,30))),0)+IFERROR(VALUE(TRIM(MID(SUBSTITUTE(SUBSTITUTE(SUBSTITUTE(UPPER($H197)," ",""),"D",""),";",REPT(" ",30)),211,30))),0)))))</f>
        <v/>
      </c>
      <c r="K197" s="24" t="n"/>
      <c r="L197" s="8" t="n"/>
      <c r="M197" s="14" t="n"/>
      <c r="N197" s="25">
        <f>IF($C197="","",IF($E197="Falta","-",MAX(0,MIN(10,8+IFERROR(VALUE(TRIM(MID(SUBSTITUTE(SUBSTITUTE(SUBSTITUTE(UPPER($L197)," ",""),"F",""),";",REPT(" ",30)),1,30))),0)+IFERROR(VALUE(TRIM(MID(SUBSTITUTE(SUBSTITUTE(SUBSTITUTE(UPPER($L197)," ",""),"F",""),";",REPT(" ",30)),31,30))),0)+IFERROR(VALUE(TRIM(MID(SUBSTITUTE(SUBSTITUTE(SUBSTITUTE(UPPER($L197)," ",""),"F",""),";",REPT(" ",30)),61,30))),0)+IFERROR(VALUE(TRIM(MID(SUBSTITUTE(SUBSTITUTE(SUBSTITUTE(UPPER($L197)," ",""),"F",""),";",REPT(" ",30)),91,30))),0)+IFERROR(VALUE(TRIM(MID(SUBSTITUTE(SUBSTITUTE(SUBSTITUTE(UPPER($L197)," ",""),"F",""),";",REPT(" ",30)),121,30))),0)+IFERROR(VALUE(TRIM(MID(SUBSTITUTE(SUBSTITUTE(SUBSTITUTE(UPPER($L197)," ",""),"F",""),";",REPT(" ",30)),151,30))),0)+IFERROR(VALUE(TRIM(MID(SUBSTITUTE(SUBSTITUTE(SUBSTITUTE(UPPER($L197)," ",""),"F",""),";",REPT(" ",30)),181,30))),0)+IFERROR(VALUE(TRIM(MID(SUBSTITUTE(SUBSTITUTE(SUBSTITUTE(UPPER($L197)," ",""),"F",""),";",REPT(" ",30)),211,30))),0)))))</f>
        <v/>
      </c>
      <c r="O197" s="24" t="n"/>
      <c r="P197" s="8" t="n"/>
      <c r="Q197" s="14" t="n"/>
      <c r="R197" s="25">
        <f>IF($C197="","",IF($E197="Falta","-",MAX(0,MIN(10,5+IFERROR(VALUE(TRIM(MID(SUBSTITUTE(SUBSTITUTE(SUBSTITUTE(UPPER($P197)," ",""),"C",""),";",REPT(" ",30)),1,30))),0)+IFERROR(VALUE(TRIM(MID(SUBSTITUTE(SUBSTITUTE(SUBSTITUTE(UPPER($P197)," ",""),"C",""),";",REPT(" ",30)),31,30))),0)+IFERROR(VALUE(TRIM(MID(SUBSTITUTE(SUBSTITUTE(SUBSTITUTE(UPPER($P197)," ",""),"C",""),";",REPT(" ",30)),61,30))),0)+IFERROR(VALUE(TRIM(MID(SUBSTITUTE(SUBSTITUTE(SUBSTITUTE(UPPER($P197)," ",""),"C",""),";",REPT(" ",30)),91,30))),0)+IFERROR(VALUE(TRIM(MID(SUBSTITUTE(SUBSTITUTE(SUBSTITUTE(UPPER($P197)," ",""),"C",""),";",REPT(" ",30)),121,30))),0)+IFERROR(VALUE(TRIM(MID(SUBSTITUTE(SUBSTITUTE(SUBSTITUTE(UPPER($P197)," ",""),"C",""),";",REPT(" ",30)),151,30))),0)+IFERROR(VALUE(TRIM(MID(SUBSTITUTE(SUBSTITUTE(SUBSTITUTE(UPPER($P197)," ",""),"C",""),";",REPT(" ",30)),181,30))),0)+IFERROR(VALUE(TRIM(MID(SUBSTITUTE(SUBSTITUTE(SUBSTITUTE(UPPER($P197)," ",""),"C",""),";",REPT(" ",30)),211,30))),0)))))</f>
        <v/>
      </c>
      <c r="S197" s="24" t="n"/>
      <c r="T197" s="8" t="n"/>
      <c r="U197" s="14" t="n"/>
      <c r="V197" s="25">
        <f>IF($C197="","",IF($E197="Falta","-",MAX(0,MIN(10,5+IFERROR(VALUE(TRIM(MID(SUBSTITUTE(SUBSTITUTE(SUBSTITUTE(UPPER($T197)," ",""),"P",""),";",REPT(" ",30)),1,30))),0)+IFERROR(VALUE(TRIM(MID(SUBSTITUTE(SUBSTITUTE(SUBSTITUTE(UPPER($T197)," ",""),"P",""),";",REPT(" ",30)),31,30))),0)+IFERROR(VALUE(TRIM(MID(SUBSTITUTE(SUBSTITUTE(SUBSTITUTE(UPPER($T197)," ",""),"P",""),";",REPT(" ",30)),61,30))),0)+IFERROR(VALUE(TRIM(MID(SUBSTITUTE(SUBSTITUTE(SUBSTITUTE(UPPER($T197)," ",""),"P",""),";",REPT(" ",30)),91,30))),0)+IFERROR(VALUE(TRIM(MID(SUBSTITUTE(SUBSTITUTE(SUBSTITUTE(UPPER($T197)," ",""),"P",""),";",REPT(" ",30)),121,30))),0)+IFERROR(VALUE(TRIM(MID(SUBSTITUTE(SUBSTITUTE(SUBSTITUTE(UPPER($T197)," ",""),"P",""),";",REPT(" ",30)),151,30))),0)+IFERROR(VALUE(TRIM(MID(SUBSTITUTE(SUBSTITUTE(SUBSTITUTE(UPPER($T197)," ",""),"P",""),";",REPT(" ",30)),181,30))),0)+IFERROR(VALUE(TRIM(MID(SUBSTITUTE(SUBSTITUTE(SUBSTITUTE(UPPER($T197)," ",""),"P",""),";",REPT(" ",30)),211,30))),0)))))</f>
        <v/>
      </c>
      <c r="W197" s="24" t="n"/>
      <c r="X197" s="14" t="n"/>
    </row>
    <row r="198">
      <c r="A198" s="8">
        <f>IF($C198="","",39)</f>
        <v/>
      </c>
      <c r="B198" s="8">
        <f>IF($C198="","","5ª Sessão")</f>
        <v/>
      </c>
      <c r="C198" s="8">
        <f>IF(Preenchimento!$B$48="","",Preenchimento!$B$48)</f>
        <v/>
      </c>
      <c r="D198" s="8">
        <f>IF($C198="","",IF(Preenchimento!$C$48="","-",Preenchimento!$C$48))</f>
        <v/>
      </c>
      <c r="E198" s="8" t="n"/>
      <c r="F198" s="8" t="n"/>
      <c r="G198" s="24" t="n"/>
      <c r="H198" s="8" t="n"/>
      <c r="I198" s="14" t="n"/>
      <c r="J198" s="25">
        <f>IF($C198="","",IF($E198="Falta","-",MAX(0,MIN(10,8+IFERROR(VALUE(TRIM(MID(SUBSTITUTE(SUBSTITUTE(SUBSTITUTE(UPPER($H198)," ",""),"D",""),";",REPT(" ",30)),1,30))),0)+IFERROR(VALUE(TRIM(MID(SUBSTITUTE(SUBSTITUTE(SUBSTITUTE(UPPER($H198)," ",""),"D",""),";",REPT(" ",30)),31,30))),0)+IFERROR(VALUE(TRIM(MID(SUBSTITUTE(SUBSTITUTE(SUBSTITUTE(UPPER($H198)," ",""),"D",""),";",REPT(" ",30)),61,30))),0)+IFERROR(VALUE(TRIM(MID(SUBSTITUTE(SUBSTITUTE(SUBSTITUTE(UPPER($H198)," ",""),"D",""),";",REPT(" ",30)),91,30))),0)+IFERROR(VALUE(TRIM(MID(SUBSTITUTE(SUBSTITUTE(SUBSTITUTE(UPPER($H198)," ",""),"D",""),";",REPT(" ",30)),121,30))),0)+IFERROR(VALUE(TRIM(MID(SUBSTITUTE(SUBSTITUTE(SUBSTITUTE(UPPER($H198)," ",""),"D",""),";",REPT(" ",30)),151,30))),0)+IFERROR(VALUE(TRIM(MID(SUBSTITUTE(SUBSTITUTE(SUBSTITUTE(UPPER($H198)," ",""),"D",""),";",REPT(" ",30)),181,30))),0)+IFERROR(VALUE(TRIM(MID(SUBSTITUTE(SUBSTITUTE(SUBSTITUTE(UPPER($H198)," ",""),"D",""),";",REPT(" ",30)),211,30))),0)))))</f>
        <v/>
      </c>
      <c r="K198" s="24" t="n"/>
      <c r="L198" s="8" t="n"/>
      <c r="M198" s="14" t="n"/>
      <c r="N198" s="25">
        <f>IF($C198="","",IF($E198="Falta","-",MAX(0,MIN(10,8+IFERROR(VALUE(TRIM(MID(SUBSTITUTE(SUBSTITUTE(SUBSTITUTE(UPPER($L198)," ",""),"F",""),";",REPT(" ",30)),1,30))),0)+IFERROR(VALUE(TRIM(MID(SUBSTITUTE(SUBSTITUTE(SUBSTITUTE(UPPER($L198)," ",""),"F",""),";",REPT(" ",30)),31,30))),0)+IFERROR(VALUE(TRIM(MID(SUBSTITUTE(SUBSTITUTE(SUBSTITUTE(UPPER($L198)," ",""),"F",""),";",REPT(" ",30)),61,30))),0)+IFERROR(VALUE(TRIM(MID(SUBSTITUTE(SUBSTITUTE(SUBSTITUTE(UPPER($L198)," ",""),"F",""),";",REPT(" ",30)),91,30))),0)+IFERROR(VALUE(TRIM(MID(SUBSTITUTE(SUBSTITUTE(SUBSTITUTE(UPPER($L198)," ",""),"F",""),";",REPT(" ",30)),121,30))),0)+IFERROR(VALUE(TRIM(MID(SUBSTITUTE(SUBSTITUTE(SUBSTITUTE(UPPER($L198)," ",""),"F",""),";",REPT(" ",30)),151,30))),0)+IFERROR(VALUE(TRIM(MID(SUBSTITUTE(SUBSTITUTE(SUBSTITUTE(UPPER($L198)," ",""),"F",""),";",REPT(" ",30)),181,30))),0)+IFERROR(VALUE(TRIM(MID(SUBSTITUTE(SUBSTITUTE(SUBSTITUTE(UPPER($L198)," ",""),"F",""),";",REPT(" ",30)),211,30))),0)))))</f>
        <v/>
      </c>
      <c r="O198" s="24" t="n"/>
      <c r="P198" s="8" t="n"/>
      <c r="Q198" s="14" t="n"/>
      <c r="R198" s="25">
        <f>IF($C198="","",IF($E198="Falta","-",MAX(0,MIN(10,5+IFERROR(VALUE(TRIM(MID(SUBSTITUTE(SUBSTITUTE(SUBSTITUTE(UPPER($P198)," ",""),"C",""),";",REPT(" ",30)),1,30))),0)+IFERROR(VALUE(TRIM(MID(SUBSTITUTE(SUBSTITUTE(SUBSTITUTE(UPPER($P198)," ",""),"C",""),";",REPT(" ",30)),31,30))),0)+IFERROR(VALUE(TRIM(MID(SUBSTITUTE(SUBSTITUTE(SUBSTITUTE(UPPER($P198)," ",""),"C",""),";",REPT(" ",30)),61,30))),0)+IFERROR(VALUE(TRIM(MID(SUBSTITUTE(SUBSTITUTE(SUBSTITUTE(UPPER($P198)," ",""),"C",""),";",REPT(" ",30)),91,30))),0)+IFERROR(VALUE(TRIM(MID(SUBSTITUTE(SUBSTITUTE(SUBSTITUTE(UPPER($P198)," ",""),"C",""),";",REPT(" ",30)),121,30))),0)+IFERROR(VALUE(TRIM(MID(SUBSTITUTE(SUBSTITUTE(SUBSTITUTE(UPPER($P198)," ",""),"C",""),";",REPT(" ",30)),151,30))),0)+IFERROR(VALUE(TRIM(MID(SUBSTITUTE(SUBSTITUTE(SUBSTITUTE(UPPER($P198)," ",""),"C",""),";",REPT(" ",30)),181,30))),0)+IFERROR(VALUE(TRIM(MID(SUBSTITUTE(SUBSTITUTE(SUBSTITUTE(UPPER($P198)," ",""),"C",""),";",REPT(" ",30)),211,30))),0)))))</f>
        <v/>
      </c>
      <c r="S198" s="24" t="n"/>
      <c r="T198" s="8" t="n"/>
      <c r="U198" s="14" t="n"/>
      <c r="V198" s="25">
        <f>IF($C198="","",IF($E198="Falta","-",MAX(0,MIN(10,5+IFERROR(VALUE(TRIM(MID(SUBSTITUTE(SUBSTITUTE(SUBSTITUTE(UPPER($T198)," ",""),"P",""),";",REPT(" ",30)),1,30))),0)+IFERROR(VALUE(TRIM(MID(SUBSTITUTE(SUBSTITUTE(SUBSTITUTE(UPPER($T198)," ",""),"P",""),";",REPT(" ",30)),31,30))),0)+IFERROR(VALUE(TRIM(MID(SUBSTITUTE(SUBSTITUTE(SUBSTITUTE(UPPER($T198)," ",""),"P",""),";",REPT(" ",30)),61,30))),0)+IFERROR(VALUE(TRIM(MID(SUBSTITUTE(SUBSTITUTE(SUBSTITUTE(UPPER($T198)," ",""),"P",""),";",REPT(" ",30)),91,30))),0)+IFERROR(VALUE(TRIM(MID(SUBSTITUTE(SUBSTITUTE(SUBSTITUTE(UPPER($T198)," ",""),"P",""),";",REPT(" ",30)),121,30))),0)+IFERROR(VALUE(TRIM(MID(SUBSTITUTE(SUBSTITUTE(SUBSTITUTE(UPPER($T198)," ",""),"P",""),";",REPT(" ",30)),151,30))),0)+IFERROR(VALUE(TRIM(MID(SUBSTITUTE(SUBSTITUTE(SUBSTITUTE(UPPER($T198)," ",""),"P",""),";",REPT(" ",30)),181,30))),0)+IFERROR(VALUE(TRIM(MID(SUBSTITUTE(SUBSTITUTE(SUBSTITUTE(UPPER($T198)," ",""),"P",""),";",REPT(" ",30)),211,30))),0)))))</f>
        <v/>
      </c>
      <c r="W198" s="24" t="n"/>
      <c r="X198" s="14" t="n"/>
    </row>
    <row r="199">
      <c r="A199" s="6">
        <f>IF($C199="","",40)</f>
        <v/>
      </c>
      <c r="B199" s="6">
        <f>IF($C199="","","1ª Sessão")</f>
        <v/>
      </c>
      <c r="C199" s="6">
        <f>IF(Preenchimento!$B$49="","",Preenchimento!$B$49)</f>
        <v/>
      </c>
      <c r="D199" s="6">
        <f>IF($C199="","",IF(Preenchimento!$C$49="","-",Preenchimento!$C$49))</f>
        <v/>
      </c>
      <c r="E199" s="6" t="n"/>
      <c r="F199" s="6" t="n"/>
      <c r="G199" s="26" t="n"/>
      <c r="H199" s="6" t="n"/>
      <c r="I199" s="13" t="n"/>
      <c r="J199" s="27">
        <f>IF($C199="","",IF($E199="Falta","-",MAX(0,MIN(10,8+IFERROR(VALUE(TRIM(MID(SUBSTITUTE(SUBSTITUTE(SUBSTITUTE(UPPER($H199)," ",""),"D",""),";",REPT(" ",30)),1,30))),0)+IFERROR(VALUE(TRIM(MID(SUBSTITUTE(SUBSTITUTE(SUBSTITUTE(UPPER($H199)," ",""),"D",""),";",REPT(" ",30)),31,30))),0)+IFERROR(VALUE(TRIM(MID(SUBSTITUTE(SUBSTITUTE(SUBSTITUTE(UPPER($H199)," ",""),"D",""),";",REPT(" ",30)),61,30))),0)+IFERROR(VALUE(TRIM(MID(SUBSTITUTE(SUBSTITUTE(SUBSTITUTE(UPPER($H199)," ",""),"D",""),";",REPT(" ",30)),91,30))),0)+IFERROR(VALUE(TRIM(MID(SUBSTITUTE(SUBSTITUTE(SUBSTITUTE(UPPER($H199)," ",""),"D",""),";",REPT(" ",30)),121,30))),0)+IFERROR(VALUE(TRIM(MID(SUBSTITUTE(SUBSTITUTE(SUBSTITUTE(UPPER($H199)," ",""),"D",""),";",REPT(" ",30)),151,30))),0)+IFERROR(VALUE(TRIM(MID(SUBSTITUTE(SUBSTITUTE(SUBSTITUTE(UPPER($H199)," ",""),"D",""),";",REPT(" ",30)),181,30))),0)+IFERROR(VALUE(TRIM(MID(SUBSTITUTE(SUBSTITUTE(SUBSTITUTE(UPPER($H199)," ",""),"D",""),";",REPT(" ",30)),211,30))),0)))))</f>
        <v/>
      </c>
      <c r="K199" s="26" t="n"/>
      <c r="L199" s="6" t="n"/>
      <c r="M199" s="13" t="n"/>
      <c r="N199" s="27">
        <f>IF($C199="","",IF($E199="Falta","-",MAX(0,MIN(10,8+IFERROR(VALUE(TRIM(MID(SUBSTITUTE(SUBSTITUTE(SUBSTITUTE(UPPER($L199)," ",""),"F",""),";",REPT(" ",30)),1,30))),0)+IFERROR(VALUE(TRIM(MID(SUBSTITUTE(SUBSTITUTE(SUBSTITUTE(UPPER($L199)," ",""),"F",""),";",REPT(" ",30)),31,30))),0)+IFERROR(VALUE(TRIM(MID(SUBSTITUTE(SUBSTITUTE(SUBSTITUTE(UPPER($L199)," ",""),"F",""),";",REPT(" ",30)),61,30))),0)+IFERROR(VALUE(TRIM(MID(SUBSTITUTE(SUBSTITUTE(SUBSTITUTE(UPPER($L199)," ",""),"F",""),";",REPT(" ",30)),91,30))),0)+IFERROR(VALUE(TRIM(MID(SUBSTITUTE(SUBSTITUTE(SUBSTITUTE(UPPER($L199)," ",""),"F",""),";",REPT(" ",30)),121,30))),0)+IFERROR(VALUE(TRIM(MID(SUBSTITUTE(SUBSTITUTE(SUBSTITUTE(UPPER($L199)," ",""),"F",""),";",REPT(" ",30)),151,30))),0)+IFERROR(VALUE(TRIM(MID(SUBSTITUTE(SUBSTITUTE(SUBSTITUTE(UPPER($L199)," ",""),"F",""),";",REPT(" ",30)),181,30))),0)+IFERROR(VALUE(TRIM(MID(SUBSTITUTE(SUBSTITUTE(SUBSTITUTE(UPPER($L199)," ",""),"F",""),";",REPT(" ",30)),211,30))),0)))))</f>
        <v/>
      </c>
      <c r="O199" s="26" t="n"/>
      <c r="P199" s="6" t="n"/>
      <c r="Q199" s="13" t="n"/>
      <c r="R199" s="27">
        <f>IF($C199="","",IF($E199="Falta","-",MAX(0,MIN(10,5+IFERROR(VALUE(TRIM(MID(SUBSTITUTE(SUBSTITUTE(SUBSTITUTE(UPPER($P199)," ",""),"C",""),";",REPT(" ",30)),1,30))),0)+IFERROR(VALUE(TRIM(MID(SUBSTITUTE(SUBSTITUTE(SUBSTITUTE(UPPER($P199)," ",""),"C",""),";",REPT(" ",30)),31,30))),0)+IFERROR(VALUE(TRIM(MID(SUBSTITUTE(SUBSTITUTE(SUBSTITUTE(UPPER($P199)," ",""),"C",""),";",REPT(" ",30)),61,30))),0)+IFERROR(VALUE(TRIM(MID(SUBSTITUTE(SUBSTITUTE(SUBSTITUTE(UPPER($P199)," ",""),"C",""),";",REPT(" ",30)),91,30))),0)+IFERROR(VALUE(TRIM(MID(SUBSTITUTE(SUBSTITUTE(SUBSTITUTE(UPPER($P199)," ",""),"C",""),";",REPT(" ",30)),121,30))),0)+IFERROR(VALUE(TRIM(MID(SUBSTITUTE(SUBSTITUTE(SUBSTITUTE(UPPER($P199)," ",""),"C",""),";",REPT(" ",30)),151,30))),0)+IFERROR(VALUE(TRIM(MID(SUBSTITUTE(SUBSTITUTE(SUBSTITUTE(UPPER($P199)," ",""),"C",""),";",REPT(" ",30)),181,30))),0)+IFERROR(VALUE(TRIM(MID(SUBSTITUTE(SUBSTITUTE(SUBSTITUTE(UPPER($P199)," ",""),"C",""),";",REPT(" ",30)),211,30))),0)))))</f>
        <v/>
      </c>
      <c r="S199" s="26" t="n"/>
      <c r="T199" s="6" t="n"/>
      <c r="U199" s="13" t="n"/>
      <c r="V199" s="27">
        <f>IF($C199="","",IF($E199="Falta","-",MAX(0,MIN(10,5+IFERROR(VALUE(TRIM(MID(SUBSTITUTE(SUBSTITUTE(SUBSTITUTE(UPPER($T199)," ",""),"P",""),";",REPT(" ",30)),1,30))),0)+IFERROR(VALUE(TRIM(MID(SUBSTITUTE(SUBSTITUTE(SUBSTITUTE(UPPER($T199)," ",""),"P",""),";",REPT(" ",30)),31,30))),0)+IFERROR(VALUE(TRIM(MID(SUBSTITUTE(SUBSTITUTE(SUBSTITUTE(UPPER($T199)," ",""),"P",""),";",REPT(" ",30)),61,30))),0)+IFERROR(VALUE(TRIM(MID(SUBSTITUTE(SUBSTITUTE(SUBSTITUTE(UPPER($T199)," ",""),"P",""),";",REPT(" ",30)),91,30))),0)+IFERROR(VALUE(TRIM(MID(SUBSTITUTE(SUBSTITUTE(SUBSTITUTE(UPPER($T199)," ",""),"P",""),";",REPT(" ",30)),121,30))),0)+IFERROR(VALUE(TRIM(MID(SUBSTITUTE(SUBSTITUTE(SUBSTITUTE(UPPER($T199)," ",""),"P",""),";",REPT(" ",30)),151,30))),0)+IFERROR(VALUE(TRIM(MID(SUBSTITUTE(SUBSTITUTE(SUBSTITUTE(UPPER($T199)," ",""),"P",""),";",REPT(" ",30)),181,30))),0)+IFERROR(VALUE(TRIM(MID(SUBSTITUTE(SUBSTITUTE(SUBSTITUTE(UPPER($T199)," ",""),"P",""),";",REPT(" ",30)),211,30))),0)))))</f>
        <v/>
      </c>
      <c r="W199" s="26" t="n"/>
      <c r="X199" s="13" t="n"/>
    </row>
    <row r="200">
      <c r="A200" s="6">
        <f>IF($C200="","",40)</f>
        <v/>
      </c>
      <c r="B200" s="6">
        <f>IF($C200="","","2ª Sessão")</f>
        <v/>
      </c>
      <c r="C200" s="6">
        <f>IF(Preenchimento!$B$49="","",Preenchimento!$B$49)</f>
        <v/>
      </c>
      <c r="D200" s="6">
        <f>IF($C200="","",IF(Preenchimento!$C$49="","-",Preenchimento!$C$49))</f>
        <v/>
      </c>
      <c r="E200" s="6" t="n"/>
      <c r="F200" s="6" t="n"/>
      <c r="G200" s="26" t="n"/>
      <c r="H200" s="6" t="n"/>
      <c r="I200" s="13" t="n"/>
      <c r="J200" s="27">
        <f>IF($C200="","",IF($E200="Falta","-",MAX(0,MIN(10,8+IFERROR(VALUE(TRIM(MID(SUBSTITUTE(SUBSTITUTE(SUBSTITUTE(UPPER($H200)," ",""),"D",""),";",REPT(" ",30)),1,30))),0)+IFERROR(VALUE(TRIM(MID(SUBSTITUTE(SUBSTITUTE(SUBSTITUTE(UPPER($H200)," ",""),"D",""),";",REPT(" ",30)),31,30))),0)+IFERROR(VALUE(TRIM(MID(SUBSTITUTE(SUBSTITUTE(SUBSTITUTE(UPPER($H200)," ",""),"D",""),";",REPT(" ",30)),61,30))),0)+IFERROR(VALUE(TRIM(MID(SUBSTITUTE(SUBSTITUTE(SUBSTITUTE(UPPER($H200)," ",""),"D",""),";",REPT(" ",30)),91,30))),0)+IFERROR(VALUE(TRIM(MID(SUBSTITUTE(SUBSTITUTE(SUBSTITUTE(UPPER($H200)," ",""),"D",""),";",REPT(" ",30)),121,30))),0)+IFERROR(VALUE(TRIM(MID(SUBSTITUTE(SUBSTITUTE(SUBSTITUTE(UPPER($H200)," ",""),"D",""),";",REPT(" ",30)),151,30))),0)+IFERROR(VALUE(TRIM(MID(SUBSTITUTE(SUBSTITUTE(SUBSTITUTE(UPPER($H200)," ",""),"D",""),";",REPT(" ",30)),181,30))),0)+IFERROR(VALUE(TRIM(MID(SUBSTITUTE(SUBSTITUTE(SUBSTITUTE(UPPER($H200)," ",""),"D",""),";",REPT(" ",30)),211,30))),0)))))</f>
        <v/>
      </c>
      <c r="K200" s="26" t="n"/>
      <c r="L200" s="6" t="n"/>
      <c r="M200" s="13" t="n"/>
      <c r="N200" s="27">
        <f>IF($C200="","",IF($E200="Falta","-",MAX(0,MIN(10,8+IFERROR(VALUE(TRIM(MID(SUBSTITUTE(SUBSTITUTE(SUBSTITUTE(UPPER($L200)," ",""),"F",""),";",REPT(" ",30)),1,30))),0)+IFERROR(VALUE(TRIM(MID(SUBSTITUTE(SUBSTITUTE(SUBSTITUTE(UPPER($L200)," ",""),"F",""),";",REPT(" ",30)),31,30))),0)+IFERROR(VALUE(TRIM(MID(SUBSTITUTE(SUBSTITUTE(SUBSTITUTE(UPPER($L200)," ",""),"F",""),";",REPT(" ",30)),61,30))),0)+IFERROR(VALUE(TRIM(MID(SUBSTITUTE(SUBSTITUTE(SUBSTITUTE(UPPER($L200)," ",""),"F",""),";",REPT(" ",30)),91,30))),0)+IFERROR(VALUE(TRIM(MID(SUBSTITUTE(SUBSTITUTE(SUBSTITUTE(UPPER($L200)," ",""),"F",""),";",REPT(" ",30)),121,30))),0)+IFERROR(VALUE(TRIM(MID(SUBSTITUTE(SUBSTITUTE(SUBSTITUTE(UPPER($L200)," ",""),"F",""),";",REPT(" ",30)),151,30))),0)+IFERROR(VALUE(TRIM(MID(SUBSTITUTE(SUBSTITUTE(SUBSTITUTE(UPPER($L200)," ",""),"F",""),";",REPT(" ",30)),181,30))),0)+IFERROR(VALUE(TRIM(MID(SUBSTITUTE(SUBSTITUTE(SUBSTITUTE(UPPER($L200)," ",""),"F",""),";",REPT(" ",30)),211,30))),0)))))</f>
        <v/>
      </c>
      <c r="O200" s="26" t="n"/>
      <c r="P200" s="6" t="n"/>
      <c r="Q200" s="13" t="n"/>
      <c r="R200" s="27">
        <f>IF($C200="","",IF($E200="Falta","-",MAX(0,MIN(10,5+IFERROR(VALUE(TRIM(MID(SUBSTITUTE(SUBSTITUTE(SUBSTITUTE(UPPER($P200)," ",""),"C",""),";",REPT(" ",30)),1,30))),0)+IFERROR(VALUE(TRIM(MID(SUBSTITUTE(SUBSTITUTE(SUBSTITUTE(UPPER($P200)," ",""),"C",""),";",REPT(" ",30)),31,30))),0)+IFERROR(VALUE(TRIM(MID(SUBSTITUTE(SUBSTITUTE(SUBSTITUTE(UPPER($P200)," ",""),"C",""),";",REPT(" ",30)),61,30))),0)+IFERROR(VALUE(TRIM(MID(SUBSTITUTE(SUBSTITUTE(SUBSTITUTE(UPPER($P200)," ",""),"C",""),";",REPT(" ",30)),91,30))),0)+IFERROR(VALUE(TRIM(MID(SUBSTITUTE(SUBSTITUTE(SUBSTITUTE(UPPER($P200)," ",""),"C",""),";",REPT(" ",30)),121,30))),0)+IFERROR(VALUE(TRIM(MID(SUBSTITUTE(SUBSTITUTE(SUBSTITUTE(UPPER($P200)," ",""),"C",""),";",REPT(" ",30)),151,30))),0)+IFERROR(VALUE(TRIM(MID(SUBSTITUTE(SUBSTITUTE(SUBSTITUTE(UPPER($P200)," ",""),"C",""),";",REPT(" ",30)),181,30))),0)+IFERROR(VALUE(TRIM(MID(SUBSTITUTE(SUBSTITUTE(SUBSTITUTE(UPPER($P200)," ",""),"C",""),";",REPT(" ",30)),211,30))),0)))))</f>
        <v/>
      </c>
      <c r="S200" s="26" t="n"/>
      <c r="T200" s="6" t="n"/>
      <c r="U200" s="13" t="n"/>
      <c r="V200" s="27">
        <f>IF($C200="","",IF($E200="Falta","-",MAX(0,MIN(10,5+IFERROR(VALUE(TRIM(MID(SUBSTITUTE(SUBSTITUTE(SUBSTITUTE(UPPER($T200)," ",""),"P",""),";",REPT(" ",30)),1,30))),0)+IFERROR(VALUE(TRIM(MID(SUBSTITUTE(SUBSTITUTE(SUBSTITUTE(UPPER($T200)," ",""),"P",""),";",REPT(" ",30)),31,30))),0)+IFERROR(VALUE(TRIM(MID(SUBSTITUTE(SUBSTITUTE(SUBSTITUTE(UPPER($T200)," ",""),"P",""),";",REPT(" ",30)),61,30))),0)+IFERROR(VALUE(TRIM(MID(SUBSTITUTE(SUBSTITUTE(SUBSTITUTE(UPPER($T200)," ",""),"P",""),";",REPT(" ",30)),91,30))),0)+IFERROR(VALUE(TRIM(MID(SUBSTITUTE(SUBSTITUTE(SUBSTITUTE(UPPER($T200)," ",""),"P",""),";",REPT(" ",30)),121,30))),0)+IFERROR(VALUE(TRIM(MID(SUBSTITUTE(SUBSTITUTE(SUBSTITUTE(UPPER($T200)," ",""),"P",""),";",REPT(" ",30)),151,30))),0)+IFERROR(VALUE(TRIM(MID(SUBSTITUTE(SUBSTITUTE(SUBSTITUTE(UPPER($T200)," ",""),"P",""),";",REPT(" ",30)),181,30))),0)+IFERROR(VALUE(TRIM(MID(SUBSTITUTE(SUBSTITUTE(SUBSTITUTE(UPPER($T200)," ",""),"P",""),";",REPT(" ",30)),211,30))),0)))))</f>
        <v/>
      </c>
      <c r="W200" s="26" t="n"/>
      <c r="X200" s="13" t="n"/>
    </row>
    <row r="201">
      <c r="A201" s="6">
        <f>IF($C201="","",40)</f>
        <v/>
      </c>
      <c r="B201" s="6">
        <f>IF($C201="","","3ª Sessão")</f>
        <v/>
      </c>
      <c r="C201" s="6">
        <f>IF(Preenchimento!$B$49="","",Preenchimento!$B$49)</f>
        <v/>
      </c>
      <c r="D201" s="6">
        <f>IF($C201="","",IF(Preenchimento!$C$49="","-",Preenchimento!$C$49))</f>
        <v/>
      </c>
      <c r="E201" s="6" t="n"/>
      <c r="F201" s="6" t="n"/>
      <c r="G201" s="26" t="n"/>
      <c r="H201" s="6" t="n"/>
      <c r="I201" s="13" t="n"/>
      <c r="J201" s="27">
        <f>IF($C201="","",IF($E201="Falta","-",MAX(0,MIN(10,8+IFERROR(VALUE(TRIM(MID(SUBSTITUTE(SUBSTITUTE(SUBSTITUTE(UPPER($H201)," ",""),"D",""),";",REPT(" ",30)),1,30))),0)+IFERROR(VALUE(TRIM(MID(SUBSTITUTE(SUBSTITUTE(SUBSTITUTE(UPPER($H201)," ",""),"D",""),";",REPT(" ",30)),31,30))),0)+IFERROR(VALUE(TRIM(MID(SUBSTITUTE(SUBSTITUTE(SUBSTITUTE(UPPER($H201)," ",""),"D",""),";",REPT(" ",30)),61,30))),0)+IFERROR(VALUE(TRIM(MID(SUBSTITUTE(SUBSTITUTE(SUBSTITUTE(UPPER($H201)," ",""),"D",""),";",REPT(" ",30)),91,30))),0)+IFERROR(VALUE(TRIM(MID(SUBSTITUTE(SUBSTITUTE(SUBSTITUTE(UPPER($H201)," ",""),"D",""),";",REPT(" ",30)),121,30))),0)+IFERROR(VALUE(TRIM(MID(SUBSTITUTE(SUBSTITUTE(SUBSTITUTE(UPPER($H201)," ",""),"D",""),";",REPT(" ",30)),151,30))),0)+IFERROR(VALUE(TRIM(MID(SUBSTITUTE(SUBSTITUTE(SUBSTITUTE(UPPER($H201)," ",""),"D",""),";",REPT(" ",30)),181,30))),0)+IFERROR(VALUE(TRIM(MID(SUBSTITUTE(SUBSTITUTE(SUBSTITUTE(UPPER($H201)," ",""),"D",""),";",REPT(" ",30)),211,30))),0)))))</f>
        <v/>
      </c>
      <c r="K201" s="26" t="n"/>
      <c r="L201" s="6" t="n"/>
      <c r="M201" s="13" t="n"/>
      <c r="N201" s="27">
        <f>IF($C201="","",IF($E201="Falta","-",MAX(0,MIN(10,8+IFERROR(VALUE(TRIM(MID(SUBSTITUTE(SUBSTITUTE(SUBSTITUTE(UPPER($L201)," ",""),"F",""),";",REPT(" ",30)),1,30))),0)+IFERROR(VALUE(TRIM(MID(SUBSTITUTE(SUBSTITUTE(SUBSTITUTE(UPPER($L201)," ",""),"F",""),";",REPT(" ",30)),31,30))),0)+IFERROR(VALUE(TRIM(MID(SUBSTITUTE(SUBSTITUTE(SUBSTITUTE(UPPER($L201)," ",""),"F",""),";",REPT(" ",30)),61,30))),0)+IFERROR(VALUE(TRIM(MID(SUBSTITUTE(SUBSTITUTE(SUBSTITUTE(UPPER($L201)," ",""),"F",""),";",REPT(" ",30)),91,30))),0)+IFERROR(VALUE(TRIM(MID(SUBSTITUTE(SUBSTITUTE(SUBSTITUTE(UPPER($L201)," ",""),"F",""),";",REPT(" ",30)),121,30))),0)+IFERROR(VALUE(TRIM(MID(SUBSTITUTE(SUBSTITUTE(SUBSTITUTE(UPPER($L201)," ",""),"F",""),";",REPT(" ",30)),151,30))),0)+IFERROR(VALUE(TRIM(MID(SUBSTITUTE(SUBSTITUTE(SUBSTITUTE(UPPER($L201)," ",""),"F",""),";",REPT(" ",30)),181,30))),0)+IFERROR(VALUE(TRIM(MID(SUBSTITUTE(SUBSTITUTE(SUBSTITUTE(UPPER($L201)," ",""),"F",""),";",REPT(" ",30)),211,30))),0)))))</f>
        <v/>
      </c>
      <c r="O201" s="26" t="n"/>
      <c r="P201" s="6" t="n"/>
      <c r="Q201" s="13" t="n"/>
      <c r="R201" s="27">
        <f>IF($C201="","",IF($E201="Falta","-",MAX(0,MIN(10,5+IFERROR(VALUE(TRIM(MID(SUBSTITUTE(SUBSTITUTE(SUBSTITUTE(UPPER($P201)," ",""),"C",""),";",REPT(" ",30)),1,30))),0)+IFERROR(VALUE(TRIM(MID(SUBSTITUTE(SUBSTITUTE(SUBSTITUTE(UPPER($P201)," ",""),"C",""),";",REPT(" ",30)),31,30))),0)+IFERROR(VALUE(TRIM(MID(SUBSTITUTE(SUBSTITUTE(SUBSTITUTE(UPPER($P201)," ",""),"C",""),";",REPT(" ",30)),61,30))),0)+IFERROR(VALUE(TRIM(MID(SUBSTITUTE(SUBSTITUTE(SUBSTITUTE(UPPER($P201)," ",""),"C",""),";",REPT(" ",30)),91,30))),0)+IFERROR(VALUE(TRIM(MID(SUBSTITUTE(SUBSTITUTE(SUBSTITUTE(UPPER($P201)," ",""),"C",""),";",REPT(" ",30)),121,30))),0)+IFERROR(VALUE(TRIM(MID(SUBSTITUTE(SUBSTITUTE(SUBSTITUTE(UPPER($P201)," ",""),"C",""),";",REPT(" ",30)),151,30))),0)+IFERROR(VALUE(TRIM(MID(SUBSTITUTE(SUBSTITUTE(SUBSTITUTE(UPPER($P201)," ",""),"C",""),";",REPT(" ",30)),181,30))),0)+IFERROR(VALUE(TRIM(MID(SUBSTITUTE(SUBSTITUTE(SUBSTITUTE(UPPER($P201)," ",""),"C",""),";",REPT(" ",30)),211,30))),0)))))</f>
        <v/>
      </c>
      <c r="S201" s="26" t="n"/>
      <c r="T201" s="6" t="n"/>
      <c r="U201" s="13" t="n"/>
      <c r="V201" s="27">
        <f>IF($C201="","",IF($E201="Falta","-",MAX(0,MIN(10,5+IFERROR(VALUE(TRIM(MID(SUBSTITUTE(SUBSTITUTE(SUBSTITUTE(UPPER($T201)," ",""),"P",""),";",REPT(" ",30)),1,30))),0)+IFERROR(VALUE(TRIM(MID(SUBSTITUTE(SUBSTITUTE(SUBSTITUTE(UPPER($T201)," ",""),"P",""),";",REPT(" ",30)),31,30))),0)+IFERROR(VALUE(TRIM(MID(SUBSTITUTE(SUBSTITUTE(SUBSTITUTE(UPPER($T201)," ",""),"P",""),";",REPT(" ",30)),61,30))),0)+IFERROR(VALUE(TRIM(MID(SUBSTITUTE(SUBSTITUTE(SUBSTITUTE(UPPER($T201)," ",""),"P",""),";",REPT(" ",30)),91,30))),0)+IFERROR(VALUE(TRIM(MID(SUBSTITUTE(SUBSTITUTE(SUBSTITUTE(UPPER($T201)," ",""),"P",""),";",REPT(" ",30)),121,30))),0)+IFERROR(VALUE(TRIM(MID(SUBSTITUTE(SUBSTITUTE(SUBSTITUTE(UPPER($T201)," ",""),"P",""),";",REPT(" ",30)),151,30))),0)+IFERROR(VALUE(TRIM(MID(SUBSTITUTE(SUBSTITUTE(SUBSTITUTE(UPPER($T201)," ",""),"P",""),";",REPT(" ",30)),181,30))),0)+IFERROR(VALUE(TRIM(MID(SUBSTITUTE(SUBSTITUTE(SUBSTITUTE(UPPER($T201)," ",""),"P",""),";",REPT(" ",30)),211,30))),0)))))</f>
        <v/>
      </c>
      <c r="W201" s="26" t="n"/>
      <c r="X201" s="13" t="n"/>
    </row>
    <row r="202">
      <c r="A202" s="6">
        <f>IF($C202="","",40)</f>
        <v/>
      </c>
      <c r="B202" s="6">
        <f>IF($C202="","","4ª Sessão")</f>
        <v/>
      </c>
      <c r="C202" s="6">
        <f>IF(Preenchimento!$B$49="","",Preenchimento!$B$49)</f>
        <v/>
      </c>
      <c r="D202" s="6">
        <f>IF($C202="","",IF(Preenchimento!$C$49="","-",Preenchimento!$C$49))</f>
        <v/>
      </c>
      <c r="E202" s="6" t="n"/>
      <c r="F202" s="6" t="n"/>
      <c r="G202" s="26" t="n"/>
      <c r="H202" s="6" t="n"/>
      <c r="I202" s="13" t="n"/>
      <c r="J202" s="27">
        <f>IF($C202="","",IF($E202="Falta","-",MAX(0,MIN(10,8+IFERROR(VALUE(TRIM(MID(SUBSTITUTE(SUBSTITUTE(SUBSTITUTE(UPPER($H202)," ",""),"D",""),";",REPT(" ",30)),1,30))),0)+IFERROR(VALUE(TRIM(MID(SUBSTITUTE(SUBSTITUTE(SUBSTITUTE(UPPER($H202)," ",""),"D",""),";",REPT(" ",30)),31,30))),0)+IFERROR(VALUE(TRIM(MID(SUBSTITUTE(SUBSTITUTE(SUBSTITUTE(UPPER($H202)," ",""),"D",""),";",REPT(" ",30)),61,30))),0)+IFERROR(VALUE(TRIM(MID(SUBSTITUTE(SUBSTITUTE(SUBSTITUTE(UPPER($H202)," ",""),"D",""),";",REPT(" ",30)),91,30))),0)+IFERROR(VALUE(TRIM(MID(SUBSTITUTE(SUBSTITUTE(SUBSTITUTE(UPPER($H202)," ",""),"D",""),";",REPT(" ",30)),121,30))),0)+IFERROR(VALUE(TRIM(MID(SUBSTITUTE(SUBSTITUTE(SUBSTITUTE(UPPER($H202)," ",""),"D",""),";",REPT(" ",30)),151,30))),0)+IFERROR(VALUE(TRIM(MID(SUBSTITUTE(SUBSTITUTE(SUBSTITUTE(UPPER($H202)," ",""),"D",""),";",REPT(" ",30)),181,30))),0)+IFERROR(VALUE(TRIM(MID(SUBSTITUTE(SUBSTITUTE(SUBSTITUTE(UPPER($H202)," ",""),"D",""),";",REPT(" ",30)),211,30))),0)))))</f>
        <v/>
      </c>
      <c r="K202" s="26" t="n"/>
      <c r="L202" s="6" t="n"/>
      <c r="M202" s="13" t="n"/>
      <c r="N202" s="27">
        <f>IF($C202="","",IF($E202="Falta","-",MAX(0,MIN(10,8+IFERROR(VALUE(TRIM(MID(SUBSTITUTE(SUBSTITUTE(SUBSTITUTE(UPPER($L202)," ",""),"F",""),";",REPT(" ",30)),1,30))),0)+IFERROR(VALUE(TRIM(MID(SUBSTITUTE(SUBSTITUTE(SUBSTITUTE(UPPER($L202)," ",""),"F",""),";",REPT(" ",30)),31,30))),0)+IFERROR(VALUE(TRIM(MID(SUBSTITUTE(SUBSTITUTE(SUBSTITUTE(UPPER($L202)," ",""),"F",""),";",REPT(" ",30)),61,30))),0)+IFERROR(VALUE(TRIM(MID(SUBSTITUTE(SUBSTITUTE(SUBSTITUTE(UPPER($L202)," ",""),"F",""),";",REPT(" ",30)),91,30))),0)+IFERROR(VALUE(TRIM(MID(SUBSTITUTE(SUBSTITUTE(SUBSTITUTE(UPPER($L202)," ",""),"F",""),";",REPT(" ",30)),121,30))),0)+IFERROR(VALUE(TRIM(MID(SUBSTITUTE(SUBSTITUTE(SUBSTITUTE(UPPER($L202)," ",""),"F",""),";",REPT(" ",30)),151,30))),0)+IFERROR(VALUE(TRIM(MID(SUBSTITUTE(SUBSTITUTE(SUBSTITUTE(UPPER($L202)," ",""),"F",""),";",REPT(" ",30)),181,30))),0)+IFERROR(VALUE(TRIM(MID(SUBSTITUTE(SUBSTITUTE(SUBSTITUTE(UPPER($L202)," ",""),"F",""),";",REPT(" ",30)),211,30))),0)))))</f>
        <v/>
      </c>
      <c r="O202" s="26" t="n"/>
      <c r="P202" s="6" t="n"/>
      <c r="Q202" s="13" t="n"/>
      <c r="R202" s="27">
        <f>IF($C202="","",IF($E202="Falta","-",MAX(0,MIN(10,5+IFERROR(VALUE(TRIM(MID(SUBSTITUTE(SUBSTITUTE(SUBSTITUTE(UPPER($P202)," ",""),"C",""),";",REPT(" ",30)),1,30))),0)+IFERROR(VALUE(TRIM(MID(SUBSTITUTE(SUBSTITUTE(SUBSTITUTE(UPPER($P202)," ",""),"C",""),";",REPT(" ",30)),31,30))),0)+IFERROR(VALUE(TRIM(MID(SUBSTITUTE(SUBSTITUTE(SUBSTITUTE(UPPER($P202)," ",""),"C",""),";",REPT(" ",30)),61,30))),0)+IFERROR(VALUE(TRIM(MID(SUBSTITUTE(SUBSTITUTE(SUBSTITUTE(UPPER($P202)," ",""),"C",""),";",REPT(" ",30)),91,30))),0)+IFERROR(VALUE(TRIM(MID(SUBSTITUTE(SUBSTITUTE(SUBSTITUTE(UPPER($P202)," ",""),"C",""),";",REPT(" ",30)),121,30))),0)+IFERROR(VALUE(TRIM(MID(SUBSTITUTE(SUBSTITUTE(SUBSTITUTE(UPPER($P202)," ",""),"C",""),";",REPT(" ",30)),151,30))),0)+IFERROR(VALUE(TRIM(MID(SUBSTITUTE(SUBSTITUTE(SUBSTITUTE(UPPER($P202)," ",""),"C",""),";",REPT(" ",30)),181,30))),0)+IFERROR(VALUE(TRIM(MID(SUBSTITUTE(SUBSTITUTE(SUBSTITUTE(UPPER($P202)," ",""),"C",""),";",REPT(" ",30)),211,30))),0)))))</f>
        <v/>
      </c>
      <c r="S202" s="26" t="n"/>
      <c r="T202" s="6" t="n"/>
      <c r="U202" s="13" t="n"/>
      <c r="V202" s="27">
        <f>IF($C202="","",IF($E202="Falta","-",MAX(0,MIN(10,5+IFERROR(VALUE(TRIM(MID(SUBSTITUTE(SUBSTITUTE(SUBSTITUTE(UPPER($T202)," ",""),"P",""),";",REPT(" ",30)),1,30))),0)+IFERROR(VALUE(TRIM(MID(SUBSTITUTE(SUBSTITUTE(SUBSTITUTE(UPPER($T202)," ",""),"P",""),";",REPT(" ",30)),31,30))),0)+IFERROR(VALUE(TRIM(MID(SUBSTITUTE(SUBSTITUTE(SUBSTITUTE(UPPER($T202)," ",""),"P",""),";",REPT(" ",30)),61,30))),0)+IFERROR(VALUE(TRIM(MID(SUBSTITUTE(SUBSTITUTE(SUBSTITUTE(UPPER($T202)," ",""),"P",""),";",REPT(" ",30)),91,30))),0)+IFERROR(VALUE(TRIM(MID(SUBSTITUTE(SUBSTITUTE(SUBSTITUTE(UPPER($T202)," ",""),"P",""),";",REPT(" ",30)),121,30))),0)+IFERROR(VALUE(TRIM(MID(SUBSTITUTE(SUBSTITUTE(SUBSTITUTE(UPPER($T202)," ",""),"P",""),";",REPT(" ",30)),151,30))),0)+IFERROR(VALUE(TRIM(MID(SUBSTITUTE(SUBSTITUTE(SUBSTITUTE(UPPER($T202)," ",""),"P",""),";",REPT(" ",30)),181,30))),0)+IFERROR(VALUE(TRIM(MID(SUBSTITUTE(SUBSTITUTE(SUBSTITUTE(UPPER($T202)," ",""),"P",""),";",REPT(" ",30)),211,30))),0)))))</f>
        <v/>
      </c>
      <c r="W202" s="26" t="n"/>
      <c r="X202" s="13" t="n"/>
    </row>
    <row r="203">
      <c r="A203" s="6">
        <f>IF($C203="","",40)</f>
        <v/>
      </c>
      <c r="B203" s="6">
        <f>IF($C203="","","5ª Sessão")</f>
        <v/>
      </c>
      <c r="C203" s="6">
        <f>IF(Preenchimento!$B$49="","",Preenchimento!$B$49)</f>
        <v/>
      </c>
      <c r="D203" s="6">
        <f>IF($C203="","",IF(Preenchimento!$C$49="","-",Preenchimento!$C$49))</f>
        <v/>
      </c>
      <c r="E203" s="6" t="n"/>
      <c r="F203" s="6" t="n"/>
      <c r="G203" s="26" t="n"/>
      <c r="H203" s="6" t="n"/>
      <c r="I203" s="13" t="n"/>
      <c r="J203" s="27">
        <f>IF($C203="","",IF($E203="Falta","-",MAX(0,MIN(10,8+IFERROR(VALUE(TRIM(MID(SUBSTITUTE(SUBSTITUTE(SUBSTITUTE(UPPER($H203)," ",""),"D",""),";",REPT(" ",30)),1,30))),0)+IFERROR(VALUE(TRIM(MID(SUBSTITUTE(SUBSTITUTE(SUBSTITUTE(UPPER($H203)," ",""),"D",""),";",REPT(" ",30)),31,30))),0)+IFERROR(VALUE(TRIM(MID(SUBSTITUTE(SUBSTITUTE(SUBSTITUTE(UPPER($H203)," ",""),"D",""),";",REPT(" ",30)),61,30))),0)+IFERROR(VALUE(TRIM(MID(SUBSTITUTE(SUBSTITUTE(SUBSTITUTE(UPPER($H203)," ",""),"D",""),";",REPT(" ",30)),91,30))),0)+IFERROR(VALUE(TRIM(MID(SUBSTITUTE(SUBSTITUTE(SUBSTITUTE(UPPER($H203)," ",""),"D",""),";",REPT(" ",30)),121,30))),0)+IFERROR(VALUE(TRIM(MID(SUBSTITUTE(SUBSTITUTE(SUBSTITUTE(UPPER($H203)," ",""),"D",""),";",REPT(" ",30)),151,30))),0)+IFERROR(VALUE(TRIM(MID(SUBSTITUTE(SUBSTITUTE(SUBSTITUTE(UPPER($H203)," ",""),"D",""),";",REPT(" ",30)),181,30))),0)+IFERROR(VALUE(TRIM(MID(SUBSTITUTE(SUBSTITUTE(SUBSTITUTE(UPPER($H203)," ",""),"D",""),";",REPT(" ",30)),211,30))),0)))))</f>
        <v/>
      </c>
      <c r="K203" s="26" t="n"/>
      <c r="L203" s="6" t="n"/>
      <c r="M203" s="13" t="n"/>
      <c r="N203" s="27">
        <f>IF($C203="","",IF($E203="Falta","-",MAX(0,MIN(10,8+IFERROR(VALUE(TRIM(MID(SUBSTITUTE(SUBSTITUTE(SUBSTITUTE(UPPER($L203)," ",""),"F",""),";",REPT(" ",30)),1,30))),0)+IFERROR(VALUE(TRIM(MID(SUBSTITUTE(SUBSTITUTE(SUBSTITUTE(UPPER($L203)," ",""),"F",""),";",REPT(" ",30)),31,30))),0)+IFERROR(VALUE(TRIM(MID(SUBSTITUTE(SUBSTITUTE(SUBSTITUTE(UPPER($L203)," ",""),"F",""),";",REPT(" ",30)),61,30))),0)+IFERROR(VALUE(TRIM(MID(SUBSTITUTE(SUBSTITUTE(SUBSTITUTE(UPPER($L203)," ",""),"F",""),";",REPT(" ",30)),91,30))),0)+IFERROR(VALUE(TRIM(MID(SUBSTITUTE(SUBSTITUTE(SUBSTITUTE(UPPER($L203)," ",""),"F",""),";",REPT(" ",30)),121,30))),0)+IFERROR(VALUE(TRIM(MID(SUBSTITUTE(SUBSTITUTE(SUBSTITUTE(UPPER($L203)," ",""),"F",""),";",REPT(" ",30)),151,30))),0)+IFERROR(VALUE(TRIM(MID(SUBSTITUTE(SUBSTITUTE(SUBSTITUTE(UPPER($L203)," ",""),"F",""),";",REPT(" ",30)),181,30))),0)+IFERROR(VALUE(TRIM(MID(SUBSTITUTE(SUBSTITUTE(SUBSTITUTE(UPPER($L203)," ",""),"F",""),";",REPT(" ",30)),211,30))),0)))))</f>
        <v/>
      </c>
      <c r="O203" s="26" t="n"/>
      <c r="P203" s="6" t="n"/>
      <c r="Q203" s="13" t="n"/>
      <c r="R203" s="27">
        <f>IF($C203="","",IF($E203="Falta","-",MAX(0,MIN(10,5+IFERROR(VALUE(TRIM(MID(SUBSTITUTE(SUBSTITUTE(SUBSTITUTE(UPPER($P203)," ",""),"C",""),";",REPT(" ",30)),1,30))),0)+IFERROR(VALUE(TRIM(MID(SUBSTITUTE(SUBSTITUTE(SUBSTITUTE(UPPER($P203)," ",""),"C",""),";",REPT(" ",30)),31,30))),0)+IFERROR(VALUE(TRIM(MID(SUBSTITUTE(SUBSTITUTE(SUBSTITUTE(UPPER($P203)," ",""),"C",""),";",REPT(" ",30)),61,30))),0)+IFERROR(VALUE(TRIM(MID(SUBSTITUTE(SUBSTITUTE(SUBSTITUTE(UPPER($P203)," ",""),"C",""),";",REPT(" ",30)),91,30))),0)+IFERROR(VALUE(TRIM(MID(SUBSTITUTE(SUBSTITUTE(SUBSTITUTE(UPPER($P203)," ",""),"C",""),";",REPT(" ",30)),121,30))),0)+IFERROR(VALUE(TRIM(MID(SUBSTITUTE(SUBSTITUTE(SUBSTITUTE(UPPER($P203)," ",""),"C",""),";",REPT(" ",30)),151,30))),0)+IFERROR(VALUE(TRIM(MID(SUBSTITUTE(SUBSTITUTE(SUBSTITUTE(UPPER($P203)," ",""),"C",""),";",REPT(" ",30)),181,30))),0)+IFERROR(VALUE(TRIM(MID(SUBSTITUTE(SUBSTITUTE(SUBSTITUTE(UPPER($P203)," ",""),"C",""),";",REPT(" ",30)),211,30))),0)))))</f>
        <v/>
      </c>
      <c r="S203" s="26" t="n"/>
      <c r="T203" s="6" t="n"/>
      <c r="U203" s="13" t="n"/>
      <c r="V203" s="27">
        <f>IF($C203="","",IF($E203="Falta","-",MAX(0,MIN(10,5+IFERROR(VALUE(TRIM(MID(SUBSTITUTE(SUBSTITUTE(SUBSTITUTE(UPPER($T203)," ",""),"P",""),";",REPT(" ",30)),1,30))),0)+IFERROR(VALUE(TRIM(MID(SUBSTITUTE(SUBSTITUTE(SUBSTITUTE(UPPER($T203)," ",""),"P",""),";",REPT(" ",30)),31,30))),0)+IFERROR(VALUE(TRIM(MID(SUBSTITUTE(SUBSTITUTE(SUBSTITUTE(UPPER($T203)," ",""),"P",""),";",REPT(" ",30)),61,30))),0)+IFERROR(VALUE(TRIM(MID(SUBSTITUTE(SUBSTITUTE(SUBSTITUTE(UPPER($T203)," ",""),"P",""),";",REPT(" ",30)),91,30))),0)+IFERROR(VALUE(TRIM(MID(SUBSTITUTE(SUBSTITUTE(SUBSTITUTE(UPPER($T203)," ",""),"P",""),";",REPT(" ",30)),121,30))),0)+IFERROR(VALUE(TRIM(MID(SUBSTITUTE(SUBSTITUTE(SUBSTITUTE(UPPER($T203)," ",""),"P",""),";",REPT(" ",30)),151,30))),0)+IFERROR(VALUE(TRIM(MID(SUBSTITUTE(SUBSTITUTE(SUBSTITUTE(UPPER($T203)," ",""),"P",""),";",REPT(" ",30)),181,30))),0)+IFERROR(VALUE(TRIM(MID(SUBSTITUTE(SUBSTITUTE(SUBSTITUTE(UPPER($T203)," ",""),"P",""),";",REPT(" ",30)),211,30))),0)))))</f>
        <v/>
      </c>
      <c r="W203" s="26" t="n"/>
      <c r="X203" s="13" t="n"/>
    </row>
    <row r="204">
      <c r="A204" s="8">
        <f>IF($C204="","",41)</f>
        <v/>
      </c>
      <c r="B204" s="8">
        <f>IF($C204="","","1ª Sessão")</f>
        <v/>
      </c>
      <c r="C204" s="8">
        <f>IF(Preenchimento!$B$50="","",Preenchimento!$B$50)</f>
        <v/>
      </c>
      <c r="D204" s="8">
        <f>IF($C204="","",IF(Preenchimento!$C$50="","-",Preenchimento!$C$50))</f>
        <v/>
      </c>
      <c r="E204" s="8" t="n"/>
      <c r="F204" s="8" t="n"/>
      <c r="G204" s="24" t="n"/>
      <c r="H204" s="8" t="n"/>
      <c r="I204" s="14" t="n"/>
      <c r="J204" s="25">
        <f>IF($C204="","",IF($E204="Falta","-",MAX(0,MIN(10,8+IFERROR(VALUE(TRIM(MID(SUBSTITUTE(SUBSTITUTE(SUBSTITUTE(UPPER($H204)," ",""),"D",""),";",REPT(" ",30)),1,30))),0)+IFERROR(VALUE(TRIM(MID(SUBSTITUTE(SUBSTITUTE(SUBSTITUTE(UPPER($H204)," ",""),"D",""),";",REPT(" ",30)),31,30))),0)+IFERROR(VALUE(TRIM(MID(SUBSTITUTE(SUBSTITUTE(SUBSTITUTE(UPPER($H204)," ",""),"D",""),";",REPT(" ",30)),61,30))),0)+IFERROR(VALUE(TRIM(MID(SUBSTITUTE(SUBSTITUTE(SUBSTITUTE(UPPER($H204)," ",""),"D",""),";",REPT(" ",30)),91,30))),0)+IFERROR(VALUE(TRIM(MID(SUBSTITUTE(SUBSTITUTE(SUBSTITUTE(UPPER($H204)," ",""),"D",""),";",REPT(" ",30)),121,30))),0)+IFERROR(VALUE(TRIM(MID(SUBSTITUTE(SUBSTITUTE(SUBSTITUTE(UPPER($H204)," ",""),"D",""),";",REPT(" ",30)),151,30))),0)+IFERROR(VALUE(TRIM(MID(SUBSTITUTE(SUBSTITUTE(SUBSTITUTE(UPPER($H204)," ",""),"D",""),";",REPT(" ",30)),181,30))),0)+IFERROR(VALUE(TRIM(MID(SUBSTITUTE(SUBSTITUTE(SUBSTITUTE(UPPER($H204)," ",""),"D",""),";",REPT(" ",30)),211,30))),0)))))</f>
        <v/>
      </c>
      <c r="K204" s="24" t="n"/>
      <c r="L204" s="8" t="n"/>
      <c r="M204" s="14" t="n"/>
      <c r="N204" s="25">
        <f>IF($C204="","",IF($E204="Falta","-",MAX(0,MIN(10,8+IFERROR(VALUE(TRIM(MID(SUBSTITUTE(SUBSTITUTE(SUBSTITUTE(UPPER($L204)," ",""),"F",""),";",REPT(" ",30)),1,30))),0)+IFERROR(VALUE(TRIM(MID(SUBSTITUTE(SUBSTITUTE(SUBSTITUTE(UPPER($L204)," ",""),"F",""),";",REPT(" ",30)),31,30))),0)+IFERROR(VALUE(TRIM(MID(SUBSTITUTE(SUBSTITUTE(SUBSTITUTE(UPPER($L204)," ",""),"F",""),";",REPT(" ",30)),61,30))),0)+IFERROR(VALUE(TRIM(MID(SUBSTITUTE(SUBSTITUTE(SUBSTITUTE(UPPER($L204)," ",""),"F",""),";",REPT(" ",30)),91,30))),0)+IFERROR(VALUE(TRIM(MID(SUBSTITUTE(SUBSTITUTE(SUBSTITUTE(UPPER($L204)," ",""),"F",""),";",REPT(" ",30)),121,30))),0)+IFERROR(VALUE(TRIM(MID(SUBSTITUTE(SUBSTITUTE(SUBSTITUTE(UPPER($L204)," ",""),"F",""),";",REPT(" ",30)),151,30))),0)+IFERROR(VALUE(TRIM(MID(SUBSTITUTE(SUBSTITUTE(SUBSTITUTE(UPPER($L204)," ",""),"F",""),";",REPT(" ",30)),181,30))),0)+IFERROR(VALUE(TRIM(MID(SUBSTITUTE(SUBSTITUTE(SUBSTITUTE(UPPER($L204)," ",""),"F",""),";",REPT(" ",30)),211,30))),0)))))</f>
        <v/>
      </c>
      <c r="O204" s="24" t="n"/>
      <c r="P204" s="8" t="n"/>
      <c r="Q204" s="14" t="n"/>
      <c r="R204" s="25">
        <f>IF($C204="","",IF($E204="Falta","-",MAX(0,MIN(10,5+IFERROR(VALUE(TRIM(MID(SUBSTITUTE(SUBSTITUTE(SUBSTITUTE(UPPER($P204)," ",""),"C",""),";",REPT(" ",30)),1,30))),0)+IFERROR(VALUE(TRIM(MID(SUBSTITUTE(SUBSTITUTE(SUBSTITUTE(UPPER($P204)," ",""),"C",""),";",REPT(" ",30)),31,30))),0)+IFERROR(VALUE(TRIM(MID(SUBSTITUTE(SUBSTITUTE(SUBSTITUTE(UPPER($P204)," ",""),"C",""),";",REPT(" ",30)),61,30))),0)+IFERROR(VALUE(TRIM(MID(SUBSTITUTE(SUBSTITUTE(SUBSTITUTE(UPPER($P204)," ",""),"C",""),";",REPT(" ",30)),91,30))),0)+IFERROR(VALUE(TRIM(MID(SUBSTITUTE(SUBSTITUTE(SUBSTITUTE(UPPER($P204)," ",""),"C",""),";",REPT(" ",30)),121,30))),0)+IFERROR(VALUE(TRIM(MID(SUBSTITUTE(SUBSTITUTE(SUBSTITUTE(UPPER($P204)," ",""),"C",""),";",REPT(" ",30)),151,30))),0)+IFERROR(VALUE(TRIM(MID(SUBSTITUTE(SUBSTITUTE(SUBSTITUTE(UPPER($P204)," ",""),"C",""),";",REPT(" ",30)),181,30))),0)+IFERROR(VALUE(TRIM(MID(SUBSTITUTE(SUBSTITUTE(SUBSTITUTE(UPPER($P204)," ",""),"C",""),";",REPT(" ",30)),211,30))),0)))))</f>
        <v/>
      </c>
      <c r="S204" s="24" t="n"/>
      <c r="T204" s="8" t="n"/>
      <c r="U204" s="14" t="n"/>
      <c r="V204" s="25">
        <f>IF($C204="","",IF($E204="Falta","-",MAX(0,MIN(10,5+IFERROR(VALUE(TRIM(MID(SUBSTITUTE(SUBSTITUTE(SUBSTITUTE(UPPER($T204)," ",""),"P",""),";",REPT(" ",30)),1,30))),0)+IFERROR(VALUE(TRIM(MID(SUBSTITUTE(SUBSTITUTE(SUBSTITUTE(UPPER($T204)," ",""),"P",""),";",REPT(" ",30)),31,30))),0)+IFERROR(VALUE(TRIM(MID(SUBSTITUTE(SUBSTITUTE(SUBSTITUTE(UPPER($T204)," ",""),"P",""),";",REPT(" ",30)),61,30))),0)+IFERROR(VALUE(TRIM(MID(SUBSTITUTE(SUBSTITUTE(SUBSTITUTE(UPPER($T204)," ",""),"P",""),";",REPT(" ",30)),91,30))),0)+IFERROR(VALUE(TRIM(MID(SUBSTITUTE(SUBSTITUTE(SUBSTITUTE(UPPER($T204)," ",""),"P",""),";",REPT(" ",30)),121,30))),0)+IFERROR(VALUE(TRIM(MID(SUBSTITUTE(SUBSTITUTE(SUBSTITUTE(UPPER($T204)," ",""),"P",""),";",REPT(" ",30)),151,30))),0)+IFERROR(VALUE(TRIM(MID(SUBSTITUTE(SUBSTITUTE(SUBSTITUTE(UPPER($T204)," ",""),"P",""),";",REPT(" ",30)),181,30))),0)+IFERROR(VALUE(TRIM(MID(SUBSTITUTE(SUBSTITUTE(SUBSTITUTE(UPPER($T204)," ",""),"P",""),";",REPT(" ",30)),211,30))),0)))))</f>
        <v/>
      </c>
      <c r="W204" s="24" t="n"/>
      <c r="X204" s="14" t="n"/>
    </row>
    <row r="205">
      <c r="A205" s="8">
        <f>IF($C205="","",41)</f>
        <v/>
      </c>
      <c r="B205" s="8">
        <f>IF($C205="","","2ª Sessão")</f>
        <v/>
      </c>
      <c r="C205" s="8">
        <f>IF(Preenchimento!$B$50="","",Preenchimento!$B$50)</f>
        <v/>
      </c>
      <c r="D205" s="8">
        <f>IF($C205="","",IF(Preenchimento!$C$50="","-",Preenchimento!$C$50))</f>
        <v/>
      </c>
      <c r="E205" s="8" t="n"/>
      <c r="F205" s="8" t="n"/>
      <c r="G205" s="24" t="n"/>
      <c r="H205" s="8" t="n"/>
      <c r="I205" s="14" t="n"/>
      <c r="J205" s="25">
        <f>IF($C205="","",IF($E205="Falta","-",MAX(0,MIN(10,8+IFERROR(VALUE(TRIM(MID(SUBSTITUTE(SUBSTITUTE(SUBSTITUTE(UPPER($H205)," ",""),"D",""),";",REPT(" ",30)),1,30))),0)+IFERROR(VALUE(TRIM(MID(SUBSTITUTE(SUBSTITUTE(SUBSTITUTE(UPPER($H205)," ",""),"D",""),";",REPT(" ",30)),31,30))),0)+IFERROR(VALUE(TRIM(MID(SUBSTITUTE(SUBSTITUTE(SUBSTITUTE(UPPER($H205)," ",""),"D",""),";",REPT(" ",30)),61,30))),0)+IFERROR(VALUE(TRIM(MID(SUBSTITUTE(SUBSTITUTE(SUBSTITUTE(UPPER($H205)," ",""),"D",""),";",REPT(" ",30)),91,30))),0)+IFERROR(VALUE(TRIM(MID(SUBSTITUTE(SUBSTITUTE(SUBSTITUTE(UPPER($H205)," ",""),"D",""),";",REPT(" ",30)),121,30))),0)+IFERROR(VALUE(TRIM(MID(SUBSTITUTE(SUBSTITUTE(SUBSTITUTE(UPPER($H205)," ",""),"D",""),";",REPT(" ",30)),151,30))),0)+IFERROR(VALUE(TRIM(MID(SUBSTITUTE(SUBSTITUTE(SUBSTITUTE(UPPER($H205)," ",""),"D",""),";",REPT(" ",30)),181,30))),0)+IFERROR(VALUE(TRIM(MID(SUBSTITUTE(SUBSTITUTE(SUBSTITUTE(UPPER($H205)," ",""),"D",""),";",REPT(" ",30)),211,30))),0)))))</f>
        <v/>
      </c>
      <c r="K205" s="24" t="n"/>
      <c r="L205" s="8" t="n"/>
      <c r="M205" s="14" t="n"/>
      <c r="N205" s="25">
        <f>IF($C205="","",IF($E205="Falta","-",MAX(0,MIN(10,8+IFERROR(VALUE(TRIM(MID(SUBSTITUTE(SUBSTITUTE(SUBSTITUTE(UPPER($L205)," ",""),"F",""),";",REPT(" ",30)),1,30))),0)+IFERROR(VALUE(TRIM(MID(SUBSTITUTE(SUBSTITUTE(SUBSTITUTE(UPPER($L205)," ",""),"F",""),";",REPT(" ",30)),31,30))),0)+IFERROR(VALUE(TRIM(MID(SUBSTITUTE(SUBSTITUTE(SUBSTITUTE(UPPER($L205)," ",""),"F",""),";",REPT(" ",30)),61,30))),0)+IFERROR(VALUE(TRIM(MID(SUBSTITUTE(SUBSTITUTE(SUBSTITUTE(UPPER($L205)," ",""),"F",""),";",REPT(" ",30)),91,30))),0)+IFERROR(VALUE(TRIM(MID(SUBSTITUTE(SUBSTITUTE(SUBSTITUTE(UPPER($L205)," ",""),"F",""),";",REPT(" ",30)),121,30))),0)+IFERROR(VALUE(TRIM(MID(SUBSTITUTE(SUBSTITUTE(SUBSTITUTE(UPPER($L205)," ",""),"F",""),";",REPT(" ",30)),151,30))),0)+IFERROR(VALUE(TRIM(MID(SUBSTITUTE(SUBSTITUTE(SUBSTITUTE(UPPER($L205)," ",""),"F",""),";",REPT(" ",30)),181,30))),0)+IFERROR(VALUE(TRIM(MID(SUBSTITUTE(SUBSTITUTE(SUBSTITUTE(UPPER($L205)," ",""),"F",""),";",REPT(" ",30)),211,30))),0)))))</f>
        <v/>
      </c>
      <c r="O205" s="24" t="n"/>
      <c r="P205" s="8" t="n"/>
      <c r="Q205" s="14" t="n"/>
      <c r="R205" s="25">
        <f>IF($C205="","",IF($E205="Falta","-",MAX(0,MIN(10,5+IFERROR(VALUE(TRIM(MID(SUBSTITUTE(SUBSTITUTE(SUBSTITUTE(UPPER($P205)," ",""),"C",""),";",REPT(" ",30)),1,30))),0)+IFERROR(VALUE(TRIM(MID(SUBSTITUTE(SUBSTITUTE(SUBSTITUTE(UPPER($P205)," ",""),"C",""),";",REPT(" ",30)),31,30))),0)+IFERROR(VALUE(TRIM(MID(SUBSTITUTE(SUBSTITUTE(SUBSTITUTE(UPPER($P205)," ",""),"C",""),";",REPT(" ",30)),61,30))),0)+IFERROR(VALUE(TRIM(MID(SUBSTITUTE(SUBSTITUTE(SUBSTITUTE(UPPER($P205)," ",""),"C",""),";",REPT(" ",30)),91,30))),0)+IFERROR(VALUE(TRIM(MID(SUBSTITUTE(SUBSTITUTE(SUBSTITUTE(UPPER($P205)," ",""),"C",""),";",REPT(" ",30)),121,30))),0)+IFERROR(VALUE(TRIM(MID(SUBSTITUTE(SUBSTITUTE(SUBSTITUTE(UPPER($P205)," ",""),"C",""),";",REPT(" ",30)),151,30))),0)+IFERROR(VALUE(TRIM(MID(SUBSTITUTE(SUBSTITUTE(SUBSTITUTE(UPPER($P205)," ",""),"C",""),";",REPT(" ",30)),181,30))),0)+IFERROR(VALUE(TRIM(MID(SUBSTITUTE(SUBSTITUTE(SUBSTITUTE(UPPER($P205)," ",""),"C",""),";",REPT(" ",30)),211,30))),0)))))</f>
        <v/>
      </c>
      <c r="S205" s="24" t="n"/>
      <c r="T205" s="8" t="n"/>
      <c r="U205" s="14" t="n"/>
      <c r="V205" s="25">
        <f>IF($C205="","",IF($E205="Falta","-",MAX(0,MIN(10,5+IFERROR(VALUE(TRIM(MID(SUBSTITUTE(SUBSTITUTE(SUBSTITUTE(UPPER($T205)," ",""),"P",""),";",REPT(" ",30)),1,30))),0)+IFERROR(VALUE(TRIM(MID(SUBSTITUTE(SUBSTITUTE(SUBSTITUTE(UPPER($T205)," ",""),"P",""),";",REPT(" ",30)),31,30))),0)+IFERROR(VALUE(TRIM(MID(SUBSTITUTE(SUBSTITUTE(SUBSTITUTE(UPPER($T205)," ",""),"P",""),";",REPT(" ",30)),61,30))),0)+IFERROR(VALUE(TRIM(MID(SUBSTITUTE(SUBSTITUTE(SUBSTITUTE(UPPER($T205)," ",""),"P",""),";",REPT(" ",30)),91,30))),0)+IFERROR(VALUE(TRIM(MID(SUBSTITUTE(SUBSTITUTE(SUBSTITUTE(UPPER($T205)," ",""),"P",""),";",REPT(" ",30)),121,30))),0)+IFERROR(VALUE(TRIM(MID(SUBSTITUTE(SUBSTITUTE(SUBSTITUTE(UPPER($T205)," ",""),"P",""),";",REPT(" ",30)),151,30))),0)+IFERROR(VALUE(TRIM(MID(SUBSTITUTE(SUBSTITUTE(SUBSTITUTE(UPPER($T205)," ",""),"P",""),";",REPT(" ",30)),181,30))),0)+IFERROR(VALUE(TRIM(MID(SUBSTITUTE(SUBSTITUTE(SUBSTITUTE(UPPER($T205)," ",""),"P",""),";",REPT(" ",30)),211,30))),0)))))</f>
        <v/>
      </c>
      <c r="W205" s="24" t="n"/>
      <c r="X205" s="14" t="n"/>
    </row>
    <row r="206">
      <c r="A206" s="8">
        <f>IF($C206="","",41)</f>
        <v/>
      </c>
      <c r="B206" s="8">
        <f>IF($C206="","","3ª Sessão")</f>
        <v/>
      </c>
      <c r="C206" s="8">
        <f>IF(Preenchimento!$B$50="","",Preenchimento!$B$50)</f>
        <v/>
      </c>
      <c r="D206" s="8">
        <f>IF($C206="","",IF(Preenchimento!$C$50="","-",Preenchimento!$C$50))</f>
        <v/>
      </c>
      <c r="E206" s="8" t="n"/>
      <c r="F206" s="8" t="n"/>
      <c r="G206" s="24" t="n"/>
      <c r="H206" s="8" t="n"/>
      <c r="I206" s="14" t="n"/>
      <c r="J206" s="25">
        <f>IF($C206="","",IF($E206="Falta","-",MAX(0,MIN(10,8+IFERROR(VALUE(TRIM(MID(SUBSTITUTE(SUBSTITUTE(SUBSTITUTE(UPPER($H206)," ",""),"D",""),";",REPT(" ",30)),1,30))),0)+IFERROR(VALUE(TRIM(MID(SUBSTITUTE(SUBSTITUTE(SUBSTITUTE(UPPER($H206)," ",""),"D",""),";",REPT(" ",30)),31,30))),0)+IFERROR(VALUE(TRIM(MID(SUBSTITUTE(SUBSTITUTE(SUBSTITUTE(UPPER($H206)," ",""),"D",""),";",REPT(" ",30)),61,30))),0)+IFERROR(VALUE(TRIM(MID(SUBSTITUTE(SUBSTITUTE(SUBSTITUTE(UPPER($H206)," ",""),"D",""),";",REPT(" ",30)),91,30))),0)+IFERROR(VALUE(TRIM(MID(SUBSTITUTE(SUBSTITUTE(SUBSTITUTE(UPPER($H206)," ",""),"D",""),";",REPT(" ",30)),121,30))),0)+IFERROR(VALUE(TRIM(MID(SUBSTITUTE(SUBSTITUTE(SUBSTITUTE(UPPER($H206)," ",""),"D",""),";",REPT(" ",30)),151,30))),0)+IFERROR(VALUE(TRIM(MID(SUBSTITUTE(SUBSTITUTE(SUBSTITUTE(UPPER($H206)," ",""),"D",""),";",REPT(" ",30)),181,30))),0)+IFERROR(VALUE(TRIM(MID(SUBSTITUTE(SUBSTITUTE(SUBSTITUTE(UPPER($H206)," ",""),"D",""),";",REPT(" ",30)),211,30))),0)))))</f>
        <v/>
      </c>
      <c r="K206" s="24" t="n"/>
      <c r="L206" s="8" t="n"/>
      <c r="M206" s="14" t="n"/>
      <c r="N206" s="25">
        <f>IF($C206="","",IF($E206="Falta","-",MAX(0,MIN(10,8+IFERROR(VALUE(TRIM(MID(SUBSTITUTE(SUBSTITUTE(SUBSTITUTE(UPPER($L206)," ",""),"F",""),";",REPT(" ",30)),1,30))),0)+IFERROR(VALUE(TRIM(MID(SUBSTITUTE(SUBSTITUTE(SUBSTITUTE(UPPER($L206)," ",""),"F",""),";",REPT(" ",30)),31,30))),0)+IFERROR(VALUE(TRIM(MID(SUBSTITUTE(SUBSTITUTE(SUBSTITUTE(UPPER($L206)," ",""),"F",""),";",REPT(" ",30)),61,30))),0)+IFERROR(VALUE(TRIM(MID(SUBSTITUTE(SUBSTITUTE(SUBSTITUTE(UPPER($L206)," ",""),"F",""),";",REPT(" ",30)),91,30))),0)+IFERROR(VALUE(TRIM(MID(SUBSTITUTE(SUBSTITUTE(SUBSTITUTE(UPPER($L206)," ",""),"F",""),";",REPT(" ",30)),121,30))),0)+IFERROR(VALUE(TRIM(MID(SUBSTITUTE(SUBSTITUTE(SUBSTITUTE(UPPER($L206)," ",""),"F",""),";",REPT(" ",30)),151,30))),0)+IFERROR(VALUE(TRIM(MID(SUBSTITUTE(SUBSTITUTE(SUBSTITUTE(UPPER($L206)," ",""),"F",""),";",REPT(" ",30)),181,30))),0)+IFERROR(VALUE(TRIM(MID(SUBSTITUTE(SUBSTITUTE(SUBSTITUTE(UPPER($L206)," ",""),"F",""),";",REPT(" ",30)),211,30))),0)))))</f>
        <v/>
      </c>
      <c r="O206" s="24" t="n"/>
      <c r="P206" s="8" t="n"/>
      <c r="Q206" s="14" t="n"/>
      <c r="R206" s="25">
        <f>IF($C206="","",IF($E206="Falta","-",MAX(0,MIN(10,5+IFERROR(VALUE(TRIM(MID(SUBSTITUTE(SUBSTITUTE(SUBSTITUTE(UPPER($P206)," ",""),"C",""),";",REPT(" ",30)),1,30))),0)+IFERROR(VALUE(TRIM(MID(SUBSTITUTE(SUBSTITUTE(SUBSTITUTE(UPPER($P206)," ",""),"C",""),";",REPT(" ",30)),31,30))),0)+IFERROR(VALUE(TRIM(MID(SUBSTITUTE(SUBSTITUTE(SUBSTITUTE(UPPER($P206)," ",""),"C",""),";",REPT(" ",30)),61,30))),0)+IFERROR(VALUE(TRIM(MID(SUBSTITUTE(SUBSTITUTE(SUBSTITUTE(UPPER($P206)," ",""),"C",""),";",REPT(" ",30)),91,30))),0)+IFERROR(VALUE(TRIM(MID(SUBSTITUTE(SUBSTITUTE(SUBSTITUTE(UPPER($P206)," ",""),"C",""),";",REPT(" ",30)),121,30))),0)+IFERROR(VALUE(TRIM(MID(SUBSTITUTE(SUBSTITUTE(SUBSTITUTE(UPPER($P206)," ",""),"C",""),";",REPT(" ",30)),151,30))),0)+IFERROR(VALUE(TRIM(MID(SUBSTITUTE(SUBSTITUTE(SUBSTITUTE(UPPER($P206)," ",""),"C",""),";",REPT(" ",30)),181,30))),0)+IFERROR(VALUE(TRIM(MID(SUBSTITUTE(SUBSTITUTE(SUBSTITUTE(UPPER($P206)," ",""),"C",""),";",REPT(" ",30)),211,30))),0)))))</f>
        <v/>
      </c>
      <c r="S206" s="24" t="n"/>
      <c r="T206" s="8" t="n"/>
      <c r="U206" s="14" t="n"/>
      <c r="V206" s="25">
        <f>IF($C206="","",IF($E206="Falta","-",MAX(0,MIN(10,5+IFERROR(VALUE(TRIM(MID(SUBSTITUTE(SUBSTITUTE(SUBSTITUTE(UPPER($T206)," ",""),"P",""),";",REPT(" ",30)),1,30))),0)+IFERROR(VALUE(TRIM(MID(SUBSTITUTE(SUBSTITUTE(SUBSTITUTE(UPPER($T206)," ",""),"P",""),";",REPT(" ",30)),31,30))),0)+IFERROR(VALUE(TRIM(MID(SUBSTITUTE(SUBSTITUTE(SUBSTITUTE(UPPER($T206)," ",""),"P",""),";",REPT(" ",30)),61,30))),0)+IFERROR(VALUE(TRIM(MID(SUBSTITUTE(SUBSTITUTE(SUBSTITUTE(UPPER($T206)," ",""),"P",""),";",REPT(" ",30)),91,30))),0)+IFERROR(VALUE(TRIM(MID(SUBSTITUTE(SUBSTITUTE(SUBSTITUTE(UPPER($T206)," ",""),"P",""),";",REPT(" ",30)),121,30))),0)+IFERROR(VALUE(TRIM(MID(SUBSTITUTE(SUBSTITUTE(SUBSTITUTE(UPPER($T206)," ",""),"P",""),";",REPT(" ",30)),151,30))),0)+IFERROR(VALUE(TRIM(MID(SUBSTITUTE(SUBSTITUTE(SUBSTITUTE(UPPER($T206)," ",""),"P",""),";",REPT(" ",30)),181,30))),0)+IFERROR(VALUE(TRIM(MID(SUBSTITUTE(SUBSTITUTE(SUBSTITUTE(UPPER($T206)," ",""),"P",""),";",REPT(" ",30)),211,30))),0)))))</f>
        <v/>
      </c>
      <c r="W206" s="24" t="n"/>
      <c r="X206" s="14" t="n"/>
    </row>
    <row r="207">
      <c r="A207" s="8">
        <f>IF($C207="","",41)</f>
        <v/>
      </c>
      <c r="B207" s="8">
        <f>IF($C207="","","4ª Sessão")</f>
        <v/>
      </c>
      <c r="C207" s="8">
        <f>IF(Preenchimento!$B$50="","",Preenchimento!$B$50)</f>
        <v/>
      </c>
      <c r="D207" s="8">
        <f>IF($C207="","",IF(Preenchimento!$C$50="","-",Preenchimento!$C$50))</f>
        <v/>
      </c>
      <c r="E207" s="8" t="n"/>
      <c r="F207" s="8" t="n"/>
      <c r="G207" s="24" t="n"/>
      <c r="H207" s="8" t="n"/>
      <c r="I207" s="14" t="n"/>
      <c r="J207" s="25">
        <f>IF($C207="","",IF($E207="Falta","-",MAX(0,MIN(10,8+IFERROR(VALUE(TRIM(MID(SUBSTITUTE(SUBSTITUTE(SUBSTITUTE(UPPER($H207)," ",""),"D",""),";",REPT(" ",30)),1,30))),0)+IFERROR(VALUE(TRIM(MID(SUBSTITUTE(SUBSTITUTE(SUBSTITUTE(UPPER($H207)," ",""),"D",""),";",REPT(" ",30)),31,30))),0)+IFERROR(VALUE(TRIM(MID(SUBSTITUTE(SUBSTITUTE(SUBSTITUTE(UPPER($H207)," ",""),"D",""),";",REPT(" ",30)),61,30))),0)+IFERROR(VALUE(TRIM(MID(SUBSTITUTE(SUBSTITUTE(SUBSTITUTE(UPPER($H207)," ",""),"D",""),";",REPT(" ",30)),91,30))),0)+IFERROR(VALUE(TRIM(MID(SUBSTITUTE(SUBSTITUTE(SUBSTITUTE(UPPER($H207)," ",""),"D",""),";",REPT(" ",30)),121,30))),0)+IFERROR(VALUE(TRIM(MID(SUBSTITUTE(SUBSTITUTE(SUBSTITUTE(UPPER($H207)," ",""),"D",""),";",REPT(" ",30)),151,30))),0)+IFERROR(VALUE(TRIM(MID(SUBSTITUTE(SUBSTITUTE(SUBSTITUTE(UPPER($H207)," ",""),"D",""),";",REPT(" ",30)),181,30))),0)+IFERROR(VALUE(TRIM(MID(SUBSTITUTE(SUBSTITUTE(SUBSTITUTE(UPPER($H207)," ",""),"D",""),";",REPT(" ",30)),211,30))),0)))))</f>
        <v/>
      </c>
      <c r="K207" s="24" t="n"/>
      <c r="L207" s="8" t="n"/>
      <c r="M207" s="14" t="n"/>
      <c r="N207" s="25">
        <f>IF($C207="","",IF($E207="Falta","-",MAX(0,MIN(10,8+IFERROR(VALUE(TRIM(MID(SUBSTITUTE(SUBSTITUTE(SUBSTITUTE(UPPER($L207)," ",""),"F",""),";",REPT(" ",30)),1,30))),0)+IFERROR(VALUE(TRIM(MID(SUBSTITUTE(SUBSTITUTE(SUBSTITUTE(UPPER($L207)," ",""),"F",""),";",REPT(" ",30)),31,30))),0)+IFERROR(VALUE(TRIM(MID(SUBSTITUTE(SUBSTITUTE(SUBSTITUTE(UPPER($L207)," ",""),"F",""),";",REPT(" ",30)),61,30))),0)+IFERROR(VALUE(TRIM(MID(SUBSTITUTE(SUBSTITUTE(SUBSTITUTE(UPPER($L207)," ",""),"F",""),";",REPT(" ",30)),91,30))),0)+IFERROR(VALUE(TRIM(MID(SUBSTITUTE(SUBSTITUTE(SUBSTITUTE(UPPER($L207)," ",""),"F",""),";",REPT(" ",30)),121,30))),0)+IFERROR(VALUE(TRIM(MID(SUBSTITUTE(SUBSTITUTE(SUBSTITUTE(UPPER($L207)," ",""),"F",""),";",REPT(" ",30)),151,30))),0)+IFERROR(VALUE(TRIM(MID(SUBSTITUTE(SUBSTITUTE(SUBSTITUTE(UPPER($L207)," ",""),"F",""),";",REPT(" ",30)),181,30))),0)+IFERROR(VALUE(TRIM(MID(SUBSTITUTE(SUBSTITUTE(SUBSTITUTE(UPPER($L207)," ",""),"F",""),";",REPT(" ",30)),211,30))),0)))))</f>
        <v/>
      </c>
      <c r="O207" s="24" t="n"/>
      <c r="P207" s="8" t="n"/>
      <c r="Q207" s="14" t="n"/>
      <c r="R207" s="25">
        <f>IF($C207="","",IF($E207="Falta","-",MAX(0,MIN(10,5+IFERROR(VALUE(TRIM(MID(SUBSTITUTE(SUBSTITUTE(SUBSTITUTE(UPPER($P207)," ",""),"C",""),";",REPT(" ",30)),1,30))),0)+IFERROR(VALUE(TRIM(MID(SUBSTITUTE(SUBSTITUTE(SUBSTITUTE(UPPER($P207)," ",""),"C",""),";",REPT(" ",30)),31,30))),0)+IFERROR(VALUE(TRIM(MID(SUBSTITUTE(SUBSTITUTE(SUBSTITUTE(UPPER($P207)," ",""),"C",""),";",REPT(" ",30)),61,30))),0)+IFERROR(VALUE(TRIM(MID(SUBSTITUTE(SUBSTITUTE(SUBSTITUTE(UPPER($P207)," ",""),"C",""),";",REPT(" ",30)),91,30))),0)+IFERROR(VALUE(TRIM(MID(SUBSTITUTE(SUBSTITUTE(SUBSTITUTE(UPPER($P207)," ",""),"C",""),";",REPT(" ",30)),121,30))),0)+IFERROR(VALUE(TRIM(MID(SUBSTITUTE(SUBSTITUTE(SUBSTITUTE(UPPER($P207)," ",""),"C",""),";",REPT(" ",30)),151,30))),0)+IFERROR(VALUE(TRIM(MID(SUBSTITUTE(SUBSTITUTE(SUBSTITUTE(UPPER($P207)," ",""),"C",""),";",REPT(" ",30)),181,30))),0)+IFERROR(VALUE(TRIM(MID(SUBSTITUTE(SUBSTITUTE(SUBSTITUTE(UPPER($P207)," ",""),"C",""),";",REPT(" ",30)),211,30))),0)))))</f>
        <v/>
      </c>
      <c r="S207" s="24" t="n"/>
      <c r="T207" s="8" t="n"/>
      <c r="U207" s="14" t="n"/>
      <c r="V207" s="25">
        <f>IF($C207="","",IF($E207="Falta","-",MAX(0,MIN(10,5+IFERROR(VALUE(TRIM(MID(SUBSTITUTE(SUBSTITUTE(SUBSTITUTE(UPPER($T207)," ",""),"P",""),";",REPT(" ",30)),1,30))),0)+IFERROR(VALUE(TRIM(MID(SUBSTITUTE(SUBSTITUTE(SUBSTITUTE(UPPER($T207)," ",""),"P",""),";",REPT(" ",30)),31,30))),0)+IFERROR(VALUE(TRIM(MID(SUBSTITUTE(SUBSTITUTE(SUBSTITUTE(UPPER($T207)," ",""),"P",""),";",REPT(" ",30)),61,30))),0)+IFERROR(VALUE(TRIM(MID(SUBSTITUTE(SUBSTITUTE(SUBSTITUTE(UPPER($T207)," ",""),"P",""),";",REPT(" ",30)),91,30))),0)+IFERROR(VALUE(TRIM(MID(SUBSTITUTE(SUBSTITUTE(SUBSTITUTE(UPPER($T207)," ",""),"P",""),";",REPT(" ",30)),121,30))),0)+IFERROR(VALUE(TRIM(MID(SUBSTITUTE(SUBSTITUTE(SUBSTITUTE(UPPER($T207)," ",""),"P",""),";",REPT(" ",30)),151,30))),0)+IFERROR(VALUE(TRIM(MID(SUBSTITUTE(SUBSTITUTE(SUBSTITUTE(UPPER($T207)," ",""),"P",""),";",REPT(" ",30)),181,30))),0)+IFERROR(VALUE(TRIM(MID(SUBSTITUTE(SUBSTITUTE(SUBSTITUTE(UPPER($T207)," ",""),"P",""),";",REPT(" ",30)),211,30))),0)))))</f>
        <v/>
      </c>
      <c r="W207" s="24" t="n"/>
      <c r="X207" s="14" t="n"/>
    </row>
    <row r="208">
      <c r="A208" s="8">
        <f>IF($C208="","",41)</f>
        <v/>
      </c>
      <c r="B208" s="8">
        <f>IF($C208="","","5ª Sessão")</f>
        <v/>
      </c>
      <c r="C208" s="8">
        <f>IF(Preenchimento!$B$50="","",Preenchimento!$B$50)</f>
        <v/>
      </c>
      <c r="D208" s="8">
        <f>IF($C208="","",IF(Preenchimento!$C$50="","-",Preenchimento!$C$50))</f>
        <v/>
      </c>
      <c r="E208" s="8" t="n"/>
      <c r="F208" s="8" t="n"/>
      <c r="G208" s="24" t="n"/>
      <c r="H208" s="8" t="n"/>
      <c r="I208" s="14" t="n"/>
      <c r="J208" s="25">
        <f>IF($C208="","",IF($E208="Falta","-",MAX(0,MIN(10,8+IFERROR(VALUE(TRIM(MID(SUBSTITUTE(SUBSTITUTE(SUBSTITUTE(UPPER($H208)," ",""),"D",""),";",REPT(" ",30)),1,30))),0)+IFERROR(VALUE(TRIM(MID(SUBSTITUTE(SUBSTITUTE(SUBSTITUTE(UPPER($H208)," ",""),"D",""),";",REPT(" ",30)),31,30))),0)+IFERROR(VALUE(TRIM(MID(SUBSTITUTE(SUBSTITUTE(SUBSTITUTE(UPPER($H208)," ",""),"D",""),";",REPT(" ",30)),61,30))),0)+IFERROR(VALUE(TRIM(MID(SUBSTITUTE(SUBSTITUTE(SUBSTITUTE(UPPER($H208)," ",""),"D",""),";",REPT(" ",30)),91,30))),0)+IFERROR(VALUE(TRIM(MID(SUBSTITUTE(SUBSTITUTE(SUBSTITUTE(UPPER($H208)," ",""),"D",""),";",REPT(" ",30)),121,30))),0)+IFERROR(VALUE(TRIM(MID(SUBSTITUTE(SUBSTITUTE(SUBSTITUTE(UPPER($H208)," ",""),"D",""),";",REPT(" ",30)),151,30))),0)+IFERROR(VALUE(TRIM(MID(SUBSTITUTE(SUBSTITUTE(SUBSTITUTE(UPPER($H208)," ",""),"D",""),";",REPT(" ",30)),181,30))),0)+IFERROR(VALUE(TRIM(MID(SUBSTITUTE(SUBSTITUTE(SUBSTITUTE(UPPER($H208)," ",""),"D",""),";",REPT(" ",30)),211,30))),0)))))</f>
        <v/>
      </c>
      <c r="K208" s="24" t="n"/>
      <c r="L208" s="8" t="n"/>
      <c r="M208" s="14" t="n"/>
      <c r="N208" s="25">
        <f>IF($C208="","",IF($E208="Falta","-",MAX(0,MIN(10,8+IFERROR(VALUE(TRIM(MID(SUBSTITUTE(SUBSTITUTE(SUBSTITUTE(UPPER($L208)," ",""),"F",""),";",REPT(" ",30)),1,30))),0)+IFERROR(VALUE(TRIM(MID(SUBSTITUTE(SUBSTITUTE(SUBSTITUTE(UPPER($L208)," ",""),"F",""),";",REPT(" ",30)),31,30))),0)+IFERROR(VALUE(TRIM(MID(SUBSTITUTE(SUBSTITUTE(SUBSTITUTE(UPPER($L208)," ",""),"F",""),";",REPT(" ",30)),61,30))),0)+IFERROR(VALUE(TRIM(MID(SUBSTITUTE(SUBSTITUTE(SUBSTITUTE(UPPER($L208)," ",""),"F",""),";",REPT(" ",30)),91,30))),0)+IFERROR(VALUE(TRIM(MID(SUBSTITUTE(SUBSTITUTE(SUBSTITUTE(UPPER($L208)," ",""),"F",""),";",REPT(" ",30)),121,30))),0)+IFERROR(VALUE(TRIM(MID(SUBSTITUTE(SUBSTITUTE(SUBSTITUTE(UPPER($L208)," ",""),"F",""),";",REPT(" ",30)),151,30))),0)+IFERROR(VALUE(TRIM(MID(SUBSTITUTE(SUBSTITUTE(SUBSTITUTE(UPPER($L208)," ",""),"F",""),";",REPT(" ",30)),181,30))),0)+IFERROR(VALUE(TRIM(MID(SUBSTITUTE(SUBSTITUTE(SUBSTITUTE(UPPER($L208)," ",""),"F",""),";",REPT(" ",30)),211,30))),0)))))</f>
        <v/>
      </c>
      <c r="O208" s="24" t="n"/>
      <c r="P208" s="8" t="n"/>
      <c r="Q208" s="14" t="n"/>
      <c r="R208" s="25">
        <f>IF($C208="","",IF($E208="Falta","-",MAX(0,MIN(10,5+IFERROR(VALUE(TRIM(MID(SUBSTITUTE(SUBSTITUTE(SUBSTITUTE(UPPER($P208)," ",""),"C",""),";",REPT(" ",30)),1,30))),0)+IFERROR(VALUE(TRIM(MID(SUBSTITUTE(SUBSTITUTE(SUBSTITUTE(UPPER($P208)," ",""),"C",""),";",REPT(" ",30)),31,30))),0)+IFERROR(VALUE(TRIM(MID(SUBSTITUTE(SUBSTITUTE(SUBSTITUTE(UPPER($P208)," ",""),"C",""),";",REPT(" ",30)),61,30))),0)+IFERROR(VALUE(TRIM(MID(SUBSTITUTE(SUBSTITUTE(SUBSTITUTE(UPPER($P208)," ",""),"C",""),";",REPT(" ",30)),91,30))),0)+IFERROR(VALUE(TRIM(MID(SUBSTITUTE(SUBSTITUTE(SUBSTITUTE(UPPER($P208)," ",""),"C",""),";",REPT(" ",30)),121,30))),0)+IFERROR(VALUE(TRIM(MID(SUBSTITUTE(SUBSTITUTE(SUBSTITUTE(UPPER($P208)," ",""),"C",""),";",REPT(" ",30)),151,30))),0)+IFERROR(VALUE(TRIM(MID(SUBSTITUTE(SUBSTITUTE(SUBSTITUTE(UPPER($P208)," ",""),"C",""),";",REPT(" ",30)),181,30))),0)+IFERROR(VALUE(TRIM(MID(SUBSTITUTE(SUBSTITUTE(SUBSTITUTE(UPPER($P208)," ",""),"C",""),";",REPT(" ",30)),211,30))),0)))))</f>
        <v/>
      </c>
      <c r="S208" s="24" t="n"/>
      <c r="T208" s="8" t="n"/>
      <c r="U208" s="14" t="n"/>
      <c r="V208" s="25">
        <f>IF($C208="","",IF($E208="Falta","-",MAX(0,MIN(10,5+IFERROR(VALUE(TRIM(MID(SUBSTITUTE(SUBSTITUTE(SUBSTITUTE(UPPER($T208)," ",""),"P",""),";",REPT(" ",30)),1,30))),0)+IFERROR(VALUE(TRIM(MID(SUBSTITUTE(SUBSTITUTE(SUBSTITUTE(UPPER($T208)," ",""),"P",""),";",REPT(" ",30)),31,30))),0)+IFERROR(VALUE(TRIM(MID(SUBSTITUTE(SUBSTITUTE(SUBSTITUTE(UPPER($T208)," ",""),"P",""),";",REPT(" ",30)),61,30))),0)+IFERROR(VALUE(TRIM(MID(SUBSTITUTE(SUBSTITUTE(SUBSTITUTE(UPPER($T208)," ",""),"P",""),";",REPT(" ",30)),91,30))),0)+IFERROR(VALUE(TRIM(MID(SUBSTITUTE(SUBSTITUTE(SUBSTITUTE(UPPER($T208)," ",""),"P",""),";",REPT(" ",30)),121,30))),0)+IFERROR(VALUE(TRIM(MID(SUBSTITUTE(SUBSTITUTE(SUBSTITUTE(UPPER($T208)," ",""),"P",""),";",REPT(" ",30)),151,30))),0)+IFERROR(VALUE(TRIM(MID(SUBSTITUTE(SUBSTITUTE(SUBSTITUTE(UPPER($T208)," ",""),"P",""),";",REPT(" ",30)),181,30))),0)+IFERROR(VALUE(TRIM(MID(SUBSTITUTE(SUBSTITUTE(SUBSTITUTE(UPPER($T208)," ",""),"P",""),";",REPT(" ",30)),211,30))),0)))))</f>
        <v/>
      </c>
      <c r="W208" s="24" t="n"/>
      <c r="X208" s="14" t="n"/>
    </row>
    <row r="209">
      <c r="A209" s="6">
        <f>IF($C209="","",42)</f>
        <v/>
      </c>
      <c r="B209" s="6">
        <f>IF($C209="","","1ª Sessão")</f>
        <v/>
      </c>
      <c r="C209" s="6">
        <f>IF(Preenchimento!$B$51="","",Preenchimento!$B$51)</f>
        <v/>
      </c>
      <c r="D209" s="6">
        <f>IF($C209="","",IF(Preenchimento!$C$51="","-",Preenchimento!$C$51))</f>
        <v/>
      </c>
      <c r="E209" s="6" t="n"/>
      <c r="F209" s="6" t="n"/>
      <c r="G209" s="26" t="n"/>
      <c r="H209" s="6" t="n"/>
      <c r="I209" s="13" t="n"/>
      <c r="J209" s="27">
        <f>IF($C209="","",IF($E209="Falta","-",MAX(0,MIN(10,8+IFERROR(VALUE(TRIM(MID(SUBSTITUTE(SUBSTITUTE(SUBSTITUTE(UPPER($H209)," ",""),"D",""),";",REPT(" ",30)),1,30))),0)+IFERROR(VALUE(TRIM(MID(SUBSTITUTE(SUBSTITUTE(SUBSTITUTE(UPPER($H209)," ",""),"D",""),";",REPT(" ",30)),31,30))),0)+IFERROR(VALUE(TRIM(MID(SUBSTITUTE(SUBSTITUTE(SUBSTITUTE(UPPER($H209)," ",""),"D",""),";",REPT(" ",30)),61,30))),0)+IFERROR(VALUE(TRIM(MID(SUBSTITUTE(SUBSTITUTE(SUBSTITUTE(UPPER($H209)," ",""),"D",""),";",REPT(" ",30)),91,30))),0)+IFERROR(VALUE(TRIM(MID(SUBSTITUTE(SUBSTITUTE(SUBSTITUTE(UPPER($H209)," ",""),"D",""),";",REPT(" ",30)),121,30))),0)+IFERROR(VALUE(TRIM(MID(SUBSTITUTE(SUBSTITUTE(SUBSTITUTE(UPPER($H209)," ",""),"D",""),";",REPT(" ",30)),151,30))),0)+IFERROR(VALUE(TRIM(MID(SUBSTITUTE(SUBSTITUTE(SUBSTITUTE(UPPER($H209)," ",""),"D",""),";",REPT(" ",30)),181,30))),0)+IFERROR(VALUE(TRIM(MID(SUBSTITUTE(SUBSTITUTE(SUBSTITUTE(UPPER($H209)," ",""),"D",""),";",REPT(" ",30)),211,30))),0)))))</f>
        <v/>
      </c>
      <c r="K209" s="26" t="n"/>
      <c r="L209" s="6" t="n"/>
      <c r="M209" s="13" t="n"/>
      <c r="N209" s="27">
        <f>IF($C209="","",IF($E209="Falta","-",MAX(0,MIN(10,8+IFERROR(VALUE(TRIM(MID(SUBSTITUTE(SUBSTITUTE(SUBSTITUTE(UPPER($L209)," ",""),"F",""),";",REPT(" ",30)),1,30))),0)+IFERROR(VALUE(TRIM(MID(SUBSTITUTE(SUBSTITUTE(SUBSTITUTE(UPPER($L209)," ",""),"F",""),";",REPT(" ",30)),31,30))),0)+IFERROR(VALUE(TRIM(MID(SUBSTITUTE(SUBSTITUTE(SUBSTITUTE(UPPER($L209)," ",""),"F",""),";",REPT(" ",30)),61,30))),0)+IFERROR(VALUE(TRIM(MID(SUBSTITUTE(SUBSTITUTE(SUBSTITUTE(UPPER($L209)," ",""),"F",""),";",REPT(" ",30)),91,30))),0)+IFERROR(VALUE(TRIM(MID(SUBSTITUTE(SUBSTITUTE(SUBSTITUTE(UPPER($L209)," ",""),"F",""),";",REPT(" ",30)),121,30))),0)+IFERROR(VALUE(TRIM(MID(SUBSTITUTE(SUBSTITUTE(SUBSTITUTE(UPPER($L209)," ",""),"F",""),";",REPT(" ",30)),151,30))),0)+IFERROR(VALUE(TRIM(MID(SUBSTITUTE(SUBSTITUTE(SUBSTITUTE(UPPER($L209)," ",""),"F",""),";",REPT(" ",30)),181,30))),0)+IFERROR(VALUE(TRIM(MID(SUBSTITUTE(SUBSTITUTE(SUBSTITUTE(UPPER($L209)," ",""),"F",""),";",REPT(" ",30)),211,30))),0)))))</f>
        <v/>
      </c>
      <c r="O209" s="26" t="n"/>
      <c r="P209" s="6" t="n"/>
      <c r="Q209" s="13" t="n"/>
      <c r="R209" s="27">
        <f>IF($C209="","",IF($E209="Falta","-",MAX(0,MIN(10,5+IFERROR(VALUE(TRIM(MID(SUBSTITUTE(SUBSTITUTE(SUBSTITUTE(UPPER($P209)," ",""),"C",""),";",REPT(" ",30)),1,30))),0)+IFERROR(VALUE(TRIM(MID(SUBSTITUTE(SUBSTITUTE(SUBSTITUTE(UPPER($P209)," ",""),"C",""),";",REPT(" ",30)),31,30))),0)+IFERROR(VALUE(TRIM(MID(SUBSTITUTE(SUBSTITUTE(SUBSTITUTE(UPPER($P209)," ",""),"C",""),";",REPT(" ",30)),61,30))),0)+IFERROR(VALUE(TRIM(MID(SUBSTITUTE(SUBSTITUTE(SUBSTITUTE(UPPER($P209)," ",""),"C",""),";",REPT(" ",30)),91,30))),0)+IFERROR(VALUE(TRIM(MID(SUBSTITUTE(SUBSTITUTE(SUBSTITUTE(UPPER($P209)," ",""),"C",""),";",REPT(" ",30)),121,30))),0)+IFERROR(VALUE(TRIM(MID(SUBSTITUTE(SUBSTITUTE(SUBSTITUTE(UPPER($P209)," ",""),"C",""),";",REPT(" ",30)),151,30))),0)+IFERROR(VALUE(TRIM(MID(SUBSTITUTE(SUBSTITUTE(SUBSTITUTE(UPPER($P209)," ",""),"C",""),";",REPT(" ",30)),181,30))),0)+IFERROR(VALUE(TRIM(MID(SUBSTITUTE(SUBSTITUTE(SUBSTITUTE(UPPER($P209)," ",""),"C",""),";",REPT(" ",30)),211,30))),0)))))</f>
        <v/>
      </c>
      <c r="S209" s="26" t="n"/>
      <c r="T209" s="6" t="n"/>
      <c r="U209" s="13" t="n"/>
      <c r="V209" s="27">
        <f>IF($C209="","",IF($E209="Falta","-",MAX(0,MIN(10,5+IFERROR(VALUE(TRIM(MID(SUBSTITUTE(SUBSTITUTE(SUBSTITUTE(UPPER($T209)," ",""),"P",""),";",REPT(" ",30)),1,30))),0)+IFERROR(VALUE(TRIM(MID(SUBSTITUTE(SUBSTITUTE(SUBSTITUTE(UPPER($T209)," ",""),"P",""),";",REPT(" ",30)),31,30))),0)+IFERROR(VALUE(TRIM(MID(SUBSTITUTE(SUBSTITUTE(SUBSTITUTE(UPPER($T209)," ",""),"P",""),";",REPT(" ",30)),61,30))),0)+IFERROR(VALUE(TRIM(MID(SUBSTITUTE(SUBSTITUTE(SUBSTITUTE(UPPER($T209)," ",""),"P",""),";",REPT(" ",30)),91,30))),0)+IFERROR(VALUE(TRIM(MID(SUBSTITUTE(SUBSTITUTE(SUBSTITUTE(UPPER($T209)," ",""),"P",""),";",REPT(" ",30)),121,30))),0)+IFERROR(VALUE(TRIM(MID(SUBSTITUTE(SUBSTITUTE(SUBSTITUTE(UPPER($T209)," ",""),"P",""),";",REPT(" ",30)),151,30))),0)+IFERROR(VALUE(TRIM(MID(SUBSTITUTE(SUBSTITUTE(SUBSTITUTE(UPPER($T209)," ",""),"P",""),";",REPT(" ",30)),181,30))),0)+IFERROR(VALUE(TRIM(MID(SUBSTITUTE(SUBSTITUTE(SUBSTITUTE(UPPER($T209)," ",""),"P",""),";",REPT(" ",30)),211,30))),0)))))</f>
        <v/>
      </c>
      <c r="W209" s="26" t="n"/>
      <c r="X209" s="13" t="n"/>
    </row>
    <row r="210">
      <c r="A210" s="6">
        <f>IF($C210="","",42)</f>
        <v/>
      </c>
      <c r="B210" s="6">
        <f>IF($C210="","","2ª Sessão")</f>
        <v/>
      </c>
      <c r="C210" s="6">
        <f>IF(Preenchimento!$B$51="","",Preenchimento!$B$51)</f>
        <v/>
      </c>
      <c r="D210" s="6">
        <f>IF($C210="","",IF(Preenchimento!$C$51="","-",Preenchimento!$C$51))</f>
        <v/>
      </c>
      <c r="E210" s="6" t="n"/>
      <c r="F210" s="6" t="n"/>
      <c r="G210" s="26" t="n"/>
      <c r="H210" s="6" t="n"/>
      <c r="I210" s="13" t="n"/>
      <c r="J210" s="27">
        <f>IF($C210="","",IF($E210="Falta","-",MAX(0,MIN(10,8+IFERROR(VALUE(TRIM(MID(SUBSTITUTE(SUBSTITUTE(SUBSTITUTE(UPPER($H210)," ",""),"D",""),";",REPT(" ",30)),1,30))),0)+IFERROR(VALUE(TRIM(MID(SUBSTITUTE(SUBSTITUTE(SUBSTITUTE(UPPER($H210)," ",""),"D",""),";",REPT(" ",30)),31,30))),0)+IFERROR(VALUE(TRIM(MID(SUBSTITUTE(SUBSTITUTE(SUBSTITUTE(UPPER($H210)," ",""),"D",""),";",REPT(" ",30)),61,30))),0)+IFERROR(VALUE(TRIM(MID(SUBSTITUTE(SUBSTITUTE(SUBSTITUTE(UPPER($H210)," ",""),"D",""),";",REPT(" ",30)),91,30))),0)+IFERROR(VALUE(TRIM(MID(SUBSTITUTE(SUBSTITUTE(SUBSTITUTE(UPPER($H210)," ",""),"D",""),";",REPT(" ",30)),121,30))),0)+IFERROR(VALUE(TRIM(MID(SUBSTITUTE(SUBSTITUTE(SUBSTITUTE(UPPER($H210)," ",""),"D",""),";",REPT(" ",30)),151,30))),0)+IFERROR(VALUE(TRIM(MID(SUBSTITUTE(SUBSTITUTE(SUBSTITUTE(UPPER($H210)," ",""),"D",""),";",REPT(" ",30)),181,30))),0)+IFERROR(VALUE(TRIM(MID(SUBSTITUTE(SUBSTITUTE(SUBSTITUTE(UPPER($H210)," ",""),"D",""),";",REPT(" ",30)),211,30))),0)))))</f>
        <v/>
      </c>
      <c r="K210" s="26" t="n"/>
      <c r="L210" s="6" t="n"/>
      <c r="M210" s="13" t="n"/>
      <c r="N210" s="27">
        <f>IF($C210="","",IF($E210="Falta","-",MAX(0,MIN(10,8+IFERROR(VALUE(TRIM(MID(SUBSTITUTE(SUBSTITUTE(SUBSTITUTE(UPPER($L210)," ",""),"F",""),";",REPT(" ",30)),1,30))),0)+IFERROR(VALUE(TRIM(MID(SUBSTITUTE(SUBSTITUTE(SUBSTITUTE(UPPER($L210)," ",""),"F",""),";",REPT(" ",30)),31,30))),0)+IFERROR(VALUE(TRIM(MID(SUBSTITUTE(SUBSTITUTE(SUBSTITUTE(UPPER($L210)," ",""),"F",""),";",REPT(" ",30)),61,30))),0)+IFERROR(VALUE(TRIM(MID(SUBSTITUTE(SUBSTITUTE(SUBSTITUTE(UPPER($L210)," ",""),"F",""),";",REPT(" ",30)),91,30))),0)+IFERROR(VALUE(TRIM(MID(SUBSTITUTE(SUBSTITUTE(SUBSTITUTE(UPPER($L210)," ",""),"F",""),";",REPT(" ",30)),121,30))),0)+IFERROR(VALUE(TRIM(MID(SUBSTITUTE(SUBSTITUTE(SUBSTITUTE(UPPER($L210)," ",""),"F",""),";",REPT(" ",30)),151,30))),0)+IFERROR(VALUE(TRIM(MID(SUBSTITUTE(SUBSTITUTE(SUBSTITUTE(UPPER($L210)," ",""),"F",""),";",REPT(" ",30)),181,30))),0)+IFERROR(VALUE(TRIM(MID(SUBSTITUTE(SUBSTITUTE(SUBSTITUTE(UPPER($L210)," ",""),"F",""),";",REPT(" ",30)),211,30))),0)))))</f>
        <v/>
      </c>
      <c r="O210" s="26" t="n"/>
      <c r="P210" s="6" t="n"/>
      <c r="Q210" s="13" t="n"/>
      <c r="R210" s="27">
        <f>IF($C210="","",IF($E210="Falta","-",MAX(0,MIN(10,5+IFERROR(VALUE(TRIM(MID(SUBSTITUTE(SUBSTITUTE(SUBSTITUTE(UPPER($P210)," ",""),"C",""),";",REPT(" ",30)),1,30))),0)+IFERROR(VALUE(TRIM(MID(SUBSTITUTE(SUBSTITUTE(SUBSTITUTE(UPPER($P210)," ",""),"C",""),";",REPT(" ",30)),31,30))),0)+IFERROR(VALUE(TRIM(MID(SUBSTITUTE(SUBSTITUTE(SUBSTITUTE(UPPER($P210)," ",""),"C",""),";",REPT(" ",30)),61,30))),0)+IFERROR(VALUE(TRIM(MID(SUBSTITUTE(SUBSTITUTE(SUBSTITUTE(UPPER($P210)," ",""),"C",""),";",REPT(" ",30)),91,30))),0)+IFERROR(VALUE(TRIM(MID(SUBSTITUTE(SUBSTITUTE(SUBSTITUTE(UPPER($P210)," ",""),"C",""),";",REPT(" ",30)),121,30))),0)+IFERROR(VALUE(TRIM(MID(SUBSTITUTE(SUBSTITUTE(SUBSTITUTE(UPPER($P210)," ",""),"C",""),";",REPT(" ",30)),151,30))),0)+IFERROR(VALUE(TRIM(MID(SUBSTITUTE(SUBSTITUTE(SUBSTITUTE(UPPER($P210)," ",""),"C",""),";",REPT(" ",30)),181,30))),0)+IFERROR(VALUE(TRIM(MID(SUBSTITUTE(SUBSTITUTE(SUBSTITUTE(UPPER($P210)," ",""),"C",""),";",REPT(" ",30)),211,30))),0)))))</f>
        <v/>
      </c>
      <c r="S210" s="26" t="n"/>
      <c r="T210" s="6" t="n"/>
      <c r="U210" s="13" t="n"/>
      <c r="V210" s="27">
        <f>IF($C210="","",IF($E210="Falta","-",MAX(0,MIN(10,5+IFERROR(VALUE(TRIM(MID(SUBSTITUTE(SUBSTITUTE(SUBSTITUTE(UPPER($T210)," ",""),"P",""),";",REPT(" ",30)),1,30))),0)+IFERROR(VALUE(TRIM(MID(SUBSTITUTE(SUBSTITUTE(SUBSTITUTE(UPPER($T210)," ",""),"P",""),";",REPT(" ",30)),31,30))),0)+IFERROR(VALUE(TRIM(MID(SUBSTITUTE(SUBSTITUTE(SUBSTITUTE(UPPER($T210)," ",""),"P",""),";",REPT(" ",30)),61,30))),0)+IFERROR(VALUE(TRIM(MID(SUBSTITUTE(SUBSTITUTE(SUBSTITUTE(UPPER($T210)," ",""),"P",""),";",REPT(" ",30)),91,30))),0)+IFERROR(VALUE(TRIM(MID(SUBSTITUTE(SUBSTITUTE(SUBSTITUTE(UPPER($T210)," ",""),"P",""),";",REPT(" ",30)),121,30))),0)+IFERROR(VALUE(TRIM(MID(SUBSTITUTE(SUBSTITUTE(SUBSTITUTE(UPPER($T210)," ",""),"P",""),";",REPT(" ",30)),151,30))),0)+IFERROR(VALUE(TRIM(MID(SUBSTITUTE(SUBSTITUTE(SUBSTITUTE(UPPER($T210)," ",""),"P",""),";",REPT(" ",30)),181,30))),0)+IFERROR(VALUE(TRIM(MID(SUBSTITUTE(SUBSTITUTE(SUBSTITUTE(UPPER($T210)," ",""),"P",""),";",REPT(" ",30)),211,30))),0)))))</f>
        <v/>
      </c>
      <c r="W210" s="26" t="n"/>
      <c r="X210" s="13" t="n"/>
    </row>
    <row r="211">
      <c r="A211" s="6">
        <f>IF($C211="","",42)</f>
        <v/>
      </c>
      <c r="B211" s="6">
        <f>IF($C211="","","3ª Sessão")</f>
        <v/>
      </c>
      <c r="C211" s="6">
        <f>IF(Preenchimento!$B$51="","",Preenchimento!$B$51)</f>
        <v/>
      </c>
      <c r="D211" s="6">
        <f>IF($C211="","",IF(Preenchimento!$C$51="","-",Preenchimento!$C$51))</f>
        <v/>
      </c>
      <c r="E211" s="6" t="n"/>
      <c r="F211" s="6" t="n"/>
      <c r="G211" s="26" t="n"/>
      <c r="H211" s="6" t="n"/>
      <c r="I211" s="13" t="n"/>
      <c r="J211" s="27">
        <f>IF($C211="","",IF($E211="Falta","-",MAX(0,MIN(10,8+IFERROR(VALUE(TRIM(MID(SUBSTITUTE(SUBSTITUTE(SUBSTITUTE(UPPER($H211)," ",""),"D",""),";",REPT(" ",30)),1,30))),0)+IFERROR(VALUE(TRIM(MID(SUBSTITUTE(SUBSTITUTE(SUBSTITUTE(UPPER($H211)," ",""),"D",""),";",REPT(" ",30)),31,30))),0)+IFERROR(VALUE(TRIM(MID(SUBSTITUTE(SUBSTITUTE(SUBSTITUTE(UPPER($H211)," ",""),"D",""),";",REPT(" ",30)),61,30))),0)+IFERROR(VALUE(TRIM(MID(SUBSTITUTE(SUBSTITUTE(SUBSTITUTE(UPPER($H211)," ",""),"D",""),";",REPT(" ",30)),91,30))),0)+IFERROR(VALUE(TRIM(MID(SUBSTITUTE(SUBSTITUTE(SUBSTITUTE(UPPER($H211)," ",""),"D",""),";",REPT(" ",30)),121,30))),0)+IFERROR(VALUE(TRIM(MID(SUBSTITUTE(SUBSTITUTE(SUBSTITUTE(UPPER($H211)," ",""),"D",""),";",REPT(" ",30)),151,30))),0)+IFERROR(VALUE(TRIM(MID(SUBSTITUTE(SUBSTITUTE(SUBSTITUTE(UPPER($H211)," ",""),"D",""),";",REPT(" ",30)),181,30))),0)+IFERROR(VALUE(TRIM(MID(SUBSTITUTE(SUBSTITUTE(SUBSTITUTE(UPPER($H211)," ",""),"D",""),";",REPT(" ",30)),211,30))),0)))))</f>
        <v/>
      </c>
      <c r="K211" s="26" t="n"/>
      <c r="L211" s="6" t="n"/>
      <c r="M211" s="13" t="n"/>
      <c r="N211" s="27">
        <f>IF($C211="","",IF($E211="Falta","-",MAX(0,MIN(10,8+IFERROR(VALUE(TRIM(MID(SUBSTITUTE(SUBSTITUTE(SUBSTITUTE(UPPER($L211)," ",""),"F",""),";",REPT(" ",30)),1,30))),0)+IFERROR(VALUE(TRIM(MID(SUBSTITUTE(SUBSTITUTE(SUBSTITUTE(UPPER($L211)," ",""),"F",""),";",REPT(" ",30)),31,30))),0)+IFERROR(VALUE(TRIM(MID(SUBSTITUTE(SUBSTITUTE(SUBSTITUTE(UPPER($L211)," ",""),"F",""),";",REPT(" ",30)),61,30))),0)+IFERROR(VALUE(TRIM(MID(SUBSTITUTE(SUBSTITUTE(SUBSTITUTE(UPPER($L211)," ",""),"F",""),";",REPT(" ",30)),91,30))),0)+IFERROR(VALUE(TRIM(MID(SUBSTITUTE(SUBSTITUTE(SUBSTITUTE(UPPER($L211)," ",""),"F",""),";",REPT(" ",30)),121,30))),0)+IFERROR(VALUE(TRIM(MID(SUBSTITUTE(SUBSTITUTE(SUBSTITUTE(UPPER($L211)," ",""),"F",""),";",REPT(" ",30)),151,30))),0)+IFERROR(VALUE(TRIM(MID(SUBSTITUTE(SUBSTITUTE(SUBSTITUTE(UPPER($L211)," ",""),"F",""),";",REPT(" ",30)),181,30))),0)+IFERROR(VALUE(TRIM(MID(SUBSTITUTE(SUBSTITUTE(SUBSTITUTE(UPPER($L211)," ",""),"F",""),";",REPT(" ",30)),211,30))),0)))))</f>
        <v/>
      </c>
      <c r="O211" s="26" t="n"/>
      <c r="P211" s="6" t="n"/>
      <c r="Q211" s="13" t="n"/>
      <c r="R211" s="27">
        <f>IF($C211="","",IF($E211="Falta","-",MAX(0,MIN(10,5+IFERROR(VALUE(TRIM(MID(SUBSTITUTE(SUBSTITUTE(SUBSTITUTE(UPPER($P211)," ",""),"C",""),";",REPT(" ",30)),1,30))),0)+IFERROR(VALUE(TRIM(MID(SUBSTITUTE(SUBSTITUTE(SUBSTITUTE(UPPER($P211)," ",""),"C",""),";",REPT(" ",30)),31,30))),0)+IFERROR(VALUE(TRIM(MID(SUBSTITUTE(SUBSTITUTE(SUBSTITUTE(UPPER($P211)," ",""),"C",""),";",REPT(" ",30)),61,30))),0)+IFERROR(VALUE(TRIM(MID(SUBSTITUTE(SUBSTITUTE(SUBSTITUTE(UPPER($P211)," ",""),"C",""),";",REPT(" ",30)),91,30))),0)+IFERROR(VALUE(TRIM(MID(SUBSTITUTE(SUBSTITUTE(SUBSTITUTE(UPPER($P211)," ",""),"C",""),";",REPT(" ",30)),121,30))),0)+IFERROR(VALUE(TRIM(MID(SUBSTITUTE(SUBSTITUTE(SUBSTITUTE(UPPER($P211)," ",""),"C",""),";",REPT(" ",30)),151,30))),0)+IFERROR(VALUE(TRIM(MID(SUBSTITUTE(SUBSTITUTE(SUBSTITUTE(UPPER($P211)," ",""),"C",""),";",REPT(" ",30)),181,30))),0)+IFERROR(VALUE(TRIM(MID(SUBSTITUTE(SUBSTITUTE(SUBSTITUTE(UPPER($P211)," ",""),"C",""),";",REPT(" ",30)),211,30))),0)))))</f>
        <v/>
      </c>
      <c r="S211" s="26" t="n"/>
      <c r="T211" s="6" t="n"/>
      <c r="U211" s="13" t="n"/>
      <c r="V211" s="27">
        <f>IF($C211="","",IF($E211="Falta","-",MAX(0,MIN(10,5+IFERROR(VALUE(TRIM(MID(SUBSTITUTE(SUBSTITUTE(SUBSTITUTE(UPPER($T211)," ",""),"P",""),";",REPT(" ",30)),1,30))),0)+IFERROR(VALUE(TRIM(MID(SUBSTITUTE(SUBSTITUTE(SUBSTITUTE(UPPER($T211)," ",""),"P",""),";",REPT(" ",30)),31,30))),0)+IFERROR(VALUE(TRIM(MID(SUBSTITUTE(SUBSTITUTE(SUBSTITUTE(UPPER($T211)," ",""),"P",""),";",REPT(" ",30)),61,30))),0)+IFERROR(VALUE(TRIM(MID(SUBSTITUTE(SUBSTITUTE(SUBSTITUTE(UPPER($T211)," ",""),"P",""),";",REPT(" ",30)),91,30))),0)+IFERROR(VALUE(TRIM(MID(SUBSTITUTE(SUBSTITUTE(SUBSTITUTE(UPPER($T211)," ",""),"P",""),";",REPT(" ",30)),121,30))),0)+IFERROR(VALUE(TRIM(MID(SUBSTITUTE(SUBSTITUTE(SUBSTITUTE(UPPER($T211)," ",""),"P",""),";",REPT(" ",30)),151,30))),0)+IFERROR(VALUE(TRIM(MID(SUBSTITUTE(SUBSTITUTE(SUBSTITUTE(UPPER($T211)," ",""),"P",""),";",REPT(" ",30)),181,30))),0)+IFERROR(VALUE(TRIM(MID(SUBSTITUTE(SUBSTITUTE(SUBSTITUTE(UPPER($T211)," ",""),"P",""),";",REPT(" ",30)),211,30))),0)))))</f>
        <v/>
      </c>
      <c r="W211" s="26" t="n"/>
      <c r="X211" s="13" t="n"/>
    </row>
    <row r="212">
      <c r="A212" s="6">
        <f>IF($C212="","",42)</f>
        <v/>
      </c>
      <c r="B212" s="6">
        <f>IF($C212="","","4ª Sessão")</f>
        <v/>
      </c>
      <c r="C212" s="6">
        <f>IF(Preenchimento!$B$51="","",Preenchimento!$B$51)</f>
        <v/>
      </c>
      <c r="D212" s="6">
        <f>IF($C212="","",IF(Preenchimento!$C$51="","-",Preenchimento!$C$51))</f>
        <v/>
      </c>
      <c r="E212" s="6" t="n"/>
      <c r="F212" s="6" t="n"/>
      <c r="G212" s="26" t="n"/>
      <c r="H212" s="6" t="n"/>
      <c r="I212" s="13" t="n"/>
      <c r="J212" s="27">
        <f>IF($C212="","",IF($E212="Falta","-",MAX(0,MIN(10,8+IFERROR(VALUE(TRIM(MID(SUBSTITUTE(SUBSTITUTE(SUBSTITUTE(UPPER($H212)," ",""),"D",""),";",REPT(" ",30)),1,30))),0)+IFERROR(VALUE(TRIM(MID(SUBSTITUTE(SUBSTITUTE(SUBSTITUTE(UPPER($H212)," ",""),"D",""),";",REPT(" ",30)),31,30))),0)+IFERROR(VALUE(TRIM(MID(SUBSTITUTE(SUBSTITUTE(SUBSTITUTE(UPPER($H212)," ",""),"D",""),";",REPT(" ",30)),61,30))),0)+IFERROR(VALUE(TRIM(MID(SUBSTITUTE(SUBSTITUTE(SUBSTITUTE(UPPER($H212)," ",""),"D",""),";",REPT(" ",30)),91,30))),0)+IFERROR(VALUE(TRIM(MID(SUBSTITUTE(SUBSTITUTE(SUBSTITUTE(UPPER($H212)," ",""),"D",""),";",REPT(" ",30)),121,30))),0)+IFERROR(VALUE(TRIM(MID(SUBSTITUTE(SUBSTITUTE(SUBSTITUTE(UPPER($H212)," ",""),"D",""),";",REPT(" ",30)),151,30))),0)+IFERROR(VALUE(TRIM(MID(SUBSTITUTE(SUBSTITUTE(SUBSTITUTE(UPPER($H212)," ",""),"D",""),";",REPT(" ",30)),181,30))),0)+IFERROR(VALUE(TRIM(MID(SUBSTITUTE(SUBSTITUTE(SUBSTITUTE(UPPER($H212)," ",""),"D",""),";",REPT(" ",30)),211,30))),0)))))</f>
        <v/>
      </c>
      <c r="K212" s="26" t="n"/>
      <c r="L212" s="6" t="n"/>
      <c r="M212" s="13" t="n"/>
      <c r="N212" s="27">
        <f>IF($C212="","",IF($E212="Falta","-",MAX(0,MIN(10,8+IFERROR(VALUE(TRIM(MID(SUBSTITUTE(SUBSTITUTE(SUBSTITUTE(UPPER($L212)," ",""),"F",""),";",REPT(" ",30)),1,30))),0)+IFERROR(VALUE(TRIM(MID(SUBSTITUTE(SUBSTITUTE(SUBSTITUTE(UPPER($L212)," ",""),"F",""),";",REPT(" ",30)),31,30))),0)+IFERROR(VALUE(TRIM(MID(SUBSTITUTE(SUBSTITUTE(SUBSTITUTE(UPPER($L212)," ",""),"F",""),";",REPT(" ",30)),61,30))),0)+IFERROR(VALUE(TRIM(MID(SUBSTITUTE(SUBSTITUTE(SUBSTITUTE(UPPER($L212)," ",""),"F",""),";",REPT(" ",30)),91,30))),0)+IFERROR(VALUE(TRIM(MID(SUBSTITUTE(SUBSTITUTE(SUBSTITUTE(UPPER($L212)," ",""),"F",""),";",REPT(" ",30)),121,30))),0)+IFERROR(VALUE(TRIM(MID(SUBSTITUTE(SUBSTITUTE(SUBSTITUTE(UPPER($L212)," ",""),"F",""),";",REPT(" ",30)),151,30))),0)+IFERROR(VALUE(TRIM(MID(SUBSTITUTE(SUBSTITUTE(SUBSTITUTE(UPPER($L212)," ",""),"F",""),";",REPT(" ",30)),181,30))),0)+IFERROR(VALUE(TRIM(MID(SUBSTITUTE(SUBSTITUTE(SUBSTITUTE(UPPER($L212)," ",""),"F",""),";",REPT(" ",30)),211,30))),0)))))</f>
        <v/>
      </c>
      <c r="O212" s="26" t="n"/>
      <c r="P212" s="6" t="n"/>
      <c r="Q212" s="13" t="n"/>
      <c r="R212" s="27">
        <f>IF($C212="","",IF($E212="Falta","-",MAX(0,MIN(10,5+IFERROR(VALUE(TRIM(MID(SUBSTITUTE(SUBSTITUTE(SUBSTITUTE(UPPER($P212)," ",""),"C",""),";",REPT(" ",30)),1,30))),0)+IFERROR(VALUE(TRIM(MID(SUBSTITUTE(SUBSTITUTE(SUBSTITUTE(UPPER($P212)," ",""),"C",""),";",REPT(" ",30)),31,30))),0)+IFERROR(VALUE(TRIM(MID(SUBSTITUTE(SUBSTITUTE(SUBSTITUTE(UPPER($P212)," ",""),"C",""),";",REPT(" ",30)),61,30))),0)+IFERROR(VALUE(TRIM(MID(SUBSTITUTE(SUBSTITUTE(SUBSTITUTE(UPPER($P212)," ",""),"C",""),";",REPT(" ",30)),91,30))),0)+IFERROR(VALUE(TRIM(MID(SUBSTITUTE(SUBSTITUTE(SUBSTITUTE(UPPER($P212)," ",""),"C",""),";",REPT(" ",30)),121,30))),0)+IFERROR(VALUE(TRIM(MID(SUBSTITUTE(SUBSTITUTE(SUBSTITUTE(UPPER($P212)," ",""),"C",""),";",REPT(" ",30)),151,30))),0)+IFERROR(VALUE(TRIM(MID(SUBSTITUTE(SUBSTITUTE(SUBSTITUTE(UPPER($P212)," ",""),"C",""),";",REPT(" ",30)),181,30))),0)+IFERROR(VALUE(TRIM(MID(SUBSTITUTE(SUBSTITUTE(SUBSTITUTE(UPPER($P212)," ",""),"C",""),";",REPT(" ",30)),211,30))),0)))))</f>
        <v/>
      </c>
      <c r="S212" s="26" t="n"/>
      <c r="T212" s="6" t="n"/>
      <c r="U212" s="13" t="n"/>
      <c r="V212" s="27">
        <f>IF($C212="","",IF($E212="Falta","-",MAX(0,MIN(10,5+IFERROR(VALUE(TRIM(MID(SUBSTITUTE(SUBSTITUTE(SUBSTITUTE(UPPER($T212)," ",""),"P",""),";",REPT(" ",30)),1,30))),0)+IFERROR(VALUE(TRIM(MID(SUBSTITUTE(SUBSTITUTE(SUBSTITUTE(UPPER($T212)," ",""),"P",""),";",REPT(" ",30)),31,30))),0)+IFERROR(VALUE(TRIM(MID(SUBSTITUTE(SUBSTITUTE(SUBSTITUTE(UPPER($T212)," ",""),"P",""),";",REPT(" ",30)),61,30))),0)+IFERROR(VALUE(TRIM(MID(SUBSTITUTE(SUBSTITUTE(SUBSTITUTE(UPPER($T212)," ",""),"P",""),";",REPT(" ",30)),91,30))),0)+IFERROR(VALUE(TRIM(MID(SUBSTITUTE(SUBSTITUTE(SUBSTITUTE(UPPER($T212)," ",""),"P",""),";",REPT(" ",30)),121,30))),0)+IFERROR(VALUE(TRIM(MID(SUBSTITUTE(SUBSTITUTE(SUBSTITUTE(UPPER($T212)," ",""),"P",""),";",REPT(" ",30)),151,30))),0)+IFERROR(VALUE(TRIM(MID(SUBSTITUTE(SUBSTITUTE(SUBSTITUTE(UPPER($T212)," ",""),"P",""),";",REPT(" ",30)),181,30))),0)+IFERROR(VALUE(TRIM(MID(SUBSTITUTE(SUBSTITUTE(SUBSTITUTE(UPPER($T212)," ",""),"P",""),";",REPT(" ",30)),211,30))),0)))))</f>
        <v/>
      </c>
      <c r="W212" s="26" t="n"/>
      <c r="X212" s="13" t="n"/>
    </row>
    <row r="213">
      <c r="A213" s="6">
        <f>IF($C213="","",42)</f>
        <v/>
      </c>
      <c r="B213" s="6">
        <f>IF($C213="","","5ª Sessão")</f>
        <v/>
      </c>
      <c r="C213" s="6">
        <f>IF(Preenchimento!$B$51="","",Preenchimento!$B$51)</f>
        <v/>
      </c>
      <c r="D213" s="6">
        <f>IF($C213="","",IF(Preenchimento!$C$51="","-",Preenchimento!$C$51))</f>
        <v/>
      </c>
      <c r="E213" s="6" t="n"/>
      <c r="F213" s="6" t="n"/>
      <c r="G213" s="26" t="n"/>
      <c r="H213" s="6" t="n"/>
      <c r="I213" s="13" t="n"/>
      <c r="J213" s="27">
        <f>IF($C213="","",IF($E213="Falta","-",MAX(0,MIN(10,8+IFERROR(VALUE(TRIM(MID(SUBSTITUTE(SUBSTITUTE(SUBSTITUTE(UPPER($H213)," ",""),"D",""),";",REPT(" ",30)),1,30))),0)+IFERROR(VALUE(TRIM(MID(SUBSTITUTE(SUBSTITUTE(SUBSTITUTE(UPPER($H213)," ",""),"D",""),";",REPT(" ",30)),31,30))),0)+IFERROR(VALUE(TRIM(MID(SUBSTITUTE(SUBSTITUTE(SUBSTITUTE(UPPER($H213)," ",""),"D",""),";",REPT(" ",30)),61,30))),0)+IFERROR(VALUE(TRIM(MID(SUBSTITUTE(SUBSTITUTE(SUBSTITUTE(UPPER($H213)," ",""),"D",""),";",REPT(" ",30)),91,30))),0)+IFERROR(VALUE(TRIM(MID(SUBSTITUTE(SUBSTITUTE(SUBSTITUTE(UPPER($H213)," ",""),"D",""),";",REPT(" ",30)),121,30))),0)+IFERROR(VALUE(TRIM(MID(SUBSTITUTE(SUBSTITUTE(SUBSTITUTE(UPPER($H213)," ",""),"D",""),";",REPT(" ",30)),151,30))),0)+IFERROR(VALUE(TRIM(MID(SUBSTITUTE(SUBSTITUTE(SUBSTITUTE(UPPER($H213)," ",""),"D",""),";",REPT(" ",30)),181,30))),0)+IFERROR(VALUE(TRIM(MID(SUBSTITUTE(SUBSTITUTE(SUBSTITUTE(UPPER($H213)," ",""),"D",""),";",REPT(" ",30)),211,30))),0)))))</f>
        <v/>
      </c>
      <c r="K213" s="26" t="n"/>
      <c r="L213" s="6" t="n"/>
      <c r="M213" s="13" t="n"/>
      <c r="N213" s="27">
        <f>IF($C213="","",IF($E213="Falta","-",MAX(0,MIN(10,8+IFERROR(VALUE(TRIM(MID(SUBSTITUTE(SUBSTITUTE(SUBSTITUTE(UPPER($L213)," ",""),"F",""),";",REPT(" ",30)),1,30))),0)+IFERROR(VALUE(TRIM(MID(SUBSTITUTE(SUBSTITUTE(SUBSTITUTE(UPPER($L213)," ",""),"F",""),";",REPT(" ",30)),31,30))),0)+IFERROR(VALUE(TRIM(MID(SUBSTITUTE(SUBSTITUTE(SUBSTITUTE(UPPER($L213)," ",""),"F",""),";",REPT(" ",30)),61,30))),0)+IFERROR(VALUE(TRIM(MID(SUBSTITUTE(SUBSTITUTE(SUBSTITUTE(UPPER($L213)," ",""),"F",""),";",REPT(" ",30)),91,30))),0)+IFERROR(VALUE(TRIM(MID(SUBSTITUTE(SUBSTITUTE(SUBSTITUTE(UPPER($L213)," ",""),"F",""),";",REPT(" ",30)),121,30))),0)+IFERROR(VALUE(TRIM(MID(SUBSTITUTE(SUBSTITUTE(SUBSTITUTE(UPPER($L213)," ",""),"F",""),";",REPT(" ",30)),151,30))),0)+IFERROR(VALUE(TRIM(MID(SUBSTITUTE(SUBSTITUTE(SUBSTITUTE(UPPER($L213)," ",""),"F",""),";",REPT(" ",30)),181,30))),0)+IFERROR(VALUE(TRIM(MID(SUBSTITUTE(SUBSTITUTE(SUBSTITUTE(UPPER($L213)," ",""),"F",""),";",REPT(" ",30)),211,30))),0)))))</f>
        <v/>
      </c>
      <c r="O213" s="26" t="n"/>
      <c r="P213" s="6" t="n"/>
      <c r="Q213" s="13" t="n"/>
      <c r="R213" s="27">
        <f>IF($C213="","",IF($E213="Falta","-",MAX(0,MIN(10,5+IFERROR(VALUE(TRIM(MID(SUBSTITUTE(SUBSTITUTE(SUBSTITUTE(UPPER($P213)," ",""),"C",""),";",REPT(" ",30)),1,30))),0)+IFERROR(VALUE(TRIM(MID(SUBSTITUTE(SUBSTITUTE(SUBSTITUTE(UPPER($P213)," ",""),"C",""),";",REPT(" ",30)),31,30))),0)+IFERROR(VALUE(TRIM(MID(SUBSTITUTE(SUBSTITUTE(SUBSTITUTE(UPPER($P213)," ",""),"C",""),";",REPT(" ",30)),61,30))),0)+IFERROR(VALUE(TRIM(MID(SUBSTITUTE(SUBSTITUTE(SUBSTITUTE(UPPER($P213)," ",""),"C",""),";",REPT(" ",30)),91,30))),0)+IFERROR(VALUE(TRIM(MID(SUBSTITUTE(SUBSTITUTE(SUBSTITUTE(UPPER($P213)," ",""),"C",""),";",REPT(" ",30)),121,30))),0)+IFERROR(VALUE(TRIM(MID(SUBSTITUTE(SUBSTITUTE(SUBSTITUTE(UPPER($P213)," ",""),"C",""),";",REPT(" ",30)),151,30))),0)+IFERROR(VALUE(TRIM(MID(SUBSTITUTE(SUBSTITUTE(SUBSTITUTE(UPPER($P213)," ",""),"C",""),";",REPT(" ",30)),181,30))),0)+IFERROR(VALUE(TRIM(MID(SUBSTITUTE(SUBSTITUTE(SUBSTITUTE(UPPER($P213)," ",""),"C",""),";",REPT(" ",30)),211,30))),0)))))</f>
        <v/>
      </c>
      <c r="S213" s="26" t="n"/>
      <c r="T213" s="6" t="n"/>
      <c r="U213" s="13" t="n"/>
      <c r="V213" s="27">
        <f>IF($C213="","",IF($E213="Falta","-",MAX(0,MIN(10,5+IFERROR(VALUE(TRIM(MID(SUBSTITUTE(SUBSTITUTE(SUBSTITUTE(UPPER($T213)," ",""),"P",""),";",REPT(" ",30)),1,30))),0)+IFERROR(VALUE(TRIM(MID(SUBSTITUTE(SUBSTITUTE(SUBSTITUTE(UPPER($T213)," ",""),"P",""),";",REPT(" ",30)),31,30))),0)+IFERROR(VALUE(TRIM(MID(SUBSTITUTE(SUBSTITUTE(SUBSTITUTE(UPPER($T213)," ",""),"P",""),";",REPT(" ",30)),61,30))),0)+IFERROR(VALUE(TRIM(MID(SUBSTITUTE(SUBSTITUTE(SUBSTITUTE(UPPER($T213)," ",""),"P",""),";",REPT(" ",30)),91,30))),0)+IFERROR(VALUE(TRIM(MID(SUBSTITUTE(SUBSTITUTE(SUBSTITUTE(UPPER($T213)," ",""),"P",""),";",REPT(" ",30)),121,30))),0)+IFERROR(VALUE(TRIM(MID(SUBSTITUTE(SUBSTITUTE(SUBSTITUTE(UPPER($T213)," ",""),"P",""),";",REPT(" ",30)),151,30))),0)+IFERROR(VALUE(TRIM(MID(SUBSTITUTE(SUBSTITUTE(SUBSTITUTE(UPPER($T213)," ",""),"P",""),";",REPT(" ",30)),181,30))),0)+IFERROR(VALUE(TRIM(MID(SUBSTITUTE(SUBSTITUTE(SUBSTITUTE(UPPER($T213)," ",""),"P",""),";",REPT(" ",30)),211,30))),0)))))</f>
        <v/>
      </c>
      <c r="W213" s="26" t="n"/>
      <c r="X213" s="13" t="n"/>
    </row>
    <row r="214">
      <c r="A214" s="8">
        <f>IF($C214="","",43)</f>
        <v/>
      </c>
      <c r="B214" s="8">
        <f>IF($C214="","","1ª Sessão")</f>
        <v/>
      </c>
      <c r="C214" s="8">
        <f>IF(Preenchimento!$B$52="","",Preenchimento!$B$52)</f>
        <v/>
      </c>
      <c r="D214" s="8">
        <f>IF($C214="","",IF(Preenchimento!$C$52="","-",Preenchimento!$C$52))</f>
        <v/>
      </c>
      <c r="E214" s="8" t="n"/>
      <c r="F214" s="8" t="n"/>
      <c r="G214" s="24" t="n"/>
      <c r="H214" s="8" t="n"/>
      <c r="I214" s="14" t="n"/>
      <c r="J214" s="25">
        <f>IF($C214="","",IF($E214="Falta","-",MAX(0,MIN(10,8+IFERROR(VALUE(TRIM(MID(SUBSTITUTE(SUBSTITUTE(SUBSTITUTE(UPPER($H214)," ",""),"D",""),";",REPT(" ",30)),1,30))),0)+IFERROR(VALUE(TRIM(MID(SUBSTITUTE(SUBSTITUTE(SUBSTITUTE(UPPER($H214)," ",""),"D",""),";",REPT(" ",30)),31,30))),0)+IFERROR(VALUE(TRIM(MID(SUBSTITUTE(SUBSTITUTE(SUBSTITUTE(UPPER($H214)," ",""),"D",""),";",REPT(" ",30)),61,30))),0)+IFERROR(VALUE(TRIM(MID(SUBSTITUTE(SUBSTITUTE(SUBSTITUTE(UPPER($H214)," ",""),"D",""),";",REPT(" ",30)),91,30))),0)+IFERROR(VALUE(TRIM(MID(SUBSTITUTE(SUBSTITUTE(SUBSTITUTE(UPPER($H214)," ",""),"D",""),";",REPT(" ",30)),121,30))),0)+IFERROR(VALUE(TRIM(MID(SUBSTITUTE(SUBSTITUTE(SUBSTITUTE(UPPER($H214)," ",""),"D",""),";",REPT(" ",30)),151,30))),0)+IFERROR(VALUE(TRIM(MID(SUBSTITUTE(SUBSTITUTE(SUBSTITUTE(UPPER($H214)," ",""),"D",""),";",REPT(" ",30)),181,30))),0)+IFERROR(VALUE(TRIM(MID(SUBSTITUTE(SUBSTITUTE(SUBSTITUTE(UPPER($H214)," ",""),"D",""),";",REPT(" ",30)),211,30))),0)))))</f>
        <v/>
      </c>
      <c r="K214" s="24" t="n"/>
      <c r="L214" s="8" t="n"/>
      <c r="M214" s="14" t="n"/>
      <c r="N214" s="25">
        <f>IF($C214="","",IF($E214="Falta","-",MAX(0,MIN(10,8+IFERROR(VALUE(TRIM(MID(SUBSTITUTE(SUBSTITUTE(SUBSTITUTE(UPPER($L214)," ",""),"F",""),";",REPT(" ",30)),1,30))),0)+IFERROR(VALUE(TRIM(MID(SUBSTITUTE(SUBSTITUTE(SUBSTITUTE(UPPER($L214)," ",""),"F",""),";",REPT(" ",30)),31,30))),0)+IFERROR(VALUE(TRIM(MID(SUBSTITUTE(SUBSTITUTE(SUBSTITUTE(UPPER($L214)," ",""),"F",""),";",REPT(" ",30)),61,30))),0)+IFERROR(VALUE(TRIM(MID(SUBSTITUTE(SUBSTITUTE(SUBSTITUTE(UPPER($L214)," ",""),"F",""),";",REPT(" ",30)),91,30))),0)+IFERROR(VALUE(TRIM(MID(SUBSTITUTE(SUBSTITUTE(SUBSTITUTE(UPPER($L214)," ",""),"F",""),";",REPT(" ",30)),121,30))),0)+IFERROR(VALUE(TRIM(MID(SUBSTITUTE(SUBSTITUTE(SUBSTITUTE(UPPER($L214)," ",""),"F",""),";",REPT(" ",30)),151,30))),0)+IFERROR(VALUE(TRIM(MID(SUBSTITUTE(SUBSTITUTE(SUBSTITUTE(UPPER($L214)," ",""),"F",""),";",REPT(" ",30)),181,30))),0)+IFERROR(VALUE(TRIM(MID(SUBSTITUTE(SUBSTITUTE(SUBSTITUTE(UPPER($L214)," ",""),"F",""),";",REPT(" ",30)),211,30))),0)))))</f>
        <v/>
      </c>
      <c r="O214" s="24" t="n"/>
      <c r="P214" s="8" t="n"/>
      <c r="Q214" s="14" t="n"/>
      <c r="R214" s="25">
        <f>IF($C214="","",IF($E214="Falta","-",MAX(0,MIN(10,5+IFERROR(VALUE(TRIM(MID(SUBSTITUTE(SUBSTITUTE(SUBSTITUTE(UPPER($P214)," ",""),"C",""),";",REPT(" ",30)),1,30))),0)+IFERROR(VALUE(TRIM(MID(SUBSTITUTE(SUBSTITUTE(SUBSTITUTE(UPPER($P214)," ",""),"C",""),";",REPT(" ",30)),31,30))),0)+IFERROR(VALUE(TRIM(MID(SUBSTITUTE(SUBSTITUTE(SUBSTITUTE(UPPER($P214)," ",""),"C",""),";",REPT(" ",30)),61,30))),0)+IFERROR(VALUE(TRIM(MID(SUBSTITUTE(SUBSTITUTE(SUBSTITUTE(UPPER($P214)," ",""),"C",""),";",REPT(" ",30)),91,30))),0)+IFERROR(VALUE(TRIM(MID(SUBSTITUTE(SUBSTITUTE(SUBSTITUTE(UPPER($P214)," ",""),"C",""),";",REPT(" ",30)),121,30))),0)+IFERROR(VALUE(TRIM(MID(SUBSTITUTE(SUBSTITUTE(SUBSTITUTE(UPPER($P214)," ",""),"C",""),";",REPT(" ",30)),151,30))),0)+IFERROR(VALUE(TRIM(MID(SUBSTITUTE(SUBSTITUTE(SUBSTITUTE(UPPER($P214)," ",""),"C",""),";",REPT(" ",30)),181,30))),0)+IFERROR(VALUE(TRIM(MID(SUBSTITUTE(SUBSTITUTE(SUBSTITUTE(UPPER($P214)," ",""),"C",""),";",REPT(" ",30)),211,30))),0)))))</f>
        <v/>
      </c>
      <c r="S214" s="24" t="n"/>
      <c r="T214" s="8" t="n"/>
      <c r="U214" s="14" t="n"/>
      <c r="V214" s="25">
        <f>IF($C214="","",IF($E214="Falta","-",MAX(0,MIN(10,5+IFERROR(VALUE(TRIM(MID(SUBSTITUTE(SUBSTITUTE(SUBSTITUTE(UPPER($T214)," ",""),"P",""),";",REPT(" ",30)),1,30))),0)+IFERROR(VALUE(TRIM(MID(SUBSTITUTE(SUBSTITUTE(SUBSTITUTE(UPPER($T214)," ",""),"P",""),";",REPT(" ",30)),31,30))),0)+IFERROR(VALUE(TRIM(MID(SUBSTITUTE(SUBSTITUTE(SUBSTITUTE(UPPER($T214)," ",""),"P",""),";",REPT(" ",30)),61,30))),0)+IFERROR(VALUE(TRIM(MID(SUBSTITUTE(SUBSTITUTE(SUBSTITUTE(UPPER($T214)," ",""),"P",""),";",REPT(" ",30)),91,30))),0)+IFERROR(VALUE(TRIM(MID(SUBSTITUTE(SUBSTITUTE(SUBSTITUTE(UPPER($T214)," ",""),"P",""),";",REPT(" ",30)),121,30))),0)+IFERROR(VALUE(TRIM(MID(SUBSTITUTE(SUBSTITUTE(SUBSTITUTE(UPPER($T214)," ",""),"P",""),";",REPT(" ",30)),151,30))),0)+IFERROR(VALUE(TRIM(MID(SUBSTITUTE(SUBSTITUTE(SUBSTITUTE(UPPER($T214)," ",""),"P",""),";",REPT(" ",30)),181,30))),0)+IFERROR(VALUE(TRIM(MID(SUBSTITUTE(SUBSTITUTE(SUBSTITUTE(UPPER($T214)," ",""),"P",""),";",REPT(" ",30)),211,30))),0)))))</f>
        <v/>
      </c>
      <c r="W214" s="24" t="n"/>
      <c r="X214" s="14" t="n"/>
    </row>
    <row r="215">
      <c r="A215" s="8">
        <f>IF($C215="","",43)</f>
        <v/>
      </c>
      <c r="B215" s="8">
        <f>IF($C215="","","2ª Sessão")</f>
        <v/>
      </c>
      <c r="C215" s="8">
        <f>IF(Preenchimento!$B$52="","",Preenchimento!$B$52)</f>
        <v/>
      </c>
      <c r="D215" s="8">
        <f>IF($C215="","",IF(Preenchimento!$C$52="","-",Preenchimento!$C$52))</f>
        <v/>
      </c>
      <c r="E215" s="8" t="n"/>
      <c r="F215" s="8" t="n"/>
      <c r="G215" s="24" t="n"/>
      <c r="H215" s="8" t="n"/>
      <c r="I215" s="14" t="n"/>
      <c r="J215" s="25">
        <f>IF($C215="","",IF($E215="Falta","-",MAX(0,MIN(10,8+IFERROR(VALUE(TRIM(MID(SUBSTITUTE(SUBSTITUTE(SUBSTITUTE(UPPER($H215)," ",""),"D",""),";",REPT(" ",30)),1,30))),0)+IFERROR(VALUE(TRIM(MID(SUBSTITUTE(SUBSTITUTE(SUBSTITUTE(UPPER($H215)," ",""),"D",""),";",REPT(" ",30)),31,30))),0)+IFERROR(VALUE(TRIM(MID(SUBSTITUTE(SUBSTITUTE(SUBSTITUTE(UPPER($H215)," ",""),"D",""),";",REPT(" ",30)),61,30))),0)+IFERROR(VALUE(TRIM(MID(SUBSTITUTE(SUBSTITUTE(SUBSTITUTE(UPPER($H215)," ",""),"D",""),";",REPT(" ",30)),91,30))),0)+IFERROR(VALUE(TRIM(MID(SUBSTITUTE(SUBSTITUTE(SUBSTITUTE(UPPER($H215)," ",""),"D",""),";",REPT(" ",30)),121,30))),0)+IFERROR(VALUE(TRIM(MID(SUBSTITUTE(SUBSTITUTE(SUBSTITUTE(UPPER($H215)," ",""),"D",""),";",REPT(" ",30)),151,30))),0)+IFERROR(VALUE(TRIM(MID(SUBSTITUTE(SUBSTITUTE(SUBSTITUTE(UPPER($H215)," ",""),"D",""),";",REPT(" ",30)),181,30))),0)+IFERROR(VALUE(TRIM(MID(SUBSTITUTE(SUBSTITUTE(SUBSTITUTE(UPPER($H215)," ",""),"D",""),";",REPT(" ",30)),211,30))),0)))))</f>
        <v/>
      </c>
      <c r="K215" s="24" t="n"/>
      <c r="L215" s="8" t="n"/>
      <c r="M215" s="14" t="n"/>
      <c r="N215" s="25">
        <f>IF($C215="","",IF($E215="Falta","-",MAX(0,MIN(10,8+IFERROR(VALUE(TRIM(MID(SUBSTITUTE(SUBSTITUTE(SUBSTITUTE(UPPER($L215)," ",""),"F",""),";",REPT(" ",30)),1,30))),0)+IFERROR(VALUE(TRIM(MID(SUBSTITUTE(SUBSTITUTE(SUBSTITUTE(UPPER($L215)," ",""),"F",""),";",REPT(" ",30)),31,30))),0)+IFERROR(VALUE(TRIM(MID(SUBSTITUTE(SUBSTITUTE(SUBSTITUTE(UPPER($L215)," ",""),"F",""),";",REPT(" ",30)),61,30))),0)+IFERROR(VALUE(TRIM(MID(SUBSTITUTE(SUBSTITUTE(SUBSTITUTE(UPPER($L215)," ",""),"F",""),";",REPT(" ",30)),91,30))),0)+IFERROR(VALUE(TRIM(MID(SUBSTITUTE(SUBSTITUTE(SUBSTITUTE(UPPER($L215)," ",""),"F",""),";",REPT(" ",30)),121,30))),0)+IFERROR(VALUE(TRIM(MID(SUBSTITUTE(SUBSTITUTE(SUBSTITUTE(UPPER($L215)," ",""),"F",""),";",REPT(" ",30)),151,30))),0)+IFERROR(VALUE(TRIM(MID(SUBSTITUTE(SUBSTITUTE(SUBSTITUTE(UPPER($L215)," ",""),"F",""),";",REPT(" ",30)),181,30))),0)+IFERROR(VALUE(TRIM(MID(SUBSTITUTE(SUBSTITUTE(SUBSTITUTE(UPPER($L215)," ",""),"F",""),";",REPT(" ",30)),211,30))),0)))))</f>
        <v/>
      </c>
      <c r="O215" s="24" t="n"/>
      <c r="P215" s="8" t="n"/>
      <c r="Q215" s="14" t="n"/>
      <c r="R215" s="25">
        <f>IF($C215="","",IF($E215="Falta","-",MAX(0,MIN(10,5+IFERROR(VALUE(TRIM(MID(SUBSTITUTE(SUBSTITUTE(SUBSTITUTE(UPPER($P215)," ",""),"C",""),";",REPT(" ",30)),1,30))),0)+IFERROR(VALUE(TRIM(MID(SUBSTITUTE(SUBSTITUTE(SUBSTITUTE(UPPER($P215)," ",""),"C",""),";",REPT(" ",30)),31,30))),0)+IFERROR(VALUE(TRIM(MID(SUBSTITUTE(SUBSTITUTE(SUBSTITUTE(UPPER($P215)," ",""),"C",""),";",REPT(" ",30)),61,30))),0)+IFERROR(VALUE(TRIM(MID(SUBSTITUTE(SUBSTITUTE(SUBSTITUTE(UPPER($P215)," ",""),"C",""),";",REPT(" ",30)),91,30))),0)+IFERROR(VALUE(TRIM(MID(SUBSTITUTE(SUBSTITUTE(SUBSTITUTE(UPPER($P215)," ",""),"C",""),";",REPT(" ",30)),121,30))),0)+IFERROR(VALUE(TRIM(MID(SUBSTITUTE(SUBSTITUTE(SUBSTITUTE(UPPER($P215)," ",""),"C",""),";",REPT(" ",30)),151,30))),0)+IFERROR(VALUE(TRIM(MID(SUBSTITUTE(SUBSTITUTE(SUBSTITUTE(UPPER($P215)," ",""),"C",""),";",REPT(" ",30)),181,30))),0)+IFERROR(VALUE(TRIM(MID(SUBSTITUTE(SUBSTITUTE(SUBSTITUTE(UPPER($P215)," ",""),"C",""),";",REPT(" ",30)),211,30))),0)))))</f>
        <v/>
      </c>
      <c r="S215" s="24" t="n"/>
      <c r="T215" s="8" t="n"/>
      <c r="U215" s="14" t="n"/>
      <c r="V215" s="25">
        <f>IF($C215="","",IF($E215="Falta","-",MAX(0,MIN(10,5+IFERROR(VALUE(TRIM(MID(SUBSTITUTE(SUBSTITUTE(SUBSTITUTE(UPPER($T215)," ",""),"P",""),";",REPT(" ",30)),1,30))),0)+IFERROR(VALUE(TRIM(MID(SUBSTITUTE(SUBSTITUTE(SUBSTITUTE(UPPER($T215)," ",""),"P",""),";",REPT(" ",30)),31,30))),0)+IFERROR(VALUE(TRIM(MID(SUBSTITUTE(SUBSTITUTE(SUBSTITUTE(UPPER($T215)," ",""),"P",""),";",REPT(" ",30)),61,30))),0)+IFERROR(VALUE(TRIM(MID(SUBSTITUTE(SUBSTITUTE(SUBSTITUTE(UPPER($T215)," ",""),"P",""),";",REPT(" ",30)),91,30))),0)+IFERROR(VALUE(TRIM(MID(SUBSTITUTE(SUBSTITUTE(SUBSTITUTE(UPPER($T215)," ",""),"P",""),";",REPT(" ",30)),121,30))),0)+IFERROR(VALUE(TRIM(MID(SUBSTITUTE(SUBSTITUTE(SUBSTITUTE(UPPER($T215)," ",""),"P",""),";",REPT(" ",30)),151,30))),0)+IFERROR(VALUE(TRIM(MID(SUBSTITUTE(SUBSTITUTE(SUBSTITUTE(UPPER($T215)," ",""),"P",""),";",REPT(" ",30)),181,30))),0)+IFERROR(VALUE(TRIM(MID(SUBSTITUTE(SUBSTITUTE(SUBSTITUTE(UPPER($T215)," ",""),"P",""),";",REPT(" ",30)),211,30))),0)))))</f>
        <v/>
      </c>
      <c r="W215" s="24" t="n"/>
      <c r="X215" s="14" t="n"/>
    </row>
    <row r="216">
      <c r="A216" s="8">
        <f>IF($C216="","",43)</f>
        <v/>
      </c>
      <c r="B216" s="8">
        <f>IF($C216="","","3ª Sessão")</f>
        <v/>
      </c>
      <c r="C216" s="8">
        <f>IF(Preenchimento!$B$52="","",Preenchimento!$B$52)</f>
        <v/>
      </c>
      <c r="D216" s="8">
        <f>IF($C216="","",IF(Preenchimento!$C$52="","-",Preenchimento!$C$52))</f>
        <v/>
      </c>
      <c r="E216" s="8" t="n"/>
      <c r="F216" s="8" t="n"/>
      <c r="G216" s="24" t="n"/>
      <c r="H216" s="8" t="n"/>
      <c r="I216" s="14" t="n"/>
      <c r="J216" s="25">
        <f>IF($C216="","",IF($E216="Falta","-",MAX(0,MIN(10,8+IFERROR(VALUE(TRIM(MID(SUBSTITUTE(SUBSTITUTE(SUBSTITUTE(UPPER($H216)," ",""),"D",""),";",REPT(" ",30)),1,30))),0)+IFERROR(VALUE(TRIM(MID(SUBSTITUTE(SUBSTITUTE(SUBSTITUTE(UPPER($H216)," ",""),"D",""),";",REPT(" ",30)),31,30))),0)+IFERROR(VALUE(TRIM(MID(SUBSTITUTE(SUBSTITUTE(SUBSTITUTE(UPPER($H216)," ",""),"D",""),";",REPT(" ",30)),61,30))),0)+IFERROR(VALUE(TRIM(MID(SUBSTITUTE(SUBSTITUTE(SUBSTITUTE(UPPER($H216)," ",""),"D",""),";",REPT(" ",30)),91,30))),0)+IFERROR(VALUE(TRIM(MID(SUBSTITUTE(SUBSTITUTE(SUBSTITUTE(UPPER($H216)," ",""),"D",""),";",REPT(" ",30)),121,30))),0)+IFERROR(VALUE(TRIM(MID(SUBSTITUTE(SUBSTITUTE(SUBSTITUTE(UPPER($H216)," ",""),"D",""),";",REPT(" ",30)),151,30))),0)+IFERROR(VALUE(TRIM(MID(SUBSTITUTE(SUBSTITUTE(SUBSTITUTE(UPPER($H216)," ",""),"D",""),";",REPT(" ",30)),181,30))),0)+IFERROR(VALUE(TRIM(MID(SUBSTITUTE(SUBSTITUTE(SUBSTITUTE(UPPER($H216)," ",""),"D",""),";",REPT(" ",30)),211,30))),0)))))</f>
        <v/>
      </c>
      <c r="K216" s="24" t="n"/>
      <c r="L216" s="8" t="n"/>
      <c r="M216" s="14" t="n"/>
      <c r="N216" s="25">
        <f>IF($C216="","",IF($E216="Falta","-",MAX(0,MIN(10,8+IFERROR(VALUE(TRIM(MID(SUBSTITUTE(SUBSTITUTE(SUBSTITUTE(UPPER($L216)," ",""),"F",""),";",REPT(" ",30)),1,30))),0)+IFERROR(VALUE(TRIM(MID(SUBSTITUTE(SUBSTITUTE(SUBSTITUTE(UPPER($L216)," ",""),"F",""),";",REPT(" ",30)),31,30))),0)+IFERROR(VALUE(TRIM(MID(SUBSTITUTE(SUBSTITUTE(SUBSTITUTE(UPPER($L216)," ",""),"F",""),";",REPT(" ",30)),61,30))),0)+IFERROR(VALUE(TRIM(MID(SUBSTITUTE(SUBSTITUTE(SUBSTITUTE(UPPER($L216)," ",""),"F",""),";",REPT(" ",30)),91,30))),0)+IFERROR(VALUE(TRIM(MID(SUBSTITUTE(SUBSTITUTE(SUBSTITUTE(UPPER($L216)," ",""),"F",""),";",REPT(" ",30)),121,30))),0)+IFERROR(VALUE(TRIM(MID(SUBSTITUTE(SUBSTITUTE(SUBSTITUTE(UPPER($L216)," ",""),"F",""),";",REPT(" ",30)),151,30))),0)+IFERROR(VALUE(TRIM(MID(SUBSTITUTE(SUBSTITUTE(SUBSTITUTE(UPPER($L216)," ",""),"F",""),";",REPT(" ",30)),181,30))),0)+IFERROR(VALUE(TRIM(MID(SUBSTITUTE(SUBSTITUTE(SUBSTITUTE(UPPER($L216)," ",""),"F",""),";",REPT(" ",30)),211,30))),0)))))</f>
        <v/>
      </c>
      <c r="O216" s="24" t="n"/>
      <c r="P216" s="8" t="n"/>
      <c r="Q216" s="14" t="n"/>
      <c r="R216" s="25">
        <f>IF($C216="","",IF($E216="Falta","-",MAX(0,MIN(10,5+IFERROR(VALUE(TRIM(MID(SUBSTITUTE(SUBSTITUTE(SUBSTITUTE(UPPER($P216)," ",""),"C",""),";",REPT(" ",30)),1,30))),0)+IFERROR(VALUE(TRIM(MID(SUBSTITUTE(SUBSTITUTE(SUBSTITUTE(UPPER($P216)," ",""),"C",""),";",REPT(" ",30)),31,30))),0)+IFERROR(VALUE(TRIM(MID(SUBSTITUTE(SUBSTITUTE(SUBSTITUTE(UPPER($P216)," ",""),"C",""),";",REPT(" ",30)),61,30))),0)+IFERROR(VALUE(TRIM(MID(SUBSTITUTE(SUBSTITUTE(SUBSTITUTE(UPPER($P216)," ",""),"C",""),";",REPT(" ",30)),91,30))),0)+IFERROR(VALUE(TRIM(MID(SUBSTITUTE(SUBSTITUTE(SUBSTITUTE(UPPER($P216)," ",""),"C",""),";",REPT(" ",30)),121,30))),0)+IFERROR(VALUE(TRIM(MID(SUBSTITUTE(SUBSTITUTE(SUBSTITUTE(UPPER($P216)," ",""),"C",""),";",REPT(" ",30)),151,30))),0)+IFERROR(VALUE(TRIM(MID(SUBSTITUTE(SUBSTITUTE(SUBSTITUTE(UPPER($P216)," ",""),"C",""),";",REPT(" ",30)),181,30))),0)+IFERROR(VALUE(TRIM(MID(SUBSTITUTE(SUBSTITUTE(SUBSTITUTE(UPPER($P216)," ",""),"C",""),";",REPT(" ",30)),211,30))),0)))))</f>
        <v/>
      </c>
      <c r="S216" s="24" t="n"/>
      <c r="T216" s="8" t="n"/>
      <c r="U216" s="14" t="n"/>
      <c r="V216" s="25">
        <f>IF($C216="","",IF($E216="Falta","-",MAX(0,MIN(10,5+IFERROR(VALUE(TRIM(MID(SUBSTITUTE(SUBSTITUTE(SUBSTITUTE(UPPER($T216)," ",""),"P",""),";",REPT(" ",30)),1,30))),0)+IFERROR(VALUE(TRIM(MID(SUBSTITUTE(SUBSTITUTE(SUBSTITUTE(UPPER($T216)," ",""),"P",""),";",REPT(" ",30)),31,30))),0)+IFERROR(VALUE(TRIM(MID(SUBSTITUTE(SUBSTITUTE(SUBSTITUTE(UPPER($T216)," ",""),"P",""),";",REPT(" ",30)),61,30))),0)+IFERROR(VALUE(TRIM(MID(SUBSTITUTE(SUBSTITUTE(SUBSTITUTE(UPPER($T216)," ",""),"P",""),";",REPT(" ",30)),91,30))),0)+IFERROR(VALUE(TRIM(MID(SUBSTITUTE(SUBSTITUTE(SUBSTITUTE(UPPER($T216)," ",""),"P",""),";",REPT(" ",30)),121,30))),0)+IFERROR(VALUE(TRIM(MID(SUBSTITUTE(SUBSTITUTE(SUBSTITUTE(UPPER($T216)," ",""),"P",""),";",REPT(" ",30)),151,30))),0)+IFERROR(VALUE(TRIM(MID(SUBSTITUTE(SUBSTITUTE(SUBSTITUTE(UPPER($T216)," ",""),"P",""),";",REPT(" ",30)),181,30))),0)+IFERROR(VALUE(TRIM(MID(SUBSTITUTE(SUBSTITUTE(SUBSTITUTE(UPPER($T216)," ",""),"P",""),";",REPT(" ",30)),211,30))),0)))))</f>
        <v/>
      </c>
      <c r="W216" s="24" t="n"/>
      <c r="X216" s="14" t="n"/>
    </row>
    <row r="217">
      <c r="A217" s="8">
        <f>IF($C217="","",43)</f>
        <v/>
      </c>
      <c r="B217" s="8">
        <f>IF($C217="","","4ª Sessão")</f>
        <v/>
      </c>
      <c r="C217" s="8">
        <f>IF(Preenchimento!$B$52="","",Preenchimento!$B$52)</f>
        <v/>
      </c>
      <c r="D217" s="8">
        <f>IF($C217="","",IF(Preenchimento!$C$52="","-",Preenchimento!$C$52))</f>
        <v/>
      </c>
      <c r="E217" s="8" t="n"/>
      <c r="F217" s="8" t="n"/>
      <c r="G217" s="24" t="n"/>
      <c r="H217" s="8" t="n"/>
      <c r="I217" s="14" t="n"/>
      <c r="J217" s="25">
        <f>IF($C217="","",IF($E217="Falta","-",MAX(0,MIN(10,8+IFERROR(VALUE(TRIM(MID(SUBSTITUTE(SUBSTITUTE(SUBSTITUTE(UPPER($H217)," ",""),"D",""),";",REPT(" ",30)),1,30))),0)+IFERROR(VALUE(TRIM(MID(SUBSTITUTE(SUBSTITUTE(SUBSTITUTE(UPPER($H217)," ",""),"D",""),";",REPT(" ",30)),31,30))),0)+IFERROR(VALUE(TRIM(MID(SUBSTITUTE(SUBSTITUTE(SUBSTITUTE(UPPER($H217)," ",""),"D",""),";",REPT(" ",30)),61,30))),0)+IFERROR(VALUE(TRIM(MID(SUBSTITUTE(SUBSTITUTE(SUBSTITUTE(UPPER($H217)," ",""),"D",""),";",REPT(" ",30)),91,30))),0)+IFERROR(VALUE(TRIM(MID(SUBSTITUTE(SUBSTITUTE(SUBSTITUTE(UPPER($H217)," ",""),"D",""),";",REPT(" ",30)),121,30))),0)+IFERROR(VALUE(TRIM(MID(SUBSTITUTE(SUBSTITUTE(SUBSTITUTE(UPPER($H217)," ",""),"D",""),";",REPT(" ",30)),151,30))),0)+IFERROR(VALUE(TRIM(MID(SUBSTITUTE(SUBSTITUTE(SUBSTITUTE(UPPER($H217)," ",""),"D",""),";",REPT(" ",30)),181,30))),0)+IFERROR(VALUE(TRIM(MID(SUBSTITUTE(SUBSTITUTE(SUBSTITUTE(UPPER($H217)," ",""),"D",""),";",REPT(" ",30)),211,30))),0)))))</f>
        <v/>
      </c>
      <c r="K217" s="24" t="n"/>
      <c r="L217" s="8" t="n"/>
      <c r="M217" s="14" t="n"/>
      <c r="N217" s="25">
        <f>IF($C217="","",IF($E217="Falta","-",MAX(0,MIN(10,8+IFERROR(VALUE(TRIM(MID(SUBSTITUTE(SUBSTITUTE(SUBSTITUTE(UPPER($L217)," ",""),"F",""),";",REPT(" ",30)),1,30))),0)+IFERROR(VALUE(TRIM(MID(SUBSTITUTE(SUBSTITUTE(SUBSTITUTE(UPPER($L217)," ",""),"F",""),";",REPT(" ",30)),31,30))),0)+IFERROR(VALUE(TRIM(MID(SUBSTITUTE(SUBSTITUTE(SUBSTITUTE(UPPER($L217)," ",""),"F",""),";",REPT(" ",30)),61,30))),0)+IFERROR(VALUE(TRIM(MID(SUBSTITUTE(SUBSTITUTE(SUBSTITUTE(UPPER($L217)," ",""),"F",""),";",REPT(" ",30)),91,30))),0)+IFERROR(VALUE(TRIM(MID(SUBSTITUTE(SUBSTITUTE(SUBSTITUTE(UPPER($L217)," ",""),"F",""),";",REPT(" ",30)),121,30))),0)+IFERROR(VALUE(TRIM(MID(SUBSTITUTE(SUBSTITUTE(SUBSTITUTE(UPPER($L217)," ",""),"F",""),";",REPT(" ",30)),151,30))),0)+IFERROR(VALUE(TRIM(MID(SUBSTITUTE(SUBSTITUTE(SUBSTITUTE(UPPER($L217)," ",""),"F",""),";",REPT(" ",30)),181,30))),0)+IFERROR(VALUE(TRIM(MID(SUBSTITUTE(SUBSTITUTE(SUBSTITUTE(UPPER($L217)," ",""),"F",""),";",REPT(" ",30)),211,30))),0)))))</f>
        <v/>
      </c>
      <c r="O217" s="24" t="n"/>
      <c r="P217" s="8" t="n"/>
      <c r="Q217" s="14" t="n"/>
      <c r="R217" s="25">
        <f>IF($C217="","",IF($E217="Falta","-",MAX(0,MIN(10,5+IFERROR(VALUE(TRIM(MID(SUBSTITUTE(SUBSTITUTE(SUBSTITUTE(UPPER($P217)," ",""),"C",""),";",REPT(" ",30)),1,30))),0)+IFERROR(VALUE(TRIM(MID(SUBSTITUTE(SUBSTITUTE(SUBSTITUTE(UPPER($P217)," ",""),"C",""),";",REPT(" ",30)),31,30))),0)+IFERROR(VALUE(TRIM(MID(SUBSTITUTE(SUBSTITUTE(SUBSTITUTE(UPPER($P217)," ",""),"C",""),";",REPT(" ",30)),61,30))),0)+IFERROR(VALUE(TRIM(MID(SUBSTITUTE(SUBSTITUTE(SUBSTITUTE(UPPER($P217)," ",""),"C",""),";",REPT(" ",30)),91,30))),0)+IFERROR(VALUE(TRIM(MID(SUBSTITUTE(SUBSTITUTE(SUBSTITUTE(UPPER($P217)," ",""),"C",""),";",REPT(" ",30)),121,30))),0)+IFERROR(VALUE(TRIM(MID(SUBSTITUTE(SUBSTITUTE(SUBSTITUTE(UPPER($P217)," ",""),"C",""),";",REPT(" ",30)),151,30))),0)+IFERROR(VALUE(TRIM(MID(SUBSTITUTE(SUBSTITUTE(SUBSTITUTE(UPPER($P217)," ",""),"C",""),";",REPT(" ",30)),181,30))),0)+IFERROR(VALUE(TRIM(MID(SUBSTITUTE(SUBSTITUTE(SUBSTITUTE(UPPER($P217)," ",""),"C",""),";",REPT(" ",30)),211,30))),0)))))</f>
        <v/>
      </c>
      <c r="S217" s="24" t="n"/>
      <c r="T217" s="8" t="n"/>
      <c r="U217" s="14" t="n"/>
      <c r="V217" s="25">
        <f>IF($C217="","",IF($E217="Falta","-",MAX(0,MIN(10,5+IFERROR(VALUE(TRIM(MID(SUBSTITUTE(SUBSTITUTE(SUBSTITUTE(UPPER($T217)," ",""),"P",""),";",REPT(" ",30)),1,30))),0)+IFERROR(VALUE(TRIM(MID(SUBSTITUTE(SUBSTITUTE(SUBSTITUTE(UPPER($T217)," ",""),"P",""),";",REPT(" ",30)),31,30))),0)+IFERROR(VALUE(TRIM(MID(SUBSTITUTE(SUBSTITUTE(SUBSTITUTE(UPPER($T217)," ",""),"P",""),";",REPT(" ",30)),61,30))),0)+IFERROR(VALUE(TRIM(MID(SUBSTITUTE(SUBSTITUTE(SUBSTITUTE(UPPER($T217)," ",""),"P",""),";",REPT(" ",30)),91,30))),0)+IFERROR(VALUE(TRIM(MID(SUBSTITUTE(SUBSTITUTE(SUBSTITUTE(UPPER($T217)," ",""),"P",""),";",REPT(" ",30)),121,30))),0)+IFERROR(VALUE(TRIM(MID(SUBSTITUTE(SUBSTITUTE(SUBSTITUTE(UPPER($T217)," ",""),"P",""),";",REPT(" ",30)),151,30))),0)+IFERROR(VALUE(TRIM(MID(SUBSTITUTE(SUBSTITUTE(SUBSTITUTE(UPPER($T217)," ",""),"P",""),";",REPT(" ",30)),181,30))),0)+IFERROR(VALUE(TRIM(MID(SUBSTITUTE(SUBSTITUTE(SUBSTITUTE(UPPER($T217)," ",""),"P",""),";",REPT(" ",30)),211,30))),0)))))</f>
        <v/>
      </c>
      <c r="W217" s="24" t="n"/>
      <c r="X217" s="14" t="n"/>
    </row>
    <row r="218">
      <c r="A218" s="8">
        <f>IF($C218="","",43)</f>
        <v/>
      </c>
      <c r="B218" s="8">
        <f>IF($C218="","","5ª Sessão")</f>
        <v/>
      </c>
      <c r="C218" s="8">
        <f>IF(Preenchimento!$B$52="","",Preenchimento!$B$52)</f>
        <v/>
      </c>
      <c r="D218" s="8">
        <f>IF($C218="","",IF(Preenchimento!$C$52="","-",Preenchimento!$C$52))</f>
        <v/>
      </c>
      <c r="E218" s="8" t="n"/>
      <c r="F218" s="8" t="n"/>
      <c r="G218" s="24" t="n"/>
      <c r="H218" s="8" t="n"/>
      <c r="I218" s="14" t="n"/>
      <c r="J218" s="25">
        <f>IF($C218="","",IF($E218="Falta","-",MAX(0,MIN(10,8+IFERROR(VALUE(TRIM(MID(SUBSTITUTE(SUBSTITUTE(SUBSTITUTE(UPPER($H218)," ",""),"D",""),";",REPT(" ",30)),1,30))),0)+IFERROR(VALUE(TRIM(MID(SUBSTITUTE(SUBSTITUTE(SUBSTITUTE(UPPER($H218)," ",""),"D",""),";",REPT(" ",30)),31,30))),0)+IFERROR(VALUE(TRIM(MID(SUBSTITUTE(SUBSTITUTE(SUBSTITUTE(UPPER($H218)," ",""),"D",""),";",REPT(" ",30)),61,30))),0)+IFERROR(VALUE(TRIM(MID(SUBSTITUTE(SUBSTITUTE(SUBSTITUTE(UPPER($H218)," ",""),"D",""),";",REPT(" ",30)),91,30))),0)+IFERROR(VALUE(TRIM(MID(SUBSTITUTE(SUBSTITUTE(SUBSTITUTE(UPPER($H218)," ",""),"D",""),";",REPT(" ",30)),121,30))),0)+IFERROR(VALUE(TRIM(MID(SUBSTITUTE(SUBSTITUTE(SUBSTITUTE(UPPER($H218)," ",""),"D",""),";",REPT(" ",30)),151,30))),0)+IFERROR(VALUE(TRIM(MID(SUBSTITUTE(SUBSTITUTE(SUBSTITUTE(UPPER($H218)," ",""),"D",""),";",REPT(" ",30)),181,30))),0)+IFERROR(VALUE(TRIM(MID(SUBSTITUTE(SUBSTITUTE(SUBSTITUTE(UPPER($H218)," ",""),"D",""),";",REPT(" ",30)),211,30))),0)))))</f>
        <v/>
      </c>
      <c r="K218" s="24" t="n"/>
      <c r="L218" s="8" t="n"/>
      <c r="M218" s="14" t="n"/>
      <c r="N218" s="25">
        <f>IF($C218="","",IF($E218="Falta","-",MAX(0,MIN(10,8+IFERROR(VALUE(TRIM(MID(SUBSTITUTE(SUBSTITUTE(SUBSTITUTE(UPPER($L218)," ",""),"F",""),";",REPT(" ",30)),1,30))),0)+IFERROR(VALUE(TRIM(MID(SUBSTITUTE(SUBSTITUTE(SUBSTITUTE(UPPER($L218)," ",""),"F",""),";",REPT(" ",30)),31,30))),0)+IFERROR(VALUE(TRIM(MID(SUBSTITUTE(SUBSTITUTE(SUBSTITUTE(UPPER($L218)," ",""),"F",""),";",REPT(" ",30)),61,30))),0)+IFERROR(VALUE(TRIM(MID(SUBSTITUTE(SUBSTITUTE(SUBSTITUTE(UPPER($L218)," ",""),"F",""),";",REPT(" ",30)),91,30))),0)+IFERROR(VALUE(TRIM(MID(SUBSTITUTE(SUBSTITUTE(SUBSTITUTE(UPPER($L218)," ",""),"F",""),";",REPT(" ",30)),121,30))),0)+IFERROR(VALUE(TRIM(MID(SUBSTITUTE(SUBSTITUTE(SUBSTITUTE(UPPER($L218)," ",""),"F",""),";",REPT(" ",30)),151,30))),0)+IFERROR(VALUE(TRIM(MID(SUBSTITUTE(SUBSTITUTE(SUBSTITUTE(UPPER($L218)," ",""),"F",""),";",REPT(" ",30)),181,30))),0)+IFERROR(VALUE(TRIM(MID(SUBSTITUTE(SUBSTITUTE(SUBSTITUTE(UPPER($L218)," ",""),"F",""),";",REPT(" ",30)),211,30))),0)))))</f>
        <v/>
      </c>
      <c r="O218" s="24" t="n"/>
      <c r="P218" s="8" t="n"/>
      <c r="Q218" s="14" t="n"/>
      <c r="R218" s="25">
        <f>IF($C218="","",IF($E218="Falta","-",MAX(0,MIN(10,5+IFERROR(VALUE(TRIM(MID(SUBSTITUTE(SUBSTITUTE(SUBSTITUTE(UPPER($P218)," ",""),"C",""),";",REPT(" ",30)),1,30))),0)+IFERROR(VALUE(TRIM(MID(SUBSTITUTE(SUBSTITUTE(SUBSTITUTE(UPPER($P218)," ",""),"C",""),";",REPT(" ",30)),31,30))),0)+IFERROR(VALUE(TRIM(MID(SUBSTITUTE(SUBSTITUTE(SUBSTITUTE(UPPER($P218)," ",""),"C",""),";",REPT(" ",30)),61,30))),0)+IFERROR(VALUE(TRIM(MID(SUBSTITUTE(SUBSTITUTE(SUBSTITUTE(UPPER($P218)," ",""),"C",""),";",REPT(" ",30)),91,30))),0)+IFERROR(VALUE(TRIM(MID(SUBSTITUTE(SUBSTITUTE(SUBSTITUTE(UPPER($P218)," ",""),"C",""),";",REPT(" ",30)),121,30))),0)+IFERROR(VALUE(TRIM(MID(SUBSTITUTE(SUBSTITUTE(SUBSTITUTE(UPPER($P218)," ",""),"C",""),";",REPT(" ",30)),151,30))),0)+IFERROR(VALUE(TRIM(MID(SUBSTITUTE(SUBSTITUTE(SUBSTITUTE(UPPER($P218)," ",""),"C",""),";",REPT(" ",30)),181,30))),0)+IFERROR(VALUE(TRIM(MID(SUBSTITUTE(SUBSTITUTE(SUBSTITUTE(UPPER($P218)," ",""),"C",""),";",REPT(" ",30)),211,30))),0)))))</f>
        <v/>
      </c>
      <c r="S218" s="24" t="n"/>
      <c r="T218" s="8" t="n"/>
      <c r="U218" s="14" t="n"/>
      <c r="V218" s="25">
        <f>IF($C218="","",IF($E218="Falta","-",MAX(0,MIN(10,5+IFERROR(VALUE(TRIM(MID(SUBSTITUTE(SUBSTITUTE(SUBSTITUTE(UPPER($T218)," ",""),"P",""),";",REPT(" ",30)),1,30))),0)+IFERROR(VALUE(TRIM(MID(SUBSTITUTE(SUBSTITUTE(SUBSTITUTE(UPPER($T218)," ",""),"P",""),";",REPT(" ",30)),31,30))),0)+IFERROR(VALUE(TRIM(MID(SUBSTITUTE(SUBSTITUTE(SUBSTITUTE(UPPER($T218)," ",""),"P",""),";",REPT(" ",30)),61,30))),0)+IFERROR(VALUE(TRIM(MID(SUBSTITUTE(SUBSTITUTE(SUBSTITUTE(UPPER($T218)," ",""),"P",""),";",REPT(" ",30)),91,30))),0)+IFERROR(VALUE(TRIM(MID(SUBSTITUTE(SUBSTITUTE(SUBSTITUTE(UPPER($T218)," ",""),"P",""),";",REPT(" ",30)),121,30))),0)+IFERROR(VALUE(TRIM(MID(SUBSTITUTE(SUBSTITUTE(SUBSTITUTE(UPPER($T218)," ",""),"P",""),";",REPT(" ",30)),151,30))),0)+IFERROR(VALUE(TRIM(MID(SUBSTITUTE(SUBSTITUTE(SUBSTITUTE(UPPER($T218)," ",""),"P",""),";",REPT(" ",30)),181,30))),0)+IFERROR(VALUE(TRIM(MID(SUBSTITUTE(SUBSTITUTE(SUBSTITUTE(UPPER($T218)," ",""),"P",""),";",REPT(" ",30)),211,30))),0)))))</f>
        <v/>
      </c>
      <c r="W218" s="24" t="n"/>
      <c r="X218" s="14" t="n"/>
    </row>
    <row r="219">
      <c r="A219" s="6">
        <f>IF($C219="","",44)</f>
        <v/>
      </c>
      <c r="B219" s="6">
        <f>IF($C219="","","1ª Sessão")</f>
        <v/>
      </c>
      <c r="C219" s="6">
        <f>IF(Preenchimento!$B$53="","",Preenchimento!$B$53)</f>
        <v/>
      </c>
      <c r="D219" s="6">
        <f>IF($C219="","",IF(Preenchimento!$C$53="","-",Preenchimento!$C$53))</f>
        <v/>
      </c>
      <c r="E219" s="6" t="n"/>
      <c r="F219" s="6" t="n"/>
      <c r="G219" s="26" t="n"/>
      <c r="H219" s="6" t="n"/>
      <c r="I219" s="13" t="n"/>
      <c r="J219" s="27">
        <f>IF($C219="","",IF($E219="Falta","-",MAX(0,MIN(10,8+IFERROR(VALUE(TRIM(MID(SUBSTITUTE(SUBSTITUTE(SUBSTITUTE(UPPER($H219)," ",""),"D",""),";",REPT(" ",30)),1,30))),0)+IFERROR(VALUE(TRIM(MID(SUBSTITUTE(SUBSTITUTE(SUBSTITUTE(UPPER($H219)," ",""),"D",""),";",REPT(" ",30)),31,30))),0)+IFERROR(VALUE(TRIM(MID(SUBSTITUTE(SUBSTITUTE(SUBSTITUTE(UPPER($H219)," ",""),"D",""),";",REPT(" ",30)),61,30))),0)+IFERROR(VALUE(TRIM(MID(SUBSTITUTE(SUBSTITUTE(SUBSTITUTE(UPPER($H219)," ",""),"D",""),";",REPT(" ",30)),91,30))),0)+IFERROR(VALUE(TRIM(MID(SUBSTITUTE(SUBSTITUTE(SUBSTITUTE(UPPER($H219)," ",""),"D",""),";",REPT(" ",30)),121,30))),0)+IFERROR(VALUE(TRIM(MID(SUBSTITUTE(SUBSTITUTE(SUBSTITUTE(UPPER($H219)," ",""),"D",""),";",REPT(" ",30)),151,30))),0)+IFERROR(VALUE(TRIM(MID(SUBSTITUTE(SUBSTITUTE(SUBSTITUTE(UPPER($H219)," ",""),"D",""),";",REPT(" ",30)),181,30))),0)+IFERROR(VALUE(TRIM(MID(SUBSTITUTE(SUBSTITUTE(SUBSTITUTE(UPPER($H219)," ",""),"D",""),";",REPT(" ",30)),211,30))),0)))))</f>
        <v/>
      </c>
      <c r="K219" s="26" t="n"/>
      <c r="L219" s="6" t="n"/>
      <c r="M219" s="13" t="n"/>
      <c r="N219" s="27">
        <f>IF($C219="","",IF($E219="Falta","-",MAX(0,MIN(10,8+IFERROR(VALUE(TRIM(MID(SUBSTITUTE(SUBSTITUTE(SUBSTITUTE(UPPER($L219)," ",""),"F",""),";",REPT(" ",30)),1,30))),0)+IFERROR(VALUE(TRIM(MID(SUBSTITUTE(SUBSTITUTE(SUBSTITUTE(UPPER($L219)," ",""),"F",""),";",REPT(" ",30)),31,30))),0)+IFERROR(VALUE(TRIM(MID(SUBSTITUTE(SUBSTITUTE(SUBSTITUTE(UPPER($L219)," ",""),"F",""),";",REPT(" ",30)),61,30))),0)+IFERROR(VALUE(TRIM(MID(SUBSTITUTE(SUBSTITUTE(SUBSTITUTE(UPPER($L219)," ",""),"F",""),";",REPT(" ",30)),91,30))),0)+IFERROR(VALUE(TRIM(MID(SUBSTITUTE(SUBSTITUTE(SUBSTITUTE(UPPER($L219)," ",""),"F",""),";",REPT(" ",30)),121,30))),0)+IFERROR(VALUE(TRIM(MID(SUBSTITUTE(SUBSTITUTE(SUBSTITUTE(UPPER($L219)," ",""),"F",""),";",REPT(" ",30)),151,30))),0)+IFERROR(VALUE(TRIM(MID(SUBSTITUTE(SUBSTITUTE(SUBSTITUTE(UPPER($L219)," ",""),"F",""),";",REPT(" ",30)),181,30))),0)+IFERROR(VALUE(TRIM(MID(SUBSTITUTE(SUBSTITUTE(SUBSTITUTE(UPPER($L219)," ",""),"F",""),";",REPT(" ",30)),211,30))),0)))))</f>
        <v/>
      </c>
      <c r="O219" s="26" t="n"/>
      <c r="P219" s="6" t="n"/>
      <c r="Q219" s="13" t="n"/>
      <c r="R219" s="27">
        <f>IF($C219="","",IF($E219="Falta","-",MAX(0,MIN(10,5+IFERROR(VALUE(TRIM(MID(SUBSTITUTE(SUBSTITUTE(SUBSTITUTE(UPPER($P219)," ",""),"C",""),";",REPT(" ",30)),1,30))),0)+IFERROR(VALUE(TRIM(MID(SUBSTITUTE(SUBSTITUTE(SUBSTITUTE(UPPER($P219)," ",""),"C",""),";",REPT(" ",30)),31,30))),0)+IFERROR(VALUE(TRIM(MID(SUBSTITUTE(SUBSTITUTE(SUBSTITUTE(UPPER($P219)," ",""),"C",""),";",REPT(" ",30)),61,30))),0)+IFERROR(VALUE(TRIM(MID(SUBSTITUTE(SUBSTITUTE(SUBSTITUTE(UPPER($P219)," ",""),"C",""),";",REPT(" ",30)),91,30))),0)+IFERROR(VALUE(TRIM(MID(SUBSTITUTE(SUBSTITUTE(SUBSTITUTE(UPPER($P219)," ",""),"C",""),";",REPT(" ",30)),121,30))),0)+IFERROR(VALUE(TRIM(MID(SUBSTITUTE(SUBSTITUTE(SUBSTITUTE(UPPER($P219)," ",""),"C",""),";",REPT(" ",30)),151,30))),0)+IFERROR(VALUE(TRIM(MID(SUBSTITUTE(SUBSTITUTE(SUBSTITUTE(UPPER($P219)," ",""),"C",""),";",REPT(" ",30)),181,30))),0)+IFERROR(VALUE(TRIM(MID(SUBSTITUTE(SUBSTITUTE(SUBSTITUTE(UPPER($P219)," ",""),"C",""),";",REPT(" ",30)),211,30))),0)))))</f>
        <v/>
      </c>
      <c r="S219" s="26" t="n"/>
      <c r="T219" s="6" t="n"/>
      <c r="U219" s="13" t="n"/>
      <c r="V219" s="27">
        <f>IF($C219="","",IF($E219="Falta","-",MAX(0,MIN(10,5+IFERROR(VALUE(TRIM(MID(SUBSTITUTE(SUBSTITUTE(SUBSTITUTE(UPPER($T219)," ",""),"P",""),";",REPT(" ",30)),1,30))),0)+IFERROR(VALUE(TRIM(MID(SUBSTITUTE(SUBSTITUTE(SUBSTITUTE(UPPER($T219)," ",""),"P",""),";",REPT(" ",30)),31,30))),0)+IFERROR(VALUE(TRIM(MID(SUBSTITUTE(SUBSTITUTE(SUBSTITUTE(UPPER($T219)," ",""),"P",""),";",REPT(" ",30)),61,30))),0)+IFERROR(VALUE(TRIM(MID(SUBSTITUTE(SUBSTITUTE(SUBSTITUTE(UPPER($T219)," ",""),"P",""),";",REPT(" ",30)),91,30))),0)+IFERROR(VALUE(TRIM(MID(SUBSTITUTE(SUBSTITUTE(SUBSTITUTE(UPPER($T219)," ",""),"P",""),";",REPT(" ",30)),121,30))),0)+IFERROR(VALUE(TRIM(MID(SUBSTITUTE(SUBSTITUTE(SUBSTITUTE(UPPER($T219)," ",""),"P",""),";",REPT(" ",30)),151,30))),0)+IFERROR(VALUE(TRIM(MID(SUBSTITUTE(SUBSTITUTE(SUBSTITUTE(UPPER($T219)," ",""),"P",""),";",REPT(" ",30)),181,30))),0)+IFERROR(VALUE(TRIM(MID(SUBSTITUTE(SUBSTITUTE(SUBSTITUTE(UPPER($T219)," ",""),"P",""),";",REPT(" ",30)),211,30))),0)))))</f>
        <v/>
      </c>
      <c r="W219" s="26" t="n"/>
      <c r="X219" s="13" t="n"/>
    </row>
    <row r="220">
      <c r="A220" s="6">
        <f>IF($C220="","",44)</f>
        <v/>
      </c>
      <c r="B220" s="6">
        <f>IF($C220="","","2ª Sessão")</f>
        <v/>
      </c>
      <c r="C220" s="6">
        <f>IF(Preenchimento!$B$53="","",Preenchimento!$B$53)</f>
        <v/>
      </c>
      <c r="D220" s="6">
        <f>IF($C220="","",IF(Preenchimento!$C$53="","-",Preenchimento!$C$53))</f>
        <v/>
      </c>
      <c r="E220" s="6" t="n"/>
      <c r="F220" s="6" t="n"/>
      <c r="G220" s="26" t="n"/>
      <c r="H220" s="6" t="n"/>
      <c r="I220" s="13" t="n"/>
      <c r="J220" s="27">
        <f>IF($C220="","",IF($E220="Falta","-",MAX(0,MIN(10,8+IFERROR(VALUE(TRIM(MID(SUBSTITUTE(SUBSTITUTE(SUBSTITUTE(UPPER($H220)," ",""),"D",""),";",REPT(" ",30)),1,30))),0)+IFERROR(VALUE(TRIM(MID(SUBSTITUTE(SUBSTITUTE(SUBSTITUTE(UPPER($H220)," ",""),"D",""),";",REPT(" ",30)),31,30))),0)+IFERROR(VALUE(TRIM(MID(SUBSTITUTE(SUBSTITUTE(SUBSTITUTE(UPPER($H220)," ",""),"D",""),";",REPT(" ",30)),61,30))),0)+IFERROR(VALUE(TRIM(MID(SUBSTITUTE(SUBSTITUTE(SUBSTITUTE(UPPER($H220)," ",""),"D",""),";",REPT(" ",30)),91,30))),0)+IFERROR(VALUE(TRIM(MID(SUBSTITUTE(SUBSTITUTE(SUBSTITUTE(UPPER($H220)," ",""),"D",""),";",REPT(" ",30)),121,30))),0)+IFERROR(VALUE(TRIM(MID(SUBSTITUTE(SUBSTITUTE(SUBSTITUTE(UPPER($H220)," ",""),"D",""),";",REPT(" ",30)),151,30))),0)+IFERROR(VALUE(TRIM(MID(SUBSTITUTE(SUBSTITUTE(SUBSTITUTE(UPPER($H220)," ",""),"D",""),";",REPT(" ",30)),181,30))),0)+IFERROR(VALUE(TRIM(MID(SUBSTITUTE(SUBSTITUTE(SUBSTITUTE(UPPER($H220)," ",""),"D",""),";",REPT(" ",30)),211,30))),0)))))</f>
        <v/>
      </c>
      <c r="K220" s="26" t="n"/>
      <c r="L220" s="6" t="n"/>
      <c r="M220" s="13" t="n"/>
      <c r="N220" s="27">
        <f>IF($C220="","",IF($E220="Falta","-",MAX(0,MIN(10,8+IFERROR(VALUE(TRIM(MID(SUBSTITUTE(SUBSTITUTE(SUBSTITUTE(UPPER($L220)," ",""),"F",""),";",REPT(" ",30)),1,30))),0)+IFERROR(VALUE(TRIM(MID(SUBSTITUTE(SUBSTITUTE(SUBSTITUTE(UPPER($L220)," ",""),"F",""),";",REPT(" ",30)),31,30))),0)+IFERROR(VALUE(TRIM(MID(SUBSTITUTE(SUBSTITUTE(SUBSTITUTE(UPPER($L220)," ",""),"F",""),";",REPT(" ",30)),61,30))),0)+IFERROR(VALUE(TRIM(MID(SUBSTITUTE(SUBSTITUTE(SUBSTITUTE(UPPER($L220)," ",""),"F",""),";",REPT(" ",30)),91,30))),0)+IFERROR(VALUE(TRIM(MID(SUBSTITUTE(SUBSTITUTE(SUBSTITUTE(UPPER($L220)," ",""),"F",""),";",REPT(" ",30)),121,30))),0)+IFERROR(VALUE(TRIM(MID(SUBSTITUTE(SUBSTITUTE(SUBSTITUTE(UPPER($L220)," ",""),"F",""),";",REPT(" ",30)),151,30))),0)+IFERROR(VALUE(TRIM(MID(SUBSTITUTE(SUBSTITUTE(SUBSTITUTE(UPPER($L220)," ",""),"F",""),";",REPT(" ",30)),181,30))),0)+IFERROR(VALUE(TRIM(MID(SUBSTITUTE(SUBSTITUTE(SUBSTITUTE(UPPER($L220)," ",""),"F",""),";",REPT(" ",30)),211,30))),0)))))</f>
        <v/>
      </c>
      <c r="O220" s="26" t="n"/>
      <c r="P220" s="6" t="n"/>
      <c r="Q220" s="13" t="n"/>
      <c r="R220" s="27">
        <f>IF($C220="","",IF($E220="Falta","-",MAX(0,MIN(10,5+IFERROR(VALUE(TRIM(MID(SUBSTITUTE(SUBSTITUTE(SUBSTITUTE(UPPER($P220)," ",""),"C",""),";",REPT(" ",30)),1,30))),0)+IFERROR(VALUE(TRIM(MID(SUBSTITUTE(SUBSTITUTE(SUBSTITUTE(UPPER($P220)," ",""),"C",""),";",REPT(" ",30)),31,30))),0)+IFERROR(VALUE(TRIM(MID(SUBSTITUTE(SUBSTITUTE(SUBSTITUTE(UPPER($P220)," ",""),"C",""),";",REPT(" ",30)),61,30))),0)+IFERROR(VALUE(TRIM(MID(SUBSTITUTE(SUBSTITUTE(SUBSTITUTE(UPPER($P220)," ",""),"C",""),";",REPT(" ",30)),91,30))),0)+IFERROR(VALUE(TRIM(MID(SUBSTITUTE(SUBSTITUTE(SUBSTITUTE(UPPER($P220)," ",""),"C",""),";",REPT(" ",30)),121,30))),0)+IFERROR(VALUE(TRIM(MID(SUBSTITUTE(SUBSTITUTE(SUBSTITUTE(UPPER($P220)," ",""),"C",""),";",REPT(" ",30)),151,30))),0)+IFERROR(VALUE(TRIM(MID(SUBSTITUTE(SUBSTITUTE(SUBSTITUTE(UPPER($P220)," ",""),"C",""),";",REPT(" ",30)),181,30))),0)+IFERROR(VALUE(TRIM(MID(SUBSTITUTE(SUBSTITUTE(SUBSTITUTE(UPPER($P220)," ",""),"C",""),";",REPT(" ",30)),211,30))),0)))))</f>
        <v/>
      </c>
      <c r="S220" s="26" t="n"/>
      <c r="T220" s="6" t="n"/>
      <c r="U220" s="13" t="n"/>
      <c r="V220" s="27">
        <f>IF($C220="","",IF($E220="Falta","-",MAX(0,MIN(10,5+IFERROR(VALUE(TRIM(MID(SUBSTITUTE(SUBSTITUTE(SUBSTITUTE(UPPER($T220)," ",""),"P",""),";",REPT(" ",30)),1,30))),0)+IFERROR(VALUE(TRIM(MID(SUBSTITUTE(SUBSTITUTE(SUBSTITUTE(UPPER($T220)," ",""),"P",""),";",REPT(" ",30)),31,30))),0)+IFERROR(VALUE(TRIM(MID(SUBSTITUTE(SUBSTITUTE(SUBSTITUTE(UPPER($T220)," ",""),"P",""),";",REPT(" ",30)),61,30))),0)+IFERROR(VALUE(TRIM(MID(SUBSTITUTE(SUBSTITUTE(SUBSTITUTE(UPPER($T220)," ",""),"P",""),";",REPT(" ",30)),91,30))),0)+IFERROR(VALUE(TRIM(MID(SUBSTITUTE(SUBSTITUTE(SUBSTITUTE(UPPER($T220)," ",""),"P",""),";",REPT(" ",30)),121,30))),0)+IFERROR(VALUE(TRIM(MID(SUBSTITUTE(SUBSTITUTE(SUBSTITUTE(UPPER($T220)," ",""),"P",""),";",REPT(" ",30)),151,30))),0)+IFERROR(VALUE(TRIM(MID(SUBSTITUTE(SUBSTITUTE(SUBSTITUTE(UPPER($T220)," ",""),"P",""),";",REPT(" ",30)),181,30))),0)+IFERROR(VALUE(TRIM(MID(SUBSTITUTE(SUBSTITUTE(SUBSTITUTE(UPPER($T220)," ",""),"P",""),";",REPT(" ",30)),211,30))),0)))))</f>
        <v/>
      </c>
      <c r="W220" s="26" t="n"/>
      <c r="X220" s="13" t="n"/>
    </row>
    <row r="221">
      <c r="A221" s="6">
        <f>IF($C221="","",44)</f>
        <v/>
      </c>
      <c r="B221" s="6">
        <f>IF($C221="","","3ª Sessão")</f>
        <v/>
      </c>
      <c r="C221" s="6">
        <f>IF(Preenchimento!$B$53="","",Preenchimento!$B$53)</f>
        <v/>
      </c>
      <c r="D221" s="6">
        <f>IF($C221="","",IF(Preenchimento!$C$53="","-",Preenchimento!$C$53))</f>
        <v/>
      </c>
      <c r="E221" s="6" t="n"/>
      <c r="F221" s="6" t="n"/>
      <c r="G221" s="26" t="n"/>
      <c r="H221" s="6" t="n"/>
      <c r="I221" s="13" t="n"/>
      <c r="J221" s="27">
        <f>IF($C221="","",IF($E221="Falta","-",MAX(0,MIN(10,8+IFERROR(VALUE(TRIM(MID(SUBSTITUTE(SUBSTITUTE(SUBSTITUTE(UPPER($H221)," ",""),"D",""),";",REPT(" ",30)),1,30))),0)+IFERROR(VALUE(TRIM(MID(SUBSTITUTE(SUBSTITUTE(SUBSTITUTE(UPPER($H221)," ",""),"D",""),";",REPT(" ",30)),31,30))),0)+IFERROR(VALUE(TRIM(MID(SUBSTITUTE(SUBSTITUTE(SUBSTITUTE(UPPER($H221)," ",""),"D",""),";",REPT(" ",30)),61,30))),0)+IFERROR(VALUE(TRIM(MID(SUBSTITUTE(SUBSTITUTE(SUBSTITUTE(UPPER($H221)," ",""),"D",""),";",REPT(" ",30)),91,30))),0)+IFERROR(VALUE(TRIM(MID(SUBSTITUTE(SUBSTITUTE(SUBSTITUTE(UPPER($H221)," ",""),"D",""),";",REPT(" ",30)),121,30))),0)+IFERROR(VALUE(TRIM(MID(SUBSTITUTE(SUBSTITUTE(SUBSTITUTE(UPPER($H221)," ",""),"D",""),";",REPT(" ",30)),151,30))),0)+IFERROR(VALUE(TRIM(MID(SUBSTITUTE(SUBSTITUTE(SUBSTITUTE(UPPER($H221)," ",""),"D",""),";",REPT(" ",30)),181,30))),0)+IFERROR(VALUE(TRIM(MID(SUBSTITUTE(SUBSTITUTE(SUBSTITUTE(UPPER($H221)," ",""),"D",""),";",REPT(" ",30)),211,30))),0)))))</f>
        <v/>
      </c>
      <c r="K221" s="26" t="n"/>
      <c r="L221" s="6" t="n"/>
      <c r="M221" s="13" t="n"/>
      <c r="N221" s="27">
        <f>IF($C221="","",IF($E221="Falta","-",MAX(0,MIN(10,8+IFERROR(VALUE(TRIM(MID(SUBSTITUTE(SUBSTITUTE(SUBSTITUTE(UPPER($L221)," ",""),"F",""),";",REPT(" ",30)),1,30))),0)+IFERROR(VALUE(TRIM(MID(SUBSTITUTE(SUBSTITUTE(SUBSTITUTE(UPPER($L221)," ",""),"F",""),";",REPT(" ",30)),31,30))),0)+IFERROR(VALUE(TRIM(MID(SUBSTITUTE(SUBSTITUTE(SUBSTITUTE(UPPER($L221)," ",""),"F",""),";",REPT(" ",30)),61,30))),0)+IFERROR(VALUE(TRIM(MID(SUBSTITUTE(SUBSTITUTE(SUBSTITUTE(UPPER($L221)," ",""),"F",""),";",REPT(" ",30)),91,30))),0)+IFERROR(VALUE(TRIM(MID(SUBSTITUTE(SUBSTITUTE(SUBSTITUTE(UPPER($L221)," ",""),"F",""),";",REPT(" ",30)),121,30))),0)+IFERROR(VALUE(TRIM(MID(SUBSTITUTE(SUBSTITUTE(SUBSTITUTE(UPPER($L221)," ",""),"F",""),";",REPT(" ",30)),151,30))),0)+IFERROR(VALUE(TRIM(MID(SUBSTITUTE(SUBSTITUTE(SUBSTITUTE(UPPER($L221)," ",""),"F",""),";",REPT(" ",30)),181,30))),0)+IFERROR(VALUE(TRIM(MID(SUBSTITUTE(SUBSTITUTE(SUBSTITUTE(UPPER($L221)," ",""),"F",""),";",REPT(" ",30)),211,30))),0)))))</f>
        <v/>
      </c>
      <c r="O221" s="26" t="n"/>
      <c r="P221" s="6" t="n"/>
      <c r="Q221" s="13" t="n"/>
      <c r="R221" s="27">
        <f>IF($C221="","",IF($E221="Falta","-",MAX(0,MIN(10,5+IFERROR(VALUE(TRIM(MID(SUBSTITUTE(SUBSTITUTE(SUBSTITUTE(UPPER($P221)," ",""),"C",""),";",REPT(" ",30)),1,30))),0)+IFERROR(VALUE(TRIM(MID(SUBSTITUTE(SUBSTITUTE(SUBSTITUTE(UPPER($P221)," ",""),"C",""),";",REPT(" ",30)),31,30))),0)+IFERROR(VALUE(TRIM(MID(SUBSTITUTE(SUBSTITUTE(SUBSTITUTE(UPPER($P221)," ",""),"C",""),";",REPT(" ",30)),61,30))),0)+IFERROR(VALUE(TRIM(MID(SUBSTITUTE(SUBSTITUTE(SUBSTITUTE(UPPER($P221)," ",""),"C",""),";",REPT(" ",30)),91,30))),0)+IFERROR(VALUE(TRIM(MID(SUBSTITUTE(SUBSTITUTE(SUBSTITUTE(UPPER($P221)," ",""),"C",""),";",REPT(" ",30)),121,30))),0)+IFERROR(VALUE(TRIM(MID(SUBSTITUTE(SUBSTITUTE(SUBSTITUTE(UPPER($P221)," ",""),"C",""),";",REPT(" ",30)),151,30))),0)+IFERROR(VALUE(TRIM(MID(SUBSTITUTE(SUBSTITUTE(SUBSTITUTE(UPPER($P221)," ",""),"C",""),";",REPT(" ",30)),181,30))),0)+IFERROR(VALUE(TRIM(MID(SUBSTITUTE(SUBSTITUTE(SUBSTITUTE(UPPER($P221)," ",""),"C",""),";",REPT(" ",30)),211,30))),0)))))</f>
        <v/>
      </c>
      <c r="S221" s="26" t="n"/>
      <c r="T221" s="6" t="n"/>
      <c r="U221" s="13" t="n"/>
      <c r="V221" s="27">
        <f>IF($C221="","",IF($E221="Falta","-",MAX(0,MIN(10,5+IFERROR(VALUE(TRIM(MID(SUBSTITUTE(SUBSTITUTE(SUBSTITUTE(UPPER($T221)," ",""),"P",""),";",REPT(" ",30)),1,30))),0)+IFERROR(VALUE(TRIM(MID(SUBSTITUTE(SUBSTITUTE(SUBSTITUTE(UPPER($T221)," ",""),"P",""),";",REPT(" ",30)),31,30))),0)+IFERROR(VALUE(TRIM(MID(SUBSTITUTE(SUBSTITUTE(SUBSTITUTE(UPPER($T221)," ",""),"P",""),";",REPT(" ",30)),61,30))),0)+IFERROR(VALUE(TRIM(MID(SUBSTITUTE(SUBSTITUTE(SUBSTITUTE(UPPER($T221)," ",""),"P",""),";",REPT(" ",30)),91,30))),0)+IFERROR(VALUE(TRIM(MID(SUBSTITUTE(SUBSTITUTE(SUBSTITUTE(UPPER($T221)," ",""),"P",""),";",REPT(" ",30)),121,30))),0)+IFERROR(VALUE(TRIM(MID(SUBSTITUTE(SUBSTITUTE(SUBSTITUTE(UPPER($T221)," ",""),"P",""),";",REPT(" ",30)),151,30))),0)+IFERROR(VALUE(TRIM(MID(SUBSTITUTE(SUBSTITUTE(SUBSTITUTE(UPPER($T221)," ",""),"P",""),";",REPT(" ",30)),181,30))),0)+IFERROR(VALUE(TRIM(MID(SUBSTITUTE(SUBSTITUTE(SUBSTITUTE(UPPER($T221)," ",""),"P",""),";",REPT(" ",30)),211,30))),0)))))</f>
        <v/>
      </c>
      <c r="W221" s="26" t="n"/>
      <c r="X221" s="13" t="n"/>
    </row>
    <row r="222">
      <c r="A222" s="6">
        <f>IF($C222="","",44)</f>
        <v/>
      </c>
      <c r="B222" s="6">
        <f>IF($C222="","","4ª Sessão")</f>
        <v/>
      </c>
      <c r="C222" s="6">
        <f>IF(Preenchimento!$B$53="","",Preenchimento!$B$53)</f>
        <v/>
      </c>
      <c r="D222" s="6">
        <f>IF($C222="","",IF(Preenchimento!$C$53="","-",Preenchimento!$C$53))</f>
        <v/>
      </c>
      <c r="E222" s="6" t="n"/>
      <c r="F222" s="6" t="n"/>
      <c r="G222" s="26" t="n"/>
      <c r="H222" s="6" t="n"/>
      <c r="I222" s="13" t="n"/>
      <c r="J222" s="27">
        <f>IF($C222="","",IF($E222="Falta","-",MAX(0,MIN(10,8+IFERROR(VALUE(TRIM(MID(SUBSTITUTE(SUBSTITUTE(SUBSTITUTE(UPPER($H222)," ",""),"D",""),";",REPT(" ",30)),1,30))),0)+IFERROR(VALUE(TRIM(MID(SUBSTITUTE(SUBSTITUTE(SUBSTITUTE(UPPER($H222)," ",""),"D",""),";",REPT(" ",30)),31,30))),0)+IFERROR(VALUE(TRIM(MID(SUBSTITUTE(SUBSTITUTE(SUBSTITUTE(UPPER($H222)," ",""),"D",""),";",REPT(" ",30)),61,30))),0)+IFERROR(VALUE(TRIM(MID(SUBSTITUTE(SUBSTITUTE(SUBSTITUTE(UPPER($H222)," ",""),"D",""),";",REPT(" ",30)),91,30))),0)+IFERROR(VALUE(TRIM(MID(SUBSTITUTE(SUBSTITUTE(SUBSTITUTE(UPPER($H222)," ",""),"D",""),";",REPT(" ",30)),121,30))),0)+IFERROR(VALUE(TRIM(MID(SUBSTITUTE(SUBSTITUTE(SUBSTITUTE(UPPER($H222)," ",""),"D",""),";",REPT(" ",30)),151,30))),0)+IFERROR(VALUE(TRIM(MID(SUBSTITUTE(SUBSTITUTE(SUBSTITUTE(UPPER($H222)," ",""),"D",""),";",REPT(" ",30)),181,30))),0)+IFERROR(VALUE(TRIM(MID(SUBSTITUTE(SUBSTITUTE(SUBSTITUTE(UPPER($H222)," ",""),"D",""),";",REPT(" ",30)),211,30))),0)))))</f>
        <v/>
      </c>
      <c r="K222" s="26" t="n"/>
      <c r="L222" s="6" t="n"/>
      <c r="M222" s="13" t="n"/>
      <c r="N222" s="27">
        <f>IF($C222="","",IF($E222="Falta","-",MAX(0,MIN(10,8+IFERROR(VALUE(TRIM(MID(SUBSTITUTE(SUBSTITUTE(SUBSTITUTE(UPPER($L222)," ",""),"F",""),";",REPT(" ",30)),1,30))),0)+IFERROR(VALUE(TRIM(MID(SUBSTITUTE(SUBSTITUTE(SUBSTITUTE(UPPER($L222)," ",""),"F",""),";",REPT(" ",30)),31,30))),0)+IFERROR(VALUE(TRIM(MID(SUBSTITUTE(SUBSTITUTE(SUBSTITUTE(UPPER($L222)," ",""),"F",""),";",REPT(" ",30)),61,30))),0)+IFERROR(VALUE(TRIM(MID(SUBSTITUTE(SUBSTITUTE(SUBSTITUTE(UPPER($L222)," ",""),"F",""),";",REPT(" ",30)),91,30))),0)+IFERROR(VALUE(TRIM(MID(SUBSTITUTE(SUBSTITUTE(SUBSTITUTE(UPPER($L222)," ",""),"F",""),";",REPT(" ",30)),121,30))),0)+IFERROR(VALUE(TRIM(MID(SUBSTITUTE(SUBSTITUTE(SUBSTITUTE(UPPER($L222)," ",""),"F",""),";",REPT(" ",30)),151,30))),0)+IFERROR(VALUE(TRIM(MID(SUBSTITUTE(SUBSTITUTE(SUBSTITUTE(UPPER($L222)," ",""),"F",""),";",REPT(" ",30)),181,30))),0)+IFERROR(VALUE(TRIM(MID(SUBSTITUTE(SUBSTITUTE(SUBSTITUTE(UPPER($L222)," ",""),"F",""),";",REPT(" ",30)),211,30))),0)))))</f>
        <v/>
      </c>
      <c r="O222" s="26" t="n"/>
      <c r="P222" s="6" t="n"/>
      <c r="Q222" s="13" t="n"/>
      <c r="R222" s="27">
        <f>IF($C222="","",IF($E222="Falta","-",MAX(0,MIN(10,5+IFERROR(VALUE(TRIM(MID(SUBSTITUTE(SUBSTITUTE(SUBSTITUTE(UPPER($P222)," ",""),"C",""),";",REPT(" ",30)),1,30))),0)+IFERROR(VALUE(TRIM(MID(SUBSTITUTE(SUBSTITUTE(SUBSTITUTE(UPPER($P222)," ",""),"C",""),";",REPT(" ",30)),31,30))),0)+IFERROR(VALUE(TRIM(MID(SUBSTITUTE(SUBSTITUTE(SUBSTITUTE(UPPER($P222)," ",""),"C",""),";",REPT(" ",30)),61,30))),0)+IFERROR(VALUE(TRIM(MID(SUBSTITUTE(SUBSTITUTE(SUBSTITUTE(UPPER($P222)," ",""),"C",""),";",REPT(" ",30)),91,30))),0)+IFERROR(VALUE(TRIM(MID(SUBSTITUTE(SUBSTITUTE(SUBSTITUTE(UPPER($P222)," ",""),"C",""),";",REPT(" ",30)),121,30))),0)+IFERROR(VALUE(TRIM(MID(SUBSTITUTE(SUBSTITUTE(SUBSTITUTE(UPPER($P222)," ",""),"C",""),";",REPT(" ",30)),151,30))),0)+IFERROR(VALUE(TRIM(MID(SUBSTITUTE(SUBSTITUTE(SUBSTITUTE(UPPER($P222)," ",""),"C",""),";",REPT(" ",30)),181,30))),0)+IFERROR(VALUE(TRIM(MID(SUBSTITUTE(SUBSTITUTE(SUBSTITUTE(UPPER($P222)," ",""),"C",""),";",REPT(" ",30)),211,30))),0)))))</f>
        <v/>
      </c>
      <c r="S222" s="26" t="n"/>
      <c r="T222" s="6" t="n"/>
      <c r="U222" s="13" t="n"/>
      <c r="V222" s="27">
        <f>IF($C222="","",IF($E222="Falta","-",MAX(0,MIN(10,5+IFERROR(VALUE(TRIM(MID(SUBSTITUTE(SUBSTITUTE(SUBSTITUTE(UPPER($T222)," ",""),"P",""),";",REPT(" ",30)),1,30))),0)+IFERROR(VALUE(TRIM(MID(SUBSTITUTE(SUBSTITUTE(SUBSTITUTE(UPPER($T222)," ",""),"P",""),";",REPT(" ",30)),31,30))),0)+IFERROR(VALUE(TRIM(MID(SUBSTITUTE(SUBSTITUTE(SUBSTITUTE(UPPER($T222)," ",""),"P",""),";",REPT(" ",30)),61,30))),0)+IFERROR(VALUE(TRIM(MID(SUBSTITUTE(SUBSTITUTE(SUBSTITUTE(UPPER($T222)," ",""),"P",""),";",REPT(" ",30)),91,30))),0)+IFERROR(VALUE(TRIM(MID(SUBSTITUTE(SUBSTITUTE(SUBSTITUTE(UPPER($T222)," ",""),"P",""),";",REPT(" ",30)),121,30))),0)+IFERROR(VALUE(TRIM(MID(SUBSTITUTE(SUBSTITUTE(SUBSTITUTE(UPPER($T222)," ",""),"P",""),";",REPT(" ",30)),151,30))),0)+IFERROR(VALUE(TRIM(MID(SUBSTITUTE(SUBSTITUTE(SUBSTITUTE(UPPER($T222)," ",""),"P",""),";",REPT(" ",30)),181,30))),0)+IFERROR(VALUE(TRIM(MID(SUBSTITUTE(SUBSTITUTE(SUBSTITUTE(UPPER($T222)," ",""),"P",""),";",REPT(" ",30)),211,30))),0)))))</f>
        <v/>
      </c>
      <c r="W222" s="26" t="n"/>
      <c r="X222" s="13" t="n"/>
    </row>
    <row r="223">
      <c r="A223" s="6">
        <f>IF($C223="","",44)</f>
        <v/>
      </c>
      <c r="B223" s="6">
        <f>IF($C223="","","5ª Sessão")</f>
        <v/>
      </c>
      <c r="C223" s="6">
        <f>IF(Preenchimento!$B$53="","",Preenchimento!$B$53)</f>
        <v/>
      </c>
      <c r="D223" s="6">
        <f>IF($C223="","",IF(Preenchimento!$C$53="","-",Preenchimento!$C$53))</f>
        <v/>
      </c>
      <c r="E223" s="6" t="n"/>
      <c r="F223" s="6" t="n"/>
      <c r="G223" s="26" t="n"/>
      <c r="H223" s="6" t="n"/>
      <c r="I223" s="13" t="n"/>
      <c r="J223" s="27">
        <f>IF($C223="","",IF($E223="Falta","-",MAX(0,MIN(10,8+IFERROR(VALUE(TRIM(MID(SUBSTITUTE(SUBSTITUTE(SUBSTITUTE(UPPER($H223)," ",""),"D",""),";",REPT(" ",30)),1,30))),0)+IFERROR(VALUE(TRIM(MID(SUBSTITUTE(SUBSTITUTE(SUBSTITUTE(UPPER($H223)," ",""),"D",""),";",REPT(" ",30)),31,30))),0)+IFERROR(VALUE(TRIM(MID(SUBSTITUTE(SUBSTITUTE(SUBSTITUTE(UPPER($H223)," ",""),"D",""),";",REPT(" ",30)),61,30))),0)+IFERROR(VALUE(TRIM(MID(SUBSTITUTE(SUBSTITUTE(SUBSTITUTE(UPPER($H223)," ",""),"D",""),";",REPT(" ",30)),91,30))),0)+IFERROR(VALUE(TRIM(MID(SUBSTITUTE(SUBSTITUTE(SUBSTITUTE(UPPER($H223)," ",""),"D",""),";",REPT(" ",30)),121,30))),0)+IFERROR(VALUE(TRIM(MID(SUBSTITUTE(SUBSTITUTE(SUBSTITUTE(UPPER($H223)," ",""),"D",""),";",REPT(" ",30)),151,30))),0)+IFERROR(VALUE(TRIM(MID(SUBSTITUTE(SUBSTITUTE(SUBSTITUTE(UPPER($H223)," ",""),"D",""),";",REPT(" ",30)),181,30))),0)+IFERROR(VALUE(TRIM(MID(SUBSTITUTE(SUBSTITUTE(SUBSTITUTE(UPPER($H223)," ",""),"D",""),";",REPT(" ",30)),211,30))),0)))))</f>
        <v/>
      </c>
      <c r="K223" s="26" t="n"/>
      <c r="L223" s="6" t="n"/>
      <c r="M223" s="13" t="n"/>
      <c r="N223" s="27">
        <f>IF($C223="","",IF($E223="Falta","-",MAX(0,MIN(10,8+IFERROR(VALUE(TRIM(MID(SUBSTITUTE(SUBSTITUTE(SUBSTITUTE(UPPER($L223)," ",""),"F",""),";",REPT(" ",30)),1,30))),0)+IFERROR(VALUE(TRIM(MID(SUBSTITUTE(SUBSTITUTE(SUBSTITUTE(UPPER($L223)," ",""),"F",""),";",REPT(" ",30)),31,30))),0)+IFERROR(VALUE(TRIM(MID(SUBSTITUTE(SUBSTITUTE(SUBSTITUTE(UPPER($L223)," ",""),"F",""),";",REPT(" ",30)),61,30))),0)+IFERROR(VALUE(TRIM(MID(SUBSTITUTE(SUBSTITUTE(SUBSTITUTE(UPPER($L223)," ",""),"F",""),";",REPT(" ",30)),91,30))),0)+IFERROR(VALUE(TRIM(MID(SUBSTITUTE(SUBSTITUTE(SUBSTITUTE(UPPER($L223)," ",""),"F",""),";",REPT(" ",30)),121,30))),0)+IFERROR(VALUE(TRIM(MID(SUBSTITUTE(SUBSTITUTE(SUBSTITUTE(UPPER($L223)," ",""),"F",""),";",REPT(" ",30)),151,30))),0)+IFERROR(VALUE(TRIM(MID(SUBSTITUTE(SUBSTITUTE(SUBSTITUTE(UPPER($L223)," ",""),"F",""),";",REPT(" ",30)),181,30))),0)+IFERROR(VALUE(TRIM(MID(SUBSTITUTE(SUBSTITUTE(SUBSTITUTE(UPPER($L223)," ",""),"F",""),";",REPT(" ",30)),211,30))),0)))))</f>
        <v/>
      </c>
      <c r="O223" s="26" t="n"/>
      <c r="P223" s="6" t="n"/>
      <c r="Q223" s="13" t="n"/>
      <c r="R223" s="27">
        <f>IF($C223="","",IF($E223="Falta","-",MAX(0,MIN(10,5+IFERROR(VALUE(TRIM(MID(SUBSTITUTE(SUBSTITUTE(SUBSTITUTE(UPPER($P223)," ",""),"C",""),";",REPT(" ",30)),1,30))),0)+IFERROR(VALUE(TRIM(MID(SUBSTITUTE(SUBSTITUTE(SUBSTITUTE(UPPER($P223)," ",""),"C",""),";",REPT(" ",30)),31,30))),0)+IFERROR(VALUE(TRIM(MID(SUBSTITUTE(SUBSTITUTE(SUBSTITUTE(UPPER($P223)," ",""),"C",""),";",REPT(" ",30)),61,30))),0)+IFERROR(VALUE(TRIM(MID(SUBSTITUTE(SUBSTITUTE(SUBSTITUTE(UPPER($P223)," ",""),"C",""),";",REPT(" ",30)),91,30))),0)+IFERROR(VALUE(TRIM(MID(SUBSTITUTE(SUBSTITUTE(SUBSTITUTE(UPPER($P223)," ",""),"C",""),";",REPT(" ",30)),121,30))),0)+IFERROR(VALUE(TRIM(MID(SUBSTITUTE(SUBSTITUTE(SUBSTITUTE(UPPER($P223)," ",""),"C",""),";",REPT(" ",30)),151,30))),0)+IFERROR(VALUE(TRIM(MID(SUBSTITUTE(SUBSTITUTE(SUBSTITUTE(UPPER($P223)," ",""),"C",""),";",REPT(" ",30)),181,30))),0)+IFERROR(VALUE(TRIM(MID(SUBSTITUTE(SUBSTITUTE(SUBSTITUTE(UPPER($P223)," ",""),"C",""),";",REPT(" ",30)),211,30))),0)))))</f>
        <v/>
      </c>
      <c r="S223" s="26" t="n"/>
      <c r="T223" s="6" t="n"/>
      <c r="U223" s="13" t="n"/>
      <c r="V223" s="27">
        <f>IF($C223="","",IF($E223="Falta","-",MAX(0,MIN(10,5+IFERROR(VALUE(TRIM(MID(SUBSTITUTE(SUBSTITUTE(SUBSTITUTE(UPPER($T223)," ",""),"P",""),";",REPT(" ",30)),1,30))),0)+IFERROR(VALUE(TRIM(MID(SUBSTITUTE(SUBSTITUTE(SUBSTITUTE(UPPER($T223)," ",""),"P",""),";",REPT(" ",30)),31,30))),0)+IFERROR(VALUE(TRIM(MID(SUBSTITUTE(SUBSTITUTE(SUBSTITUTE(UPPER($T223)," ",""),"P",""),";",REPT(" ",30)),61,30))),0)+IFERROR(VALUE(TRIM(MID(SUBSTITUTE(SUBSTITUTE(SUBSTITUTE(UPPER($T223)," ",""),"P",""),";",REPT(" ",30)),91,30))),0)+IFERROR(VALUE(TRIM(MID(SUBSTITUTE(SUBSTITUTE(SUBSTITUTE(UPPER($T223)," ",""),"P",""),";",REPT(" ",30)),121,30))),0)+IFERROR(VALUE(TRIM(MID(SUBSTITUTE(SUBSTITUTE(SUBSTITUTE(UPPER($T223)," ",""),"P",""),";",REPT(" ",30)),151,30))),0)+IFERROR(VALUE(TRIM(MID(SUBSTITUTE(SUBSTITUTE(SUBSTITUTE(UPPER($T223)," ",""),"P",""),";",REPT(" ",30)),181,30))),0)+IFERROR(VALUE(TRIM(MID(SUBSTITUTE(SUBSTITUTE(SUBSTITUTE(UPPER($T223)," ",""),"P",""),";",REPT(" ",30)),211,30))),0)))))</f>
        <v/>
      </c>
      <c r="W223" s="26" t="n"/>
      <c r="X223" s="13" t="n"/>
    </row>
    <row r="224">
      <c r="A224" s="8">
        <f>IF($C224="","",45)</f>
        <v/>
      </c>
      <c r="B224" s="8">
        <f>IF($C224="","","1ª Sessão")</f>
        <v/>
      </c>
      <c r="C224" s="8">
        <f>IF(Preenchimento!$B$54="","",Preenchimento!$B$54)</f>
        <v/>
      </c>
      <c r="D224" s="8">
        <f>IF($C224="","",IF(Preenchimento!$C$54="","-",Preenchimento!$C$54))</f>
        <v/>
      </c>
      <c r="E224" s="8" t="n"/>
      <c r="F224" s="8" t="n"/>
      <c r="G224" s="24" t="n"/>
      <c r="H224" s="8" t="n"/>
      <c r="I224" s="14" t="n"/>
      <c r="J224" s="25">
        <f>IF($C224="","",IF($E224="Falta","-",MAX(0,MIN(10,8+IFERROR(VALUE(TRIM(MID(SUBSTITUTE(SUBSTITUTE(SUBSTITUTE(UPPER($H224)," ",""),"D",""),";",REPT(" ",30)),1,30))),0)+IFERROR(VALUE(TRIM(MID(SUBSTITUTE(SUBSTITUTE(SUBSTITUTE(UPPER($H224)," ",""),"D",""),";",REPT(" ",30)),31,30))),0)+IFERROR(VALUE(TRIM(MID(SUBSTITUTE(SUBSTITUTE(SUBSTITUTE(UPPER($H224)," ",""),"D",""),";",REPT(" ",30)),61,30))),0)+IFERROR(VALUE(TRIM(MID(SUBSTITUTE(SUBSTITUTE(SUBSTITUTE(UPPER($H224)," ",""),"D",""),";",REPT(" ",30)),91,30))),0)+IFERROR(VALUE(TRIM(MID(SUBSTITUTE(SUBSTITUTE(SUBSTITUTE(UPPER($H224)," ",""),"D",""),";",REPT(" ",30)),121,30))),0)+IFERROR(VALUE(TRIM(MID(SUBSTITUTE(SUBSTITUTE(SUBSTITUTE(UPPER($H224)," ",""),"D",""),";",REPT(" ",30)),151,30))),0)+IFERROR(VALUE(TRIM(MID(SUBSTITUTE(SUBSTITUTE(SUBSTITUTE(UPPER($H224)," ",""),"D",""),";",REPT(" ",30)),181,30))),0)+IFERROR(VALUE(TRIM(MID(SUBSTITUTE(SUBSTITUTE(SUBSTITUTE(UPPER($H224)," ",""),"D",""),";",REPT(" ",30)),211,30))),0)))))</f>
        <v/>
      </c>
      <c r="K224" s="24" t="n"/>
      <c r="L224" s="8" t="n"/>
      <c r="M224" s="14" t="n"/>
      <c r="N224" s="25">
        <f>IF($C224="","",IF($E224="Falta","-",MAX(0,MIN(10,8+IFERROR(VALUE(TRIM(MID(SUBSTITUTE(SUBSTITUTE(SUBSTITUTE(UPPER($L224)," ",""),"F",""),";",REPT(" ",30)),1,30))),0)+IFERROR(VALUE(TRIM(MID(SUBSTITUTE(SUBSTITUTE(SUBSTITUTE(UPPER($L224)," ",""),"F",""),";",REPT(" ",30)),31,30))),0)+IFERROR(VALUE(TRIM(MID(SUBSTITUTE(SUBSTITUTE(SUBSTITUTE(UPPER($L224)," ",""),"F",""),";",REPT(" ",30)),61,30))),0)+IFERROR(VALUE(TRIM(MID(SUBSTITUTE(SUBSTITUTE(SUBSTITUTE(UPPER($L224)," ",""),"F",""),";",REPT(" ",30)),91,30))),0)+IFERROR(VALUE(TRIM(MID(SUBSTITUTE(SUBSTITUTE(SUBSTITUTE(UPPER($L224)," ",""),"F",""),";",REPT(" ",30)),121,30))),0)+IFERROR(VALUE(TRIM(MID(SUBSTITUTE(SUBSTITUTE(SUBSTITUTE(UPPER($L224)," ",""),"F",""),";",REPT(" ",30)),151,30))),0)+IFERROR(VALUE(TRIM(MID(SUBSTITUTE(SUBSTITUTE(SUBSTITUTE(UPPER($L224)," ",""),"F",""),";",REPT(" ",30)),181,30))),0)+IFERROR(VALUE(TRIM(MID(SUBSTITUTE(SUBSTITUTE(SUBSTITUTE(UPPER($L224)," ",""),"F",""),";",REPT(" ",30)),211,30))),0)))))</f>
        <v/>
      </c>
      <c r="O224" s="24" t="n"/>
      <c r="P224" s="8" t="n"/>
      <c r="Q224" s="14" t="n"/>
      <c r="R224" s="25">
        <f>IF($C224="","",IF($E224="Falta","-",MAX(0,MIN(10,5+IFERROR(VALUE(TRIM(MID(SUBSTITUTE(SUBSTITUTE(SUBSTITUTE(UPPER($P224)," ",""),"C",""),";",REPT(" ",30)),1,30))),0)+IFERROR(VALUE(TRIM(MID(SUBSTITUTE(SUBSTITUTE(SUBSTITUTE(UPPER($P224)," ",""),"C",""),";",REPT(" ",30)),31,30))),0)+IFERROR(VALUE(TRIM(MID(SUBSTITUTE(SUBSTITUTE(SUBSTITUTE(UPPER($P224)," ",""),"C",""),";",REPT(" ",30)),61,30))),0)+IFERROR(VALUE(TRIM(MID(SUBSTITUTE(SUBSTITUTE(SUBSTITUTE(UPPER($P224)," ",""),"C",""),";",REPT(" ",30)),91,30))),0)+IFERROR(VALUE(TRIM(MID(SUBSTITUTE(SUBSTITUTE(SUBSTITUTE(UPPER($P224)," ",""),"C",""),";",REPT(" ",30)),121,30))),0)+IFERROR(VALUE(TRIM(MID(SUBSTITUTE(SUBSTITUTE(SUBSTITUTE(UPPER($P224)," ",""),"C",""),";",REPT(" ",30)),151,30))),0)+IFERROR(VALUE(TRIM(MID(SUBSTITUTE(SUBSTITUTE(SUBSTITUTE(UPPER($P224)," ",""),"C",""),";",REPT(" ",30)),181,30))),0)+IFERROR(VALUE(TRIM(MID(SUBSTITUTE(SUBSTITUTE(SUBSTITUTE(UPPER($P224)," ",""),"C",""),";",REPT(" ",30)),211,30))),0)))))</f>
        <v/>
      </c>
      <c r="S224" s="24" t="n"/>
      <c r="T224" s="8" t="n"/>
      <c r="U224" s="14" t="n"/>
      <c r="V224" s="25">
        <f>IF($C224="","",IF($E224="Falta","-",MAX(0,MIN(10,5+IFERROR(VALUE(TRIM(MID(SUBSTITUTE(SUBSTITUTE(SUBSTITUTE(UPPER($T224)," ",""),"P",""),";",REPT(" ",30)),1,30))),0)+IFERROR(VALUE(TRIM(MID(SUBSTITUTE(SUBSTITUTE(SUBSTITUTE(UPPER($T224)," ",""),"P",""),";",REPT(" ",30)),31,30))),0)+IFERROR(VALUE(TRIM(MID(SUBSTITUTE(SUBSTITUTE(SUBSTITUTE(UPPER($T224)," ",""),"P",""),";",REPT(" ",30)),61,30))),0)+IFERROR(VALUE(TRIM(MID(SUBSTITUTE(SUBSTITUTE(SUBSTITUTE(UPPER($T224)," ",""),"P",""),";",REPT(" ",30)),91,30))),0)+IFERROR(VALUE(TRIM(MID(SUBSTITUTE(SUBSTITUTE(SUBSTITUTE(UPPER($T224)," ",""),"P",""),";",REPT(" ",30)),121,30))),0)+IFERROR(VALUE(TRIM(MID(SUBSTITUTE(SUBSTITUTE(SUBSTITUTE(UPPER($T224)," ",""),"P",""),";",REPT(" ",30)),151,30))),0)+IFERROR(VALUE(TRIM(MID(SUBSTITUTE(SUBSTITUTE(SUBSTITUTE(UPPER($T224)," ",""),"P",""),";",REPT(" ",30)),181,30))),0)+IFERROR(VALUE(TRIM(MID(SUBSTITUTE(SUBSTITUTE(SUBSTITUTE(UPPER($T224)," ",""),"P",""),";",REPT(" ",30)),211,30))),0)))))</f>
        <v/>
      </c>
      <c r="W224" s="24" t="n"/>
      <c r="X224" s="14" t="n"/>
    </row>
    <row r="225">
      <c r="A225" s="8">
        <f>IF($C225="","",45)</f>
        <v/>
      </c>
      <c r="B225" s="8">
        <f>IF($C225="","","2ª Sessão")</f>
        <v/>
      </c>
      <c r="C225" s="8">
        <f>IF(Preenchimento!$B$54="","",Preenchimento!$B$54)</f>
        <v/>
      </c>
      <c r="D225" s="8">
        <f>IF($C225="","",IF(Preenchimento!$C$54="","-",Preenchimento!$C$54))</f>
        <v/>
      </c>
      <c r="E225" s="8" t="n"/>
      <c r="F225" s="8" t="n"/>
      <c r="G225" s="24" t="n"/>
      <c r="H225" s="8" t="n"/>
      <c r="I225" s="14" t="n"/>
      <c r="J225" s="25">
        <f>IF($C225="","",IF($E225="Falta","-",MAX(0,MIN(10,8+IFERROR(VALUE(TRIM(MID(SUBSTITUTE(SUBSTITUTE(SUBSTITUTE(UPPER($H225)," ",""),"D",""),";",REPT(" ",30)),1,30))),0)+IFERROR(VALUE(TRIM(MID(SUBSTITUTE(SUBSTITUTE(SUBSTITUTE(UPPER($H225)," ",""),"D",""),";",REPT(" ",30)),31,30))),0)+IFERROR(VALUE(TRIM(MID(SUBSTITUTE(SUBSTITUTE(SUBSTITUTE(UPPER($H225)," ",""),"D",""),";",REPT(" ",30)),61,30))),0)+IFERROR(VALUE(TRIM(MID(SUBSTITUTE(SUBSTITUTE(SUBSTITUTE(UPPER($H225)," ",""),"D",""),";",REPT(" ",30)),91,30))),0)+IFERROR(VALUE(TRIM(MID(SUBSTITUTE(SUBSTITUTE(SUBSTITUTE(UPPER($H225)," ",""),"D",""),";",REPT(" ",30)),121,30))),0)+IFERROR(VALUE(TRIM(MID(SUBSTITUTE(SUBSTITUTE(SUBSTITUTE(UPPER($H225)," ",""),"D",""),";",REPT(" ",30)),151,30))),0)+IFERROR(VALUE(TRIM(MID(SUBSTITUTE(SUBSTITUTE(SUBSTITUTE(UPPER($H225)," ",""),"D",""),";",REPT(" ",30)),181,30))),0)+IFERROR(VALUE(TRIM(MID(SUBSTITUTE(SUBSTITUTE(SUBSTITUTE(UPPER($H225)," ",""),"D",""),";",REPT(" ",30)),211,30))),0)))))</f>
        <v/>
      </c>
      <c r="K225" s="24" t="n"/>
      <c r="L225" s="8" t="n"/>
      <c r="M225" s="14" t="n"/>
      <c r="N225" s="25">
        <f>IF($C225="","",IF($E225="Falta","-",MAX(0,MIN(10,8+IFERROR(VALUE(TRIM(MID(SUBSTITUTE(SUBSTITUTE(SUBSTITUTE(UPPER($L225)," ",""),"F",""),";",REPT(" ",30)),1,30))),0)+IFERROR(VALUE(TRIM(MID(SUBSTITUTE(SUBSTITUTE(SUBSTITUTE(UPPER($L225)," ",""),"F",""),";",REPT(" ",30)),31,30))),0)+IFERROR(VALUE(TRIM(MID(SUBSTITUTE(SUBSTITUTE(SUBSTITUTE(UPPER($L225)," ",""),"F",""),";",REPT(" ",30)),61,30))),0)+IFERROR(VALUE(TRIM(MID(SUBSTITUTE(SUBSTITUTE(SUBSTITUTE(UPPER($L225)," ",""),"F",""),";",REPT(" ",30)),91,30))),0)+IFERROR(VALUE(TRIM(MID(SUBSTITUTE(SUBSTITUTE(SUBSTITUTE(UPPER($L225)," ",""),"F",""),";",REPT(" ",30)),121,30))),0)+IFERROR(VALUE(TRIM(MID(SUBSTITUTE(SUBSTITUTE(SUBSTITUTE(UPPER($L225)," ",""),"F",""),";",REPT(" ",30)),151,30))),0)+IFERROR(VALUE(TRIM(MID(SUBSTITUTE(SUBSTITUTE(SUBSTITUTE(UPPER($L225)," ",""),"F",""),";",REPT(" ",30)),181,30))),0)+IFERROR(VALUE(TRIM(MID(SUBSTITUTE(SUBSTITUTE(SUBSTITUTE(UPPER($L225)," ",""),"F",""),";",REPT(" ",30)),211,30))),0)))))</f>
        <v/>
      </c>
      <c r="O225" s="24" t="n"/>
      <c r="P225" s="8" t="n"/>
      <c r="Q225" s="14" t="n"/>
      <c r="R225" s="25">
        <f>IF($C225="","",IF($E225="Falta","-",MAX(0,MIN(10,5+IFERROR(VALUE(TRIM(MID(SUBSTITUTE(SUBSTITUTE(SUBSTITUTE(UPPER($P225)," ",""),"C",""),";",REPT(" ",30)),1,30))),0)+IFERROR(VALUE(TRIM(MID(SUBSTITUTE(SUBSTITUTE(SUBSTITUTE(UPPER($P225)," ",""),"C",""),";",REPT(" ",30)),31,30))),0)+IFERROR(VALUE(TRIM(MID(SUBSTITUTE(SUBSTITUTE(SUBSTITUTE(UPPER($P225)," ",""),"C",""),";",REPT(" ",30)),61,30))),0)+IFERROR(VALUE(TRIM(MID(SUBSTITUTE(SUBSTITUTE(SUBSTITUTE(UPPER($P225)," ",""),"C",""),";",REPT(" ",30)),91,30))),0)+IFERROR(VALUE(TRIM(MID(SUBSTITUTE(SUBSTITUTE(SUBSTITUTE(UPPER($P225)," ",""),"C",""),";",REPT(" ",30)),121,30))),0)+IFERROR(VALUE(TRIM(MID(SUBSTITUTE(SUBSTITUTE(SUBSTITUTE(UPPER($P225)," ",""),"C",""),";",REPT(" ",30)),151,30))),0)+IFERROR(VALUE(TRIM(MID(SUBSTITUTE(SUBSTITUTE(SUBSTITUTE(UPPER($P225)," ",""),"C",""),";",REPT(" ",30)),181,30))),0)+IFERROR(VALUE(TRIM(MID(SUBSTITUTE(SUBSTITUTE(SUBSTITUTE(UPPER($P225)," ",""),"C",""),";",REPT(" ",30)),211,30))),0)))))</f>
        <v/>
      </c>
      <c r="S225" s="24" t="n"/>
      <c r="T225" s="8" t="n"/>
      <c r="U225" s="14" t="n"/>
      <c r="V225" s="25">
        <f>IF($C225="","",IF($E225="Falta","-",MAX(0,MIN(10,5+IFERROR(VALUE(TRIM(MID(SUBSTITUTE(SUBSTITUTE(SUBSTITUTE(UPPER($T225)," ",""),"P",""),";",REPT(" ",30)),1,30))),0)+IFERROR(VALUE(TRIM(MID(SUBSTITUTE(SUBSTITUTE(SUBSTITUTE(UPPER($T225)," ",""),"P",""),";",REPT(" ",30)),31,30))),0)+IFERROR(VALUE(TRIM(MID(SUBSTITUTE(SUBSTITUTE(SUBSTITUTE(UPPER($T225)," ",""),"P",""),";",REPT(" ",30)),61,30))),0)+IFERROR(VALUE(TRIM(MID(SUBSTITUTE(SUBSTITUTE(SUBSTITUTE(UPPER($T225)," ",""),"P",""),";",REPT(" ",30)),91,30))),0)+IFERROR(VALUE(TRIM(MID(SUBSTITUTE(SUBSTITUTE(SUBSTITUTE(UPPER($T225)," ",""),"P",""),";",REPT(" ",30)),121,30))),0)+IFERROR(VALUE(TRIM(MID(SUBSTITUTE(SUBSTITUTE(SUBSTITUTE(UPPER($T225)," ",""),"P",""),";",REPT(" ",30)),151,30))),0)+IFERROR(VALUE(TRIM(MID(SUBSTITUTE(SUBSTITUTE(SUBSTITUTE(UPPER($T225)," ",""),"P",""),";",REPT(" ",30)),181,30))),0)+IFERROR(VALUE(TRIM(MID(SUBSTITUTE(SUBSTITUTE(SUBSTITUTE(UPPER($T225)," ",""),"P",""),";",REPT(" ",30)),211,30))),0)))))</f>
        <v/>
      </c>
      <c r="W225" s="24" t="n"/>
      <c r="X225" s="14" t="n"/>
    </row>
    <row r="226">
      <c r="A226" s="8">
        <f>IF($C226="","",45)</f>
        <v/>
      </c>
      <c r="B226" s="8">
        <f>IF($C226="","","3ª Sessão")</f>
        <v/>
      </c>
      <c r="C226" s="8">
        <f>IF(Preenchimento!$B$54="","",Preenchimento!$B$54)</f>
        <v/>
      </c>
      <c r="D226" s="8">
        <f>IF($C226="","",IF(Preenchimento!$C$54="","-",Preenchimento!$C$54))</f>
        <v/>
      </c>
      <c r="E226" s="8" t="n"/>
      <c r="F226" s="8" t="n"/>
      <c r="G226" s="24" t="n"/>
      <c r="H226" s="8" t="n"/>
      <c r="I226" s="14" t="n"/>
      <c r="J226" s="25">
        <f>IF($C226="","",IF($E226="Falta","-",MAX(0,MIN(10,8+IFERROR(VALUE(TRIM(MID(SUBSTITUTE(SUBSTITUTE(SUBSTITUTE(UPPER($H226)," ",""),"D",""),";",REPT(" ",30)),1,30))),0)+IFERROR(VALUE(TRIM(MID(SUBSTITUTE(SUBSTITUTE(SUBSTITUTE(UPPER($H226)," ",""),"D",""),";",REPT(" ",30)),31,30))),0)+IFERROR(VALUE(TRIM(MID(SUBSTITUTE(SUBSTITUTE(SUBSTITUTE(UPPER($H226)," ",""),"D",""),";",REPT(" ",30)),61,30))),0)+IFERROR(VALUE(TRIM(MID(SUBSTITUTE(SUBSTITUTE(SUBSTITUTE(UPPER($H226)," ",""),"D",""),";",REPT(" ",30)),91,30))),0)+IFERROR(VALUE(TRIM(MID(SUBSTITUTE(SUBSTITUTE(SUBSTITUTE(UPPER($H226)," ",""),"D",""),";",REPT(" ",30)),121,30))),0)+IFERROR(VALUE(TRIM(MID(SUBSTITUTE(SUBSTITUTE(SUBSTITUTE(UPPER($H226)," ",""),"D",""),";",REPT(" ",30)),151,30))),0)+IFERROR(VALUE(TRIM(MID(SUBSTITUTE(SUBSTITUTE(SUBSTITUTE(UPPER($H226)," ",""),"D",""),";",REPT(" ",30)),181,30))),0)+IFERROR(VALUE(TRIM(MID(SUBSTITUTE(SUBSTITUTE(SUBSTITUTE(UPPER($H226)," ",""),"D",""),";",REPT(" ",30)),211,30))),0)))))</f>
        <v/>
      </c>
      <c r="K226" s="24" t="n"/>
      <c r="L226" s="8" t="n"/>
      <c r="M226" s="14" t="n"/>
      <c r="N226" s="25">
        <f>IF($C226="","",IF($E226="Falta","-",MAX(0,MIN(10,8+IFERROR(VALUE(TRIM(MID(SUBSTITUTE(SUBSTITUTE(SUBSTITUTE(UPPER($L226)," ",""),"F",""),";",REPT(" ",30)),1,30))),0)+IFERROR(VALUE(TRIM(MID(SUBSTITUTE(SUBSTITUTE(SUBSTITUTE(UPPER($L226)," ",""),"F",""),";",REPT(" ",30)),31,30))),0)+IFERROR(VALUE(TRIM(MID(SUBSTITUTE(SUBSTITUTE(SUBSTITUTE(UPPER($L226)," ",""),"F",""),";",REPT(" ",30)),61,30))),0)+IFERROR(VALUE(TRIM(MID(SUBSTITUTE(SUBSTITUTE(SUBSTITUTE(UPPER($L226)," ",""),"F",""),";",REPT(" ",30)),91,30))),0)+IFERROR(VALUE(TRIM(MID(SUBSTITUTE(SUBSTITUTE(SUBSTITUTE(UPPER($L226)," ",""),"F",""),";",REPT(" ",30)),121,30))),0)+IFERROR(VALUE(TRIM(MID(SUBSTITUTE(SUBSTITUTE(SUBSTITUTE(UPPER($L226)," ",""),"F",""),";",REPT(" ",30)),151,30))),0)+IFERROR(VALUE(TRIM(MID(SUBSTITUTE(SUBSTITUTE(SUBSTITUTE(UPPER($L226)," ",""),"F",""),";",REPT(" ",30)),181,30))),0)+IFERROR(VALUE(TRIM(MID(SUBSTITUTE(SUBSTITUTE(SUBSTITUTE(UPPER($L226)," ",""),"F",""),";",REPT(" ",30)),211,30))),0)))))</f>
        <v/>
      </c>
      <c r="O226" s="24" t="n"/>
      <c r="P226" s="8" t="n"/>
      <c r="Q226" s="14" t="n"/>
      <c r="R226" s="25">
        <f>IF($C226="","",IF($E226="Falta","-",MAX(0,MIN(10,5+IFERROR(VALUE(TRIM(MID(SUBSTITUTE(SUBSTITUTE(SUBSTITUTE(UPPER($P226)," ",""),"C",""),";",REPT(" ",30)),1,30))),0)+IFERROR(VALUE(TRIM(MID(SUBSTITUTE(SUBSTITUTE(SUBSTITUTE(UPPER($P226)," ",""),"C",""),";",REPT(" ",30)),31,30))),0)+IFERROR(VALUE(TRIM(MID(SUBSTITUTE(SUBSTITUTE(SUBSTITUTE(UPPER($P226)," ",""),"C",""),";",REPT(" ",30)),61,30))),0)+IFERROR(VALUE(TRIM(MID(SUBSTITUTE(SUBSTITUTE(SUBSTITUTE(UPPER($P226)," ",""),"C",""),";",REPT(" ",30)),91,30))),0)+IFERROR(VALUE(TRIM(MID(SUBSTITUTE(SUBSTITUTE(SUBSTITUTE(UPPER($P226)," ",""),"C",""),";",REPT(" ",30)),121,30))),0)+IFERROR(VALUE(TRIM(MID(SUBSTITUTE(SUBSTITUTE(SUBSTITUTE(UPPER($P226)," ",""),"C",""),";",REPT(" ",30)),151,30))),0)+IFERROR(VALUE(TRIM(MID(SUBSTITUTE(SUBSTITUTE(SUBSTITUTE(UPPER($P226)," ",""),"C",""),";",REPT(" ",30)),181,30))),0)+IFERROR(VALUE(TRIM(MID(SUBSTITUTE(SUBSTITUTE(SUBSTITUTE(UPPER($P226)," ",""),"C",""),";",REPT(" ",30)),211,30))),0)))))</f>
        <v/>
      </c>
      <c r="S226" s="24" t="n"/>
      <c r="T226" s="8" t="n"/>
      <c r="U226" s="14" t="n"/>
      <c r="V226" s="25">
        <f>IF($C226="","",IF($E226="Falta","-",MAX(0,MIN(10,5+IFERROR(VALUE(TRIM(MID(SUBSTITUTE(SUBSTITUTE(SUBSTITUTE(UPPER($T226)," ",""),"P",""),";",REPT(" ",30)),1,30))),0)+IFERROR(VALUE(TRIM(MID(SUBSTITUTE(SUBSTITUTE(SUBSTITUTE(UPPER($T226)," ",""),"P",""),";",REPT(" ",30)),31,30))),0)+IFERROR(VALUE(TRIM(MID(SUBSTITUTE(SUBSTITUTE(SUBSTITUTE(UPPER($T226)," ",""),"P",""),";",REPT(" ",30)),61,30))),0)+IFERROR(VALUE(TRIM(MID(SUBSTITUTE(SUBSTITUTE(SUBSTITUTE(UPPER($T226)," ",""),"P",""),";",REPT(" ",30)),91,30))),0)+IFERROR(VALUE(TRIM(MID(SUBSTITUTE(SUBSTITUTE(SUBSTITUTE(UPPER($T226)," ",""),"P",""),";",REPT(" ",30)),121,30))),0)+IFERROR(VALUE(TRIM(MID(SUBSTITUTE(SUBSTITUTE(SUBSTITUTE(UPPER($T226)," ",""),"P",""),";",REPT(" ",30)),151,30))),0)+IFERROR(VALUE(TRIM(MID(SUBSTITUTE(SUBSTITUTE(SUBSTITUTE(UPPER($T226)," ",""),"P",""),";",REPT(" ",30)),181,30))),0)+IFERROR(VALUE(TRIM(MID(SUBSTITUTE(SUBSTITUTE(SUBSTITUTE(UPPER($T226)," ",""),"P",""),";",REPT(" ",30)),211,30))),0)))))</f>
        <v/>
      </c>
      <c r="W226" s="24" t="n"/>
      <c r="X226" s="14" t="n"/>
    </row>
    <row r="227">
      <c r="A227" s="8">
        <f>IF($C227="","",45)</f>
        <v/>
      </c>
      <c r="B227" s="8">
        <f>IF($C227="","","4ª Sessão")</f>
        <v/>
      </c>
      <c r="C227" s="8">
        <f>IF(Preenchimento!$B$54="","",Preenchimento!$B$54)</f>
        <v/>
      </c>
      <c r="D227" s="8">
        <f>IF($C227="","",IF(Preenchimento!$C$54="","-",Preenchimento!$C$54))</f>
        <v/>
      </c>
      <c r="E227" s="8" t="n"/>
      <c r="F227" s="8" t="n"/>
      <c r="G227" s="24" t="n"/>
      <c r="H227" s="8" t="n"/>
      <c r="I227" s="14" t="n"/>
      <c r="J227" s="25">
        <f>IF($C227="","",IF($E227="Falta","-",MAX(0,MIN(10,8+IFERROR(VALUE(TRIM(MID(SUBSTITUTE(SUBSTITUTE(SUBSTITUTE(UPPER($H227)," ",""),"D",""),";",REPT(" ",30)),1,30))),0)+IFERROR(VALUE(TRIM(MID(SUBSTITUTE(SUBSTITUTE(SUBSTITUTE(UPPER($H227)," ",""),"D",""),";",REPT(" ",30)),31,30))),0)+IFERROR(VALUE(TRIM(MID(SUBSTITUTE(SUBSTITUTE(SUBSTITUTE(UPPER($H227)," ",""),"D",""),";",REPT(" ",30)),61,30))),0)+IFERROR(VALUE(TRIM(MID(SUBSTITUTE(SUBSTITUTE(SUBSTITUTE(UPPER($H227)," ",""),"D",""),";",REPT(" ",30)),91,30))),0)+IFERROR(VALUE(TRIM(MID(SUBSTITUTE(SUBSTITUTE(SUBSTITUTE(UPPER($H227)," ",""),"D",""),";",REPT(" ",30)),121,30))),0)+IFERROR(VALUE(TRIM(MID(SUBSTITUTE(SUBSTITUTE(SUBSTITUTE(UPPER($H227)," ",""),"D",""),";",REPT(" ",30)),151,30))),0)+IFERROR(VALUE(TRIM(MID(SUBSTITUTE(SUBSTITUTE(SUBSTITUTE(UPPER($H227)," ",""),"D",""),";",REPT(" ",30)),181,30))),0)+IFERROR(VALUE(TRIM(MID(SUBSTITUTE(SUBSTITUTE(SUBSTITUTE(UPPER($H227)," ",""),"D",""),";",REPT(" ",30)),211,30))),0)))))</f>
        <v/>
      </c>
      <c r="K227" s="24" t="n"/>
      <c r="L227" s="8" t="n"/>
      <c r="M227" s="14" t="n"/>
      <c r="N227" s="25">
        <f>IF($C227="","",IF($E227="Falta","-",MAX(0,MIN(10,8+IFERROR(VALUE(TRIM(MID(SUBSTITUTE(SUBSTITUTE(SUBSTITUTE(UPPER($L227)," ",""),"F",""),";",REPT(" ",30)),1,30))),0)+IFERROR(VALUE(TRIM(MID(SUBSTITUTE(SUBSTITUTE(SUBSTITUTE(UPPER($L227)," ",""),"F",""),";",REPT(" ",30)),31,30))),0)+IFERROR(VALUE(TRIM(MID(SUBSTITUTE(SUBSTITUTE(SUBSTITUTE(UPPER($L227)," ",""),"F",""),";",REPT(" ",30)),61,30))),0)+IFERROR(VALUE(TRIM(MID(SUBSTITUTE(SUBSTITUTE(SUBSTITUTE(UPPER($L227)," ",""),"F",""),";",REPT(" ",30)),91,30))),0)+IFERROR(VALUE(TRIM(MID(SUBSTITUTE(SUBSTITUTE(SUBSTITUTE(UPPER($L227)," ",""),"F",""),";",REPT(" ",30)),121,30))),0)+IFERROR(VALUE(TRIM(MID(SUBSTITUTE(SUBSTITUTE(SUBSTITUTE(UPPER($L227)," ",""),"F",""),";",REPT(" ",30)),151,30))),0)+IFERROR(VALUE(TRIM(MID(SUBSTITUTE(SUBSTITUTE(SUBSTITUTE(UPPER($L227)," ",""),"F",""),";",REPT(" ",30)),181,30))),0)+IFERROR(VALUE(TRIM(MID(SUBSTITUTE(SUBSTITUTE(SUBSTITUTE(UPPER($L227)," ",""),"F",""),";",REPT(" ",30)),211,30))),0)))))</f>
        <v/>
      </c>
      <c r="O227" s="24" t="n"/>
      <c r="P227" s="8" t="n"/>
      <c r="Q227" s="14" t="n"/>
      <c r="R227" s="25">
        <f>IF($C227="","",IF($E227="Falta","-",MAX(0,MIN(10,5+IFERROR(VALUE(TRIM(MID(SUBSTITUTE(SUBSTITUTE(SUBSTITUTE(UPPER($P227)," ",""),"C",""),";",REPT(" ",30)),1,30))),0)+IFERROR(VALUE(TRIM(MID(SUBSTITUTE(SUBSTITUTE(SUBSTITUTE(UPPER($P227)," ",""),"C",""),";",REPT(" ",30)),31,30))),0)+IFERROR(VALUE(TRIM(MID(SUBSTITUTE(SUBSTITUTE(SUBSTITUTE(UPPER($P227)," ",""),"C",""),";",REPT(" ",30)),61,30))),0)+IFERROR(VALUE(TRIM(MID(SUBSTITUTE(SUBSTITUTE(SUBSTITUTE(UPPER($P227)," ",""),"C",""),";",REPT(" ",30)),91,30))),0)+IFERROR(VALUE(TRIM(MID(SUBSTITUTE(SUBSTITUTE(SUBSTITUTE(UPPER($P227)," ",""),"C",""),";",REPT(" ",30)),121,30))),0)+IFERROR(VALUE(TRIM(MID(SUBSTITUTE(SUBSTITUTE(SUBSTITUTE(UPPER($P227)," ",""),"C",""),";",REPT(" ",30)),151,30))),0)+IFERROR(VALUE(TRIM(MID(SUBSTITUTE(SUBSTITUTE(SUBSTITUTE(UPPER($P227)," ",""),"C",""),";",REPT(" ",30)),181,30))),0)+IFERROR(VALUE(TRIM(MID(SUBSTITUTE(SUBSTITUTE(SUBSTITUTE(UPPER($P227)," ",""),"C",""),";",REPT(" ",30)),211,30))),0)))))</f>
        <v/>
      </c>
      <c r="S227" s="24" t="n"/>
      <c r="T227" s="8" t="n"/>
      <c r="U227" s="14" t="n"/>
      <c r="V227" s="25">
        <f>IF($C227="","",IF($E227="Falta","-",MAX(0,MIN(10,5+IFERROR(VALUE(TRIM(MID(SUBSTITUTE(SUBSTITUTE(SUBSTITUTE(UPPER($T227)," ",""),"P",""),";",REPT(" ",30)),1,30))),0)+IFERROR(VALUE(TRIM(MID(SUBSTITUTE(SUBSTITUTE(SUBSTITUTE(UPPER($T227)," ",""),"P",""),";",REPT(" ",30)),31,30))),0)+IFERROR(VALUE(TRIM(MID(SUBSTITUTE(SUBSTITUTE(SUBSTITUTE(UPPER($T227)," ",""),"P",""),";",REPT(" ",30)),61,30))),0)+IFERROR(VALUE(TRIM(MID(SUBSTITUTE(SUBSTITUTE(SUBSTITUTE(UPPER($T227)," ",""),"P",""),";",REPT(" ",30)),91,30))),0)+IFERROR(VALUE(TRIM(MID(SUBSTITUTE(SUBSTITUTE(SUBSTITUTE(UPPER($T227)," ",""),"P",""),";",REPT(" ",30)),121,30))),0)+IFERROR(VALUE(TRIM(MID(SUBSTITUTE(SUBSTITUTE(SUBSTITUTE(UPPER($T227)," ",""),"P",""),";",REPT(" ",30)),151,30))),0)+IFERROR(VALUE(TRIM(MID(SUBSTITUTE(SUBSTITUTE(SUBSTITUTE(UPPER($T227)," ",""),"P",""),";",REPT(" ",30)),181,30))),0)+IFERROR(VALUE(TRIM(MID(SUBSTITUTE(SUBSTITUTE(SUBSTITUTE(UPPER($T227)," ",""),"P",""),";",REPT(" ",30)),211,30))),0)))))</f>
        <v/>
      </c>
      <c r="W227" s="24" t="n"/>
      <c r="X227" s="14" t="n"/>
    </row>
    <row r="228">
      <c r="A228" s="8">
        <f>IF($C228="","",45)</f>
        <v/>
      </c>
      <c r="B228" s="8">
        <f>IF($C228="","","5ª Sessão")</f>
        <v/>
      </c>
      <c r="C228" s="8">
        <f>IF(Preenchimento!$B$54="","",Preenchimento!$B$54)</f>
        <v/>
      </c>
      <c r="D228" s="8">
        <f>IF($C228="","",IF(Preenchimento!$C$54="","-",Preenchimento!$C$54))</f>
        <v/>
      </c>
      <c r="E228" s="8" t="n"/>
      <c r="F228" s="8" t="n"/>
      <c r="G228" s="24" t="n"/>
      <c r="H228" s="8" t="n"/>
      <c r="I228" s="14" t="n"/>
      <c r="J228" s="25">
        <f>IF($C228="","",IF($E228="Falta","-",MAX(0,MIN(10,8+IFERROR(VALUE(TRIM(MID(SUBSTITUTE(SUBSTITUTE(SUBSTITUTE(UPPER($H228)," ",""),"D",""),";",REPT(" ",30)),1,30))),0)+IFERROR(VALUE(TRIM(MID(SUBSTITUTE(SUBSTITUTE(SUBSTITUTE(UPPER($H228)," ",""),"D",""),";",REPT(" ",30)),31,30))),0)+IFERROR(VALUE(TRIM(MID(SUBSTITUTE(SUBSTITUTE(SUBSTITUTE(UPPER($H228)," ",""),"D",""),";",REPT(" ",30)),61,30))),0)+IFERROR(VALUE(TRIM(MID(SUBSTITUTE(SUBSTITUTE(SUBSTITUTE(UPPER($H228)," ",""),"D",""),";",REPT(" ",30)),91,30))),0)+IFERROR(VALUE(TRIM(MID(SUBSTITUTE(SUBSTITUTE(SUBSTITUTE(UPPER($H228)," ",""),"D",""),";",REPT(" ",30)),121,30))),0)+IFERROR(VALUE(TRIM(MID(SUBSTITUTE(SUBSTITUTE(SUBSTITUTE(UPPER($H228)," ",""),"D",""),";",REPT(" ",30)),151,30))),0)+IFERROR(VALUE(TRIM(MID(SUBSTITUTE(SUBSTITUTE(SUBSTITUTE(UPPER($H228)," ",""),"D",""),";",REPT(" ",30)),181,30))),0)+IFERROR(VALUE(TRIM(MID(SUBSTITUTE(SUBSTITUTE(SUBSTITUTE(UPPER($H228)," ",""),"D",""),";",REPT(" ",30)),211,30))),0)))))</f>
        <v/>
      </c>
      <c r="K228" s="24" t="n"/>
      <c r="L228" s="8" t="n"/>
      <c r="M228" s="14" t="n"/>
      <c r="N228" s="25">
        <f>IF($C228="","",IF($E228="Falta","-",MAX(0,MIN(10,8+IFERROR(VALUE(TRIM(MID(SUBSTITUTE(SUBSTITUTE(SUBSTITUTE(UPPER($L228)," ",""),"F",""),";",REPT(" ",30)),1,30))),0)+IFERROR(VALUE(TRIM(MID(SUBSTITUTE(SUBSTITUTE(SUBSTITUTE(UPPER($L228)," ",""),"F",""),";",REPT(" ",30)),31,30))),0)+IFERROR(VALUE(TRIM(MID(SUBSTITUTE(SUBSTITUTE(SUBSTITUTE(UPPER($L228)," ",""),"F",""),";",REPT(" ",30)),61,30))),0)+IFERROR(VALUE(TRIM(MID(SUBSTITUTE(SUBSTITUTE(SUBSTITUTE(UPPER($L228)," ",""),"F",""),";",REPT(" ",30)),91,30))),0)+IFERROR(VALUE(TRIM(MID(SUBSTITUTE(SUBSTITUTE(SUBSTITUTE(UPPER($L228)," ",""),"F",""),";",REPT(" ",30)),121,30))),0)+IFERROR(VALUE(TRIM(MID(SUBSTITUTE(SUBSTITUTE(SUBSTITUTE(UPPER($L228)," ",""),"F",""),";",REPT(" ",30)),151,30))),0)+IFERROR(VALUE(TRIM(MID(SUBSTITUTE(SUBSTITUTE(SUBSTITUTE(UPPER($L228)," ",""),"F",""),";",REPT(" ",30)),181,30))),0)+IFERROR(VALUE(TRIM(MID(SUBSTITUTE(SUBSTITUTE(SUBSTITUTE(UPPER($L228)," ",""),"F",""),";",REPT(" ",30)),211,30))),0)))))</f>
        <v/>
      </c>
      <c r="O228" s="24" t="n"/>
      <c r="P228" s="8" t="n"/>
      <c r="Q228" s="14" t="n"/>
      <c r="R228" s="25">
        <f>IF($C228="","",IF($E228="Falta","-",MAX(0,MIN(10,5+IFERROR(VALUE(TRIM(MID(SUBSTITUTE(SUBSTITUTE(SUBSTITUTE(UPPER($P228)," ",""),"C",""),";",REPT(" ",30)),1,30))),0)+IFERROR(VALUE(TRIM(MID(SUBSTITUTE(SUBSTITUTE(SUBSTITUTE(UPPER($P228)," ",""),"C",""),";",REPT(" ",30)),31,30))),0)+IFERROR(VALUE(TRIM(MID(SUBSTITUTE(SUBSTITUTE(SUBSTITUTE(UPPER($P228)," ",""),"C",""),";",REPT(" ",30)),61,30))),0)+IFERROR(VALUE(TRIM(MID(SUBSTITUTE(SUBSTITUTE(SUBSTITUTE(UPPER($P228)," ",""),"C",""),";",REPT(" ",30)),91,30))),0)+IFERROR(VALUE(TRIM(MID(SUBSTITUTE(SUBSTITUTE(SUBSTITUTE(UPPER($P228)," ",""),"C",""),";",REPT(" ",30)),121,30))),0)+IFERROR(VALUE(TRIM(MID(SUBSTITUTE(SUBSTITUTE(SUBSTITUTE(UPPER($P228)," ",""),"C",""),";",REPT(" ",30)),151,30))),0)+IFERROR(VALUE(TRIM(MID(SUBSTITUTE(SUBSTITUTE(SUBSTITUTE(UPPER($P228)," ",""),"C",""),";",REPT(" ",30)),181,30))),0)+IFERROR(VALUE(TRIM(MID(SUBSTITUTE(SUBSTITUTE(SUBSTITUTE(UPPER($P228)," ",""),"C",""),";",REPT(" ",30)),211,30))),0)))))</f>
        <v/>
      </c>
      <c r="S228" s="24" t="n"/>
      <c r="T228" s="8" t="n"/>
      <c r="U228" s="14" t="n"/>
      <c r="V228" s="25">
        <f>IF($C228="","",IF($E228="Falta","-",MAX(0,MIN(10,5+IFERROR(VALUE(TRIM(MID(SUBSTITUTE(SUBSTITUTE(SUBSTITUTE(UPPER($T228)," ",""),"P",""),";",REPT(" ",30)),1,30))),0)+IFERROR(VALUE(TRIM(MID(SUBSTITUTE(SUBSTITUTE(SUBSTITUTE(UPPER($T228)," ",""),"P",""),";",REPT(" ",30)),31,30))),0)+IFERROR(VALUE(TRIM(MID(SUBSTITUTE(SUBSTITUTE(SUBSTITUTE(UPPER($T228)," ",""),"P",""),";",REPT(" ",30)),61,30))),0)+IFERROR(VALUE(TRIM(MID(SUBSTITUTE(SUBSTITUTE(SUBSTITUTE(UPPER($T228)," ",""),"P",""),";",REPT(" ",30)),91,30))),0)+IFERROR(VALUE(TRIM(MID(SUBSTITUTE(SUBSTITUTE(SUBSTITUTE(UPPER($T228)," ",""),"P",""),";",REPT(" ",30)),121,30))),0)+IFERROR(VALUE(TRIM(MID(SUBSTITUTE(SUBSTITUTE(SUBSTITUTE(UPPER($T228)," ",""),"P",""),";",REPT(" ",30)),151,30))),0)+IFERROR(VALUE(TRIM(MID(SUBSTITUTE(SUBSTITUTE(SUBSTITUTE(UPPER($T228)," ",""),"P",""),";",REPT(" ",30)),181,30))),0)+IFERROR(VALUE(TRIM(MID(SUBSTITUTE(SUBSTITUTE(SUBSTITUTE(UPPER($T228)," ",""),"P",""),";",REPT(" ",30)),211,30))),0)))))</f>
        <v/>
      </c>
      <c r="W228" s="24" t="n"/>
      <c r="X228" s="14" t="n"/>
    </row>
    <row r="229">
      <c r="A229" s="6">
        <f>IF($C229="","",46)</f>
        <v/>
      </c>
      <c r="B229" s="6">
        <f>IF($C229="","","1ª Sessão")</f>
        <v/>
      </c>
      <c r="C229" s="6">
        <f>IF(Preenchimento!$B$55="","",Preenchimento!$B$55)</f>
        <v/>
      </c>
      <c r="D229" s="6">
        <f>IF($C229="","",IF(Preenchimento!$C$55="","-",Preenchimento!$C$55))</f>
        <v/>
      </c>
      <c r="E229" s="6" t="n"/>
      <c r="F229" s="6" t="n"/>
      <c r="G229" s="26" t="n"/>
      <c r="H229" s="6" t="n"/>
      <c r="I229" s="13" t="n"/>
      <c r="J229" s="27">
        <f>IF($C229="","",IF($E229="Falta","-",MAX(0,MIN(10,8+IFERROR(VALUE(TRIM(MID(SUBSTITUTE(SUBSTITUTE(SUBSTITUTE(UPPER($H229)," ",""),"D",""),";",REPT(" ",30)),1,30))),0)+IFERROR(VALUE(TRIM(MID(SUBSTITUTE(SUBSTITUTE(SUBSTITUTE(UPPER($H229)," ",""),"D",""),";",REPT(" ",30)),31,30))),0)+IFERROR(VALUE(TRIM(MID(SUBSTITUTE(SUBSTITUTE(SUBSTITUTE(UPPER($H229)," ",""),"D",""),";",REPT(" ",30)),61,30))),0)+IFERROR(VALUE(TRIM(MID(SUBSTITUTE(SUBSTITUTE(SUBSTITUTE(UPPER($H229)," ",""),"D",""),";",REPT(" ",30)),91,30))),0)+IFERROR(VALUE(TRIM(MID(SUBSTITUTE(SUBSTITUTE(SUBSTITUTE(UPPER($H229)," ",""),"D",""),";",REPT(" ",30)),121,30))),0)+IFERROR(VALUE(TRIM(MID(SUBSTITUTE(SUBSTITUTE(SUBSTITUTE(UPPER($H229)," ",""),"D",""),";",REPT(" ",30)),151,30))),0)+IFERROR(VALUE(TRIM(MID(SUBSTITUTE(SUBSTITUTE(SUBSTITUTE(UPPER($H229)," ",""),"D",""),";",REPT(" ",30)),181,30))),0)+IFERROR(VALUE(TRIM(MID(SUBSTITUTE(SUBSTITUTE(SUBSTITUTE(UPPER($H229)," ",""),"D",""),";",REPT(" ",30)),211,30))),0)))))</f>
        <v/>
      </c>
      <c r="K229" s="26" t="n"/>
      <c r="L229" s="6" t="n"/>
      <c r="M229" s="13" t="n"/>
      <c r="N229" s="27">
        <f>IF($C229="","",IF($E229="Falta","-",MAX(0,MIN(10,8+IFERROR(VALUE(TRIM(MID(SUBSTITUTE(SUBSTITUTE(SUBSTITUTE(UPPER($L229)," ",""),"F",""),";",REPT(" ",30)),1,30))),0)+IFERROR(VALUE(TRIM(MID(SUBSTITUTE(SUBSTITUTE(SUBSTITUTE(UPPER($L229)," ",""),"F",""),";",REPT(" ",30)),31,30))),0)+IFERROR(VALUE(TRIM(MID(SUBSTITUTE(SUBSTITUTE(SUBSTITUTE(UPPER($L229)," ",""),"F",""),";",REPT(" ",30)),61,30))),0)+IFERROR(VALUE(TRIM(MID(SUBSTITUTE(SUBSTITUTE(SUBSTITUTE(UPPER($L229)," ",""),"F",""),";",REPT(" ",30)),91,30))),0)+IFERROR(VALUE(TRIM(MID(SUBSTITUTE(SUBSTITUTE(SUBSTITUTE(UPPER($L229)," ",""),"F",""),";",REPT(" ",30)),121,30))),0)+IFERROR(VALUE(TRIM(MID(SUBSTITUTE(SUBSTITUTE(SUBSTITUTE(UPPER($L229)," ",""),"F",""),";",REPT(" ",30)),151,30))),0)+IFERROR(VALUE(TRIM(MID(SUBSTITUTE(SUBSTITUTE(SUBSTITUTE(UPPER($L229)," ",""),"F",""),";",REPT(" ",30)),181,30))),0)+IFERROR(VALUE(TRIM(MID(SUBSTITUTE(SUBSTITUTE(SUBSTITUTE(UPPER($L229)," ",""),"F",""),";",REPT(" ",30)),211,30))),0)))))</f>
        <v/>
      </c>
      <c r="O229" s="26" t="n"/>
      <c r="P229" s="6" t="n"/>
      <c r="Q229" s="13" t="n"/>
      <c r="R229" s="27">
        <f>IF($C229="","",IF($E229="Falta","-",MAX(0,MIN(10,5+IFERROR(VALUE(TRIM(MID(SUBSTITUTE(SUBSTITUTE(SUBSTITUTE(UPPER($P229)," ",""),"C",""),";",REPT(" ",30)),1,30))),0)+IFERROR(VALUE(TRIM(MID(SUBSTITUTE(SUBSTITUTE(SUBSTITUTE(UPPER($P229)," ",""),"C",""),";",REPT(" ",30)),31,30))),0)+IFERROR(VALUE(TRIM(MID(SUBSTITUTE(SUBSTITUTE(SUBSTITUTE(UPPER($P229)," ",""),"C",""),";",REPT(" ",30)),61,30))),0)+IFERROR(VALUE(TRIM(MID(SUBSTITUTE(SUBSTITUTE(SUBSTITUTE(UPPER($P229)," ",""),"C",""),";",REPT(" ",30)),91,30))),0)+IFERROR(VALUE(TRIM(MID(SUBSTITUTE(SUBSTITUTE(SUBSTITUTE(UPPER($P229)," ",""),"C",""),";",REPT(" ",30)),121,30))),0)+IFERROR(VALUE(TRIM(MID(SUBSTITUTE(SUBSTITUTE(SUBSTITUTE(UPPER($P229)," ",""),"C",""),";",REPT(" ",30)),151,30))),0)+IFERROR(VALUE(TRIM(MID(SUBSTITUTE(SUBSTITUTE(SUBSTITUTE(UPPER($P229)," ",""),"C",""),";",REPT(" ",30)),181,30))),0)+IFERROR(VALUE(TRIM(MID(SUBSTITUTE(SUBSTITUTE(SUBSTITUTE(UPPER($P229)," ",""),"C",""),";",REPT(" ",30)),211,30))),0)))))</f>
        <v/>
      </c>
      <c r="S229" s="26" t="n"/>
      <c r="T229" s="6" t="n"/>
      <c r="U229" s="13" t="n"/>
      <c r="V229" s="27">
        <f>IF($C229="","",IF($E229="Falta","-",MAX(0,MIN(10,5+IFERROR(VALUE(TRIM(MID(SUBSTITUTE(SUBSTITUTE(SUBSTITUTE(UPPER($T229)," ",""),"P",""),";",REPT(" ",30)),1,30))),0)+IFERROR(VALUE(TRIM(MID(SUBSTITUTE(SUBSTITUTE(SUBSTITUTE(UPPER($T229)," ",""),"P",""),";",REPT(" ",30)),31,30))),0)+IFERROR(VALUE(TRIM(MID(SUBSTITUTE(SUBSTITUTE(SUBSTITUTE(UPPER($T229)," ",""),"P",""),";",REPT(" ",30)),61,30))),0)+IFERROR(VALUE(TRIM(MID(SUBSTITUTE(SUBSTITUTE(SUBSTITUTE(UPPER($T229)," ",""),"P",""),";",REPT(" ",30)),91,30))),0)+IFERROR(VALUE(TRIM(MID(SUBSTITUTE(SUBSTITUTE(SUBSTITUTE(UPPER($T229)," ",""),"P",""),";",REPT(" ",30)),121,30))),0)+IFERROR(VALUE(TRIM(MID(SUBSTITUTE(SUBSTITUTE(SUBSTITUTE(UPPER($T229)," ",""),"P",""),";",REPT(" ",30)),151,30))),0)+IFERROR(VALUE(TRIM(MID(SUBSTITUTE(SUBSTITUTE(SUBSTITUTE(UPPER($T229)," ",""),"P",""),";",REPT(" ",30)),181,30))),0)+IFERROR(VALUE(TRIM(MID(SUBSTITUTE(SUBSTITUTE(SUBSTITUTE(UPPER($T229)," ",""),"P",""),";",REPT(" ",30)),211,30))),0)))))</f>
        <v/>
      </c>
      <c r="W229" s="26" t="n"/>
      <c r="X229" s="13" t="n"/>
    </row>
    <row r="230">
      <c r="A230" s="6">
        <f>IF($C230="","",46)</f>
        <v/>
      </c>
      <c r="B230" s="6">
        <f>IF($C230="","","2ª Sessão")</f>
        <v/>
      </c>
      <c r="C230" s="6">
        <f>IF(Preenchimento!$B$55="","",Preenchimento!$B$55)</f>
        <v/>
      </c>
      <c r="D230" s="6">
        <f>IF($C230="","",IF(Preenchimento!$C$55="","-",Preenchimento!$C$55))</f>
        <v/>
      </c>
      <c r="E230" s="6" t="n"/>
      <c r="F230" s="6" t="n"/>
      <c r="G230" s="26" t="n"/>
      <c r="H230" s="6" t="n"/>
      <c r="I230" s="13" t="n"/>
      <c r="J230" s="27">
        <f>IF($C230="","",IF($E230="Falta","-",MAX(0,MIN(10,8+IFERROR(VALUE(TRIM(MID(SUBSTITUTE(SUBSTITUTE(SUBSTITUTE(UPPER($H230)," ",""),"D",""),";",REPT(" ",30)),1,30))),0)+IFERROR(VALUE(TRIM(MID(SUBSTITUTE(SUBSTITUTE(SUBSTITUTE(UPPER($H230)," ",""),"D",""),";",REPT(" ",30)),31,30))),0)+IFERROR(VALUE(TRIM(MID(SUBSTITUTE(SUBSTITUTE(SUBSTITUTE(UPPER($H230)," ",""),"D",""),";",REPT(" ",30)),61,30))),0)+IFERROR(VALUE(TRIM(MID(SUBSTITUTE(SUBSTITUTE(SUBSTITUTE(UPPER($H230)," ",""),"D",""),";",REPT(" ",30)),91,30))),0)+IFERROR(VALUE(TRIM(MID(SUBSTITUTE(SUBSTITUTE(SUBSTITUTE(UPPER($H230)," ",""),"D",""),";",REPT(" ",30)),121,30))),0)+IFERROR(VALUE(TRIM(MID(SUBSTITUTE(SUBSTITUTE(SUBSTITUTE(UPPER($H230)," ",""),"D",""),";",REPT(" ",30)),151,30))),0)+IFERROR(VALUE(TRIM(MID(SUBSTITUTE(SUBSTITUTE(SUBSTITUTE(UPPER($H230)," ",""),"D",""),";",REPT(" ",30)),181,30))),0)+IFERROR(VALUE(TRIM(MID(SUBSTITUTE(SUBSTITUTE(SUBSTITUTE(UPPER($H230)," ",""),"D",""),";",REPT(" ",30)),211,30))),0)))))</f>
        <v/>
      </c>
      <c r="K230" s="26" t="n"/>
      <c r="L230" s="6" t="n"/>
      <c r="M230" s="13" t="n"/>
      <c r="N230" s="27">
        <f>IF($C230="","",IF($E230="Falta","-",MAX(0,MIN(10,8+IFERROR(VALUE(TRIM(MID(SUBSTITUTE(SUBSTITUTE(SUBSTITUTE(UPPER($L230)," ",""),"F",""),";",REPT(" ",30)),1,30))),0)+IFERROR(VALUE(TRIM(MID(SUBSTITUTE(SUBSTITUTE(SUBSTITUTE(UPPER($L230)," ",""),"F",""),";",REPT(" ",30)),31,30))),0)+IFERROR(VALUE(TRIM(MID(SUBSTITUTE(SUBSTITUTE(SUBSTITUTE(UPPER($L230)," ",""),"F",""),";",REPT(" ",30)),61,30))),0)+IFERROR(VALUE(TRIM(MID(SUBSTITUTE(SUBSTITUTE(SUBSTITUTE(UPPER($L230)," ",""),"F",""),";",REPT(" ",30)),91,30))),0)+IFERROR(VALUE(TRIM(MID(SUBSTITUTE(SUBSTITUTE(SUBSTITUTE(UPPER($L230)," ",""),"F",""),";",REPT(" ",30)),121,30))),0)+IFERROR(VALUE(TRIM(MID(SUBSTITUTE(SUBSTITUTE(SUBSTITUTE(UPPER($L230)," ",""),"F",""),";",REPT(" ",30)),151,30))),0)+IFERROR(VALUE(TRIM(MID(SUBSTITUTE(SUBSTITUTE(SUBSTITUTE(UPPER($L230)," ",""),"F",""),";",REPT(" ",30)),181,30))),0)+IFERROR(VALUE(TRIM(MID(SUBSTITUTE(SUBSTITUTE(SUBSTITUTE(UPPER($L230)," ",""),"F",""),";",REPT(" ",30)),211,30))),0)))))</f>
        <v/>
      </c>
      <c r="O230" s="26" t="n"/>
      <c r="P230" s="6" t="n"/>
      <c r="Q230" s="13" t="n"/>
      <c r="R230" s="27">
        <f>IF($C230="","",IF($E230="Falta","-",MAX(0,MIN(10,5+IFERROR(VALUE(TRIM(MID(SUBSTITUTE(SUBSTITUTE(SUBSTITUTE(UPPER($P230)," ",""),"C",""),";",REPT(" ",30)),1,30))),0)+IFERROR(VALUE(TRIM(MID(SUBSTITUTE(SUBSTITUTE(SUBSTITUTE(UPPER($P230)," ",""),"C",""),";",REPT(" ",30)),31,30))),0)+IFERROR(VALUE(TRIM(MID(SUBSTITUTE(SUBSTITUTE(SUBSTITUTE(UPPER($P230)," ",""),"C",""),";",REPT(" ",30)),61,30))),0)+IFERROR(VALUE(TRIM(MID(SUBSTITUTE(SUBSTITUTE(SUBSTITUTE(UPPER($P230)," ",""),"C",""),";",REPT(" ",30)),91,30))),0)+IFERROR(VALUE(TRIM(MID(SUBSTITUTE(SUBSTITUTE(SUBSTITUTE(UPPER($P230)," ",""),"C",""),";",REPT(" ",30)),121,30))),0)+IFERROR(VALUE(TRIM(MID(SUBSTITUTE(SUBSTITUTE(SUBSTITUTE(UPPER($P230)," ",""),"C",""),";",REPT(" ",30)),151,30))),0)+IFERROR(VALUE(TRIM(MID(SUBSTITUTE(SUBSTITUTE(SUBSTITUTE(UPPER($P230)," ",""),"C",""),";",REPT(" ",30)),181,30))),0)+IFERROR(VALUE(TRIM(MID(SUBSTITUTE(SUBSTITUTE(SUBSTITUTE(UPPER($P230)," ",""),"C",""),";",REPT(" ",30)),211,30))),0)))))</f>
        <v/>
      </c>
      <c r="S230" s="26" t="n"/>
      <c r="T230" s="6" t="n"/>
      <c r="U230" s="13" t="n"/>
      <c r="V230" s="27">
        <f>IF($C230="","",IF($E230="Falta","-",MAX(0,MIN(10,5+IFERROR(VALUE(TRIM(MID(SUBSTITUTE(SUBSTITUTE(SUBSTITUTE(UPPER($T230)," ",""),"P",""),";",REPT(" ",30)),1,30))),0)+IFERROR(VALUE(TRIM(MID(SUBSTITUTE(SUBSTITUTE(SUBSTITUTE(UPPER($T230)," ",""),"P",""),";",REPT(" ",30)),31,30))),0)+IFERROR(VALUE(TRIM(MID(SUBSTITUTE(SUBSTITUTE(SUBSTITUTE(UPPER($T230)," ",""),"P",""),";",REPT(" ",30)),61,30))),0)+IFERROR(VALUE(TRIM(MID(SUBSTITUTE(SUBSTITUTE(SUBSTITUTE(UPPER($T230)," ",""),"P",""),";",REPT(" ",30)),91,30))),0)+IFERROR(VALUE(TRIM(MID(SUBSTITUTE(SUBSTITUTE(SUBSTITUTE(UPPER($T230)," ",""),"P",""),";",REPT(" ",30)),121,30))),0)+IFERROR(VALUE(TRIM(MID(SUBSTITUTE(SUBSTITUTE(SUBSTITUTE(UPPER($T230)," ",""),"P",""),";",REPT(" ",30)),151,30))),0)+IFERROR(VALUE(TRIM(MID(SUBSTITUTE(SUBSTITUTE(SUBSTITUTE(UPPER($T230)," ",""),"P",""),";",REPT(" ",30)),181,30))),0)+IFERROR(VALUE(TRIM(MID(SUBSTITUTE(SUBSTITUTE(SUBSTITUTE(UPPER($T230)," ",""),"P",""),";",REPT(" ",30)),211,30))),0)))))</f>
        <v/>
      </c>
      <c r="W230" s="26" t="n"/>
      <c r="X230" s="13" t="n"/>
    </row>
    <row r="231">
      <c r="A231" s="6">
        <f>IF($C231="","",46)</f>
        <v/>
      </c>
      <c r="B231" s="6">
        <f>IF($C231="","","3ª Sessão")</f>
        <v/>
      </c>
      <c r="C231" s="6">
        <f>IF(Preenchimento!$B$55="","",Preenchimento!$B$55)</f>
        <v/>
      </c>
      <c r="D231" s="6">
        <f>IF($C231="","",IF(Preenchimento!$C$55="","-",Preenchimento!$C$55))</f>
        <v/>
      </c>
      <c r="E231" s="6" t="n"/>
      <c r="F231" s="6" t="n"/>
      <c r="G231" s="26" t="n"/>
      <c r="H231" s="6" t="n"/>
      <c r="I231" s="13" t="n"/>
      <c r="J231" s="27">
        <f>IF($C231="","",IF($E231="Falta","-",MAX(0,MIN(10,8+IFERROR(VALUE(TRIM(MID(SUBSTITUTE(SUBSTITUTE(SUBSTITUTE(UPPER($H231)," ",""),"D",""),";",REPT(" ",30)),1,30))),0)+IFERROR(VALUE(TRIM(MID(SUBSTITUTE(SUBSTITUTE(SUBSTITUTE(UPPER($H231)," ",""),"D",""),";",REPT(" ",30)),31,30))),0)+IFERROR(VALUE(TRIM(MID(SUBSTITUTE(SUBSTITUTE(SUBSTITUTE(UPPER($H231)," ",""),"D",""),";",REPT(" ",30)),61,30))),0)+IFERROR(VALUE(TRIM(MID(SUBSTITUTE(SUBSTITUTE(SUBSTITUTE(UPPER($H231)," ",""),"D",""),";",REPT(" ",30)),91,30))),0)+IFERROR(VALUE(TRIM(MID(SUBSTITUTE(SUBSTITUTE(SUBSTITUTE(UPPER($H231)," ",""),"D",""),";",REPT(" ",30)),121,30))),0)+IFERROR(VALUE(TRIM(MID(SUBSTITUTE(SUBSTITUTE(SUBSTITUTE(UPPER($H231)," ",""),"D",""),";",REPT(" ",30)),151,30))),0)+IFERROR(VALUE(TRIM(MID(SUBSTITUTE(SUBSTITUTE(SUBSTITUTE(UPPER($H231)," ",""),"D",""),";",REPT(" ",30)),181,30))),0)+IFERROR(VALUE(TRIM(MID(SUBSTITUTE(SUBSTITUTE(SUBSTITUTE(UPPER($H231)," ",""),"D",""),";",REPT(" ",30)),211,30))),0)))))</f>
        <v/>
      </c>
      <c r="K231" s="26" t="n"/>
      <c r="L231" s="6" t="n"/>
      <c r="M231" s="13" t="n"/>
      <c r="N231" s="27">
        <f>IF($C231="","",IF($E231="Falta","-",MAX(0,MIN(10,8+IFERROR(VALUE(TRIM(MID(SUBSTITUTE(SUBSTITUTE(SUBSTITUTE(UPPER($L231)," ",""),"F",""),";",REPT(" ",30)),1,30))),0)+IFERROR(VALUE(TRIM(MID(SUBSTITUTE(SUBSTITUTE(SUBSTITUTE(UPPER($L231)," ",""),"F",""),";",REPT(" ",30)),31,30))),0)+IFERROR(VALUE(TRIM(MID(SUBSTITUTE(SUBSTITUTE(SUBSTITUTE(UPPER($L231)," ",""),"F",""),";",REPT(" ",30)),61,30))),0)+IFERROR(VALUE(TRIM(MID(SUBSTITUTE(SUBSTITUTE(SUBSTITUTE(UPPER($L231)," ",""),"F",""),";",REPT(" ",30)),91,30))),0)+IFERROR(VALUE(TRIM(MID(SUBSTITUTE(SUBSTITUTE(SUBSTITUTE(UPPER($L231)," ",""),"F",""),";",REPT(" ",30)),121,30))),0)+IFERROR(VALUE(TRIM(MID(SUBSTITUTE(SUBSTITUTE(SUBSTITUTE(UPPER($L231)," ",""),"F",""),";",REPT(" ",30)),151,30))),0)+IFERROR(VALUE(TRIM(MID(SUBSTITUTE(SUBSTITUTE(SUBSTITUTE(UPPER($L231)," ",""),"F",""),";",REPT(" ",30)),181,30))),0)+IFERROR(VALUE(TRIM(MID(SUBSTITUTE(SUBSTITUTE(SUBSTITUTE(UPPER($L231)," ",""),"F",""),";",REPT(" ",30)),211,30))),0)))))</f>
        <v/>
      </c>
      <c r="O231" s="26" t="n"/>
      <c r="P231" s="6" t="n"/>
      <c r="Q231" s="13" t="n"/>
      <c r="R231" s="27">
        <f>IF($C231="","",IF($E231="Falta","-",MAX(0,MIN(10,5+IFERROR(VALUE(TRIM(MID(SUBSTITUTE(SUBSTITUTE(SUBSTITUTE(UPPER($P231)," ",""),"C",""),";",REPT(" ",30)),1,30))),0)+IFERROR(VALUE(TRIM(MID(SUBSTITUTE(SUBSTITUTE(SUBSTITUTE(UPPER($P231)," ",""),"C",""),";",REPT(" ",30)),31,30))),0)+IFERROR(VALUE(TRIM(MID(SUBSTITUTE(SUBSTITUTE(SUBSTITUTE(UPPER($P231)," ",""),"C",""),";",REPT(" ",30)),61,30))),0)+IFERROR(VALUE(TRIM(MID(SUBSTITUTE(SUBSTITUTE(SUBSTITUTE(UPPER($P231)," ",""),"C",""),";",REPT(" ",30)),91,30))),0)+IFERROR(VALUE(TRIM(MID(SUBSTITUTE(SUBSTITUTE(SUBSTITUTE(UPPER($P231)," ",""),"C",""),";",REPT(" ",30)),121,30))),0)+IFERROR(VALUE(TRIM(MID(SUBSTITUTE(SUBSTITUTE(SUBSTITUTE(UPPER($P231)," ",""),"C",""),";",REPT(" ",30)),151,30))),0)+IFERROR(VALUE(TRIM(MID(SUBSTITUTE(SUBSTITUTE(SUBSTITUTE(UPPER($P231)," ",""),"C",""),";",REPT(" ",30)),181,30))),0)+IFERROR(VALUE(TRIM(MID(SUBSTITUTE(SUBSTITUTE(SUBSTITUTE(UPPER($P231)," ",""),"C",""),";",REPT(" ",30)),211,30))),0)))))</f>
        <v/>
      </c>
      <c r="S231" s="26" t="n"/>
      <c r="T231" s="6" t="n"/>
      <c r="U231" s="13" t="n"/>
      <c r="V231" s="27">
        <f>IF($C231="","",IF($E231="Falta","-",MAX(0,MIN(10,5+IFERROR(VALUE(TRIM(MID(SUBSTITUTE(SUBSTITUTE(SUBSTITUTE(UPPER($T231)," ",""),"P",""),";",REPT(" ",30)),1,30))),0)+IFERROR(VALUE(TRIM(MID(SUBSTITUTE(SUBSTITUTE(SUBSTITUTE(UPPER($T231)," ",""),"P",""),";",REPT(" ",30)),31,30))),0)+IFERROR(VALUE(TRIM(MID(SUBSTITUTE(SUBSTITUTE(SUBSTITUTE(UPPER($T231)," ",""),"P",""),";",REPT(" ",30)),61,30))),0)+IFERROR(VALUE(TRIM(MID(SUBSTITUTE(SUBSTITUTE(SUBSTITUTE(UPPER($T231)," ",""),"P",""),";",REPT(" ",30)),91,30))),0)+IFERROR(VALUE(TRIM(MID(SUBSTITUTE(SUBSTITUTE(SUBSTITUTE(UPPER($T231)," ",""),"P",""),";",REPT(" ",30)),121,30))),0)+IFERROR(VALUE(TRIM(MID(SUBSTITUTE(SUBSTITUTE(SUBSTITUTE(UPPER($T231)," ",""),"P",""),";",REPT(" ",30)),151,30))),0)+IFERROR(VALUE(TRIM(MID(SUBSTITUTE(SUBSTITUTE(SUBSTITUTE(UPPER($T231)," ",""),"P",""),";",REPT(" ",30)),181,30))),0)+IFERROR(VALUE(TRIM(MID(SUBSTITUTE(SUBSTITUTE(SUBSTITUTE(UPPER($T231)," ",""),"P",""),";",REPT(" ",30)),211,30))),0)))))</f>
        <v/>
      </c>
      <c r="W231" s="26" t="n"/>
      <c r="X231" s="13" t="n"/>
    </row>
    <row r="232">
      <c r="A232" s="6">
        <f>IF($C232="","",46)</f>
        <v/>
      </c>
      <c r="B232" s="6">
        <f>IF($C232="","","4ª Sessão")</f>
        <v/>
      </c>
      <c r="C232" s="6">
        <f>IF(Preenchimento!$B$55="","",Preenchimento!$B$55)</f>
        <v/>
      </c>
      <c r="D232" s="6">
        <f>IF($C232="","",IF(Preenchimento!$C$55="","-",Preenchimento!$C$55))</f>
        <v/>
      </c>
      <c r="E232" s="6" t="n"/>
      <c r="F232" s="6" t="n"/>
      <c r="G232" s="26" t="n"/>
      <c r="H232" s="6" t="n"/>
      <c r="I232" s="13" t="n"/>
      <c r="J232" s="27">
        <f>IF($C232="","",IF($E232="Falta","-",MAX(0,MIN(10,8+IFERROR(VALUE(TRIM(MID(SUBSTITUTE(SUBSTITUTE(SUBSTITUTE(UPPER($H232)," ",""),"D",""),";",REPT(" ",30)),1,30))),0)+IFERROR(VALUE(TRIM(MID(SUBSTITUTE(SUBSTITUTE(SUBSTITUTE(UPPER($H232)," ",""),"D",""),";",REPT(" ",30)),31,30))),0)+IFERROR(VALUE(TRIM(MID(SUBSTITUTE(SUBSTITUTE(SUBSTITUTE(UPPER($H232)," ",""),"D",""),";",REPT(" ",30)),61,30))),0)+IFERROR(VALUE(TRIM(MID(SUBSTITUTE(SUBSTITUTE(SUBSTITUTE(UPPER($H232)," ",""),"D",""),";",REPT(" ",30)),91,30))),0)+IFERROR(VALUE(TRIM(MID(SUBSTITUTE(SUBSTITUTE(SUBSTITUTE(UPPER($H232)," ",""),"D",""),";",REPT(" ",30)),121,30))),0)+IFERROR(VALUE(TRIM(MID(SUBSTITUTE(SUBSTITUTE(SUBSTITUTE(UPPER($H232)," ",""),"D",""),";",REPT(" ",30)),151,30))),0)+IFERROR(VALUE(TRIM(MID(SUBSTITUTE(SUBSTITUTE(SUBSTITUTE(UPPER($H232)," ",""),"D",""),";",REPT(" ",30)),181,30))),0)+IFERROR(VALUE(TRIM(MID(SUBSTITUTE(SUBSTITUTE(SUBSTITUTE(UPPER($H232)," ",""),"D",""),";",REPT(" ",30)),211,30))),0)))))</f>
        <v/>
      </c>
      <c r="K232" s="26" t="n"/>
      <c r="L232" s="6" t="n"/>
      <c r="M232" s="13" t="n"/>
      <c r="N232" s="27">
        <f>IF($C232="","",IF($E232="Falta","-",MAX(0,MIN(10,8+IFERROR(VALUE(TRIM(MID(SUBSTITUTE(SUBSTITUTE(SUBSTITUTE(UPPER($L232)," ",""),"F",""),";",REPT(" ",30)),1,30))),0)+IFERROR(VALUE(TRIM(MID(SUBSTITUTE(SUBSTITUTE(SUBSTITUTE(UPPER($L232)," ",""),"F",""),";",REPT(" ",30)),31,30))),0)+IFERROR(VALUE(TRIM(MID(SUBSTITUTE(SUBSTITUTE(SUBSTITUTE(UPPER($L232)," ",""),"F",""),";",REPT(" ",30)),61,30))),0)+IFERROR(VALUE(TRIM(MID(SUBSTITUTE(SUBSTITUTE(SUBSTITUTE(UPPER($L232)," ",""),"F",""),";",REPT(" ",30)),91,30))),0)+IFERROR(VALUE(TRIM(MID(SUBSTITUTE(SUBSTITUTE(SUBSTITUTE(UPPER($L232)," ",""),"F",""),";",REPT(" ",30)),121,30))),0)+IFERROR(VALUE(TRIM(MID(SUBSTITUTE(SUBSTITUTE(SUBSTITUTE(UPPER($L232)," ",""),"F",""),";",REPT(" ",30)),151,30))),0)+IFERROR(VALUE(TRIM(MID(SUBSTITUTE(SUBSTITUTE(SUBSTITUTE(UPPER($L232)," ",""),"F",""),";",REPT(" ",30)),181,30))),0)+IFERROR(VALUE(TRIM(MID(SUBSTITUTE(SUBSTITUTE(SUBSTITUTE(UPPER($L232)," ",""),"F",""),";",REPT(" ",30)),211,30))),0)))))</f>
        <v/>
      </c>
      <c r="O232" s="26" t="n"/>
      <c r="P232" s="6" t="n"/>
      <c r="Q232" s="13" t="n"/>
      <c r="R232" s="27">
        <f>IF($C232="","",IF($E232="Falta","-",MAX(0,MIN(10,5+IFERROR(VALUE(TRIM(MID(SUBSTITUTE(SUBSTITUTE(SUBSTITUTE(UPPER($P232)," ",""),"C",""),";",REPT(" ",30)),1,30))),0)+IFERROR(VALUE(TRIM(MID(SUBSTITUTE(SUBSTITUTE(SUBSTITUTE(UPPER($P232)," ",""),"C",""),";",REPT(" ",30)),31,30))),0)+IFERROR(VALUE(TRIM(MID(SUBSTITUTE(SUBSTITUTE(SUBSTITUTE(UPPER($P232)," ",""),"C",""),";",REPT(" ",30)),61,30))),0)+IFERROR(VALUE(TRIM(MID(SUBSTITUTE(SUBSTITUTE(SUBSTITUTE(UPPER($P232)," ",""),"C",""),";",REPT(" ",30)),91,30))),0)+IFERROR(VALUE(TRIM(MID(SUBSTITUTE(SUBSTITUTE(SUBSTITUTE(UPPER($P232)," ",""),"C",""),";",REPT(" ",30)),121,30))),0)+IFERROR(VALUE(TRIM(MID(SUBSTITUTE(SUBSTITUTE(SUBSTITUTE(UPPER($P232)," ",""),"C",""),";",REPT(" ",30)),151,30))),0)+IFERROR(VALUE(TRIM(MID(SUBSTITUTE(SUBSTITUTE(SUBSTITUTE(UPPER($P232)," ",""),"C",""),";",REPT(" ",30)),181,30))),0)+IFERROR(VALUE(TRIM(MID(SUBSTITUTE(SUBSTITUTE(SUBSTITUTE(UPPER($P232)," ",""),"C",""),";",REPT(" ",30)),211,30))),0)))))</f>
        <v/>
      </c>
      <c r="S232" s="26" t="n"/>
      <c r="T232" s="6" t="n"/>
      <c r="U232" s="13" t="n"/>
      <c r="V232" s="27">
        <f>IF($C232="","",IF($E232="Falta","-",MAX(0,MIN(10,5+IFERROR(VALUE(TRIM(MID(SUBSTITUTE(SUBSTITUTE(SUBSTITUTE(UPPER($T232)," ",""),"P",""),";",REPT(" ",30)),1,30))),0)+IFERROR(VALUE(TRIM(MID(SUBSTITUTE(SUBSTITUTE(SUBSTITUTE(UPPER($T232)," ",""),"P",""),";",REPT(" ",30)),31,30))),0)+IFERROR(VALUE(TRIM(MID(SUBSTITUTE(SUBSTITUTE(SUBSTITUTE(UPPER($T232)," ",""),"P",""),";",REPT(" ",30)),61,30))),0)+IFERROR(VALUE(TRIM(MID(SUBSTITUTE(SUBSTITUTE(SUBSTITUTE(UPPER($T232)," ",""),"P",""),";",REPT(" ",30)),91,30))),0)+IFERROR(VALUE(TRIM(MID(SUBSTITUTE(SUBSTITUTE(SUBSTITUTE(UPPER($T232)," ",""),"P",""),";",REPT(" ",30)),121,30))),0)+IFERROR(VALUE(TRIM(MID(SUBSTITUTE(SUBSTITUTE(SUBSTITUTE(UPPER($T232)," ",""),"P",""),";",REPT(" ",30)),151,30))),0)+IFERROR(VALUE(TRIM(MID(SUBSTITUTE(SUBSTITUTE(SUBSTITUTE(UPPER($T232)," ",""),"P",""),";",REPT(" ",30)),181,30))),0)+IFERROR(VALUE(TRIM(MID(SUBSTITUTE(SUBSTITUTE(SUBSTITUTE(UPPER($T232)," ",""),"P",""),";",REPT(" ",30)),211,30))),0)))))</f>
        <v/>
      </c>
      <c r="W232" s="26" t="n"/>
      <c r="X232" s="13" t="n"/>
    </row>
    <row r="233">
      <c r="A233" s="6">
        <f>IF($C233="","",46)</f>
        <v/>
      </c>
      <c r="B233" s="6">
        <f>IF($C233="","","5ª Sessão")</f>
        <v/>
      </c>
      <c r="C233" s="6">
        <f>IF(Preenchimento!$B$55="","",Preenchimento!$B$55)</f>
        <v/>
      </c>
      <c r="D233" s="6">
        <f>IF($C233="","",IF(Preenchimento!$C$55="","-",Preenchimento!$C$55))</f>
        <v/>
      </c>
      <c r="E233" s="6" t="n"/>
      <c r="F233" s="6" t="n"/>
      <c r="G233" s="26" t="n"/>
      <c r="H233" s="6" t="n"/>
      <c r="I233" s="13" t="n"/>
      <c r="J233" s="27">
        <f>IF($C233="","",IF($E233="Falta","-",MAX(0,MIN(10,8+IFERROR(VALUE(TRIM(MID(SUBSTITUTE(SUBSTITUTE(SUBSTITUTE(UPPER($H233)," ",""),"D",""),";",REPT(" ",30)),1,30))),0)+IFERROR(VALUE(TRIM(MID(SUBSTITUTE(SUBSTITUTE(SUBSTITUTE(UPPER($H233)," ",""),"D",""),";",REPT(" ",30)),31,30))),0)+IFERROR(VALUE(TRIM(MID(SUBSTITUTE(SUBSTITUTE(SUBSTITUTE(UPPER($H233)," ",""),"D",""),";",REPT(" ",30)),61,30))),0)+IFERROR(VALUE(TRIM(MID(SUBSTITUTE(SUBSTITUTE(SUBSTITUTE(UPPER($H233)," ",""),"D",""),";",REPT(" ",30)),91,30))),0)+IFERROR(VALUE(TRIM(MID(SUBSTITUTE(SUBSTITUTE(SUBSTITUTE(UPPER($H233)," ",""),"D",""),";",REPT(" ",30)),121,30))),0)+IFERROR(VALUE(TRIM(MID(SUBSTITUTE(SUBSTITUTE(SUBSTITUTE(UPPER($H233)," ",""),"D",""),";",REPT(" ",30)),151,30))),0)+IFERROR(VALUE(TRIM(MID(SUBSTITUTE(SUBSTITUTE(SUBSTITUTE(UPPER($H233)," ",""),"D",""),";",REPT(" ",30)),181,30))),0)+IFERROR(VALUE(TRIM(MID(SUBSTITUTE(SUBSTITUTE(SUBSTITUTE(UPPER($H233)," ",""),"D",""),";",REPT(" ",30)),211,30))),0)))))</f>
        <v/>
      </c>
      <c r="K233" s="26" t="n"/>
      <c r="L233" s="6" t="n"/>
      <c r="M233" s="13" t="n"/>
      <c r="N233" s="27">
        <f>IF($C233="","",IF($E233="Falta","-",MAX(0,MIN(10,8+IFERROR(VALUE(TRIM(MID(SUBSTITUTE(SUBSTITUTE(SUBSTITUTE(UPPER($L233)," ",""),"F",""),";",REPT(" ",30)),1,30))),0)+IFERROR(VALUE(TRIM(MID(SUBSTITUTE(SUBSTITUTE(SUBSTITUTE(UPPER($L233)," ",""),"F",""),";",REPT(" ",30)),31,30))),0)+IFERROR(VALUE(TRIM(MID(SUBSTITUTE(SUBSTITUTE(SUBSTITUTE(UPPER($L233)," ",""),"F",""),";",REPT(" ",30)),61,30))),0)+IFERROR(VALUE(TRIM(MID(SUBSTITUTE(SUBSTITUTE(SUBSTITUTE(UPPER($L233)," ",""),"F",""),";",REPT(" ",30)),91,30))),0)+IFERROR(VALUE(TRIM(MID(SUBSTITUTE(SUBSTITUTE(SUBSTITUTE(UPPER($L233)," ",""),"F",""),";",REPT(" ",30)),121,30))),0)+IFERROR(VALUE(TRIM(MID(SUBSTITUTE(SUBSTITUTE(SUBSTITUTE(UPPER($L233)," ",""),"F",""),";",REPT(" ",30)),151,30))),0)+IFERROR(VALUE(TRIM(MID(SUBSTITUTE(SUBSTITUTE(SUBSTITUTE(UPPER($L233)," ",""),"F",""),";",REPT(" ",30)),181,30))),0)+IFERROR(VALUE(TRIM(MID(SUBSTITUTE(SUBSTITUTE(SUBSTITUTE(UPPER($L233)," ",""),"F",""),";",REPT(" ",30)),211,30))),0)))))</f>
        <v/>
      </c>
      <c r="O233" s="26" t="n"/>
      <c r="P233" s="6" t="n"/>
      <c r="Q233" s="13" t="n"/>
      <c r="R233" s="27">
        <f>IF($C233="","",IF($E233="Falta","-",MAX(0,MIN(10,5+IFERROR(VALUE(TRIM(MID(SUBSTITUTE(SUBSTITUTE(SUBSTITUTE(UPPER($P233)," ",""),"C",""),";",REPT(" ",30)),1,30))),0)+IFERROR(VALUE(TRIM(MID(SUBSTITUTE(SUBSTITUTE(SUBSTITUTE(UPPER($P233)," ",""),"C",""),";",REPT(" ",30)),31,30))),0)+IFERROR(VALUE(TRIM(MID(SUBSTITUTE(SUBSTITUTE(SUBSTITUTE(UPPER($P233)," ",""),"C",""),";",REPT(" ",30)),61,30))),0)+IFERROR(VALUE(TRIM(MID(SUBSTITUTE(SUBSTITUTE(SUBSTITUTE(UPPER($P233)," ",""),"C",""),";",REPT(" ",30)),91,30))),0)+IFERROR(VALUE(TRIM(MID(SUBSTITUTE(SUBSTITUTE(SUBSTITUTE(UPPER($P233)," ",""),"C",""),";",REPT(" ",30)),121,30))),0)+IFERROR(VALUE(TRIM(MID(SUBSTITUTE(SUBSTITUTE(SUBSTITUTE(UPPER($P233)," ",""),"C",""),";",REPT(" ",30)),151,30))),0)+IFERROR(VALUE(TRIM(MID(SUBSTITUTE(SUBSTITUTE(SUBSTITUTE(UPPER($P233)," ",""),"C",""),";",REPT(" ",30)),181,30))),0)+IFERROR(VALUE(TRIM(MID(SUBSTITUTE(SUBSTITUTE(SUBSTITUTE(UPPER($P233)," ",""),"C",""),";",REPT(" ",30)),211,30))),0)))))</f>
        <v/>
      </c>
      <c r="S233" s="26" t="n"/>
      <c r="T233" s="6" t="n"/>
      <c r="U233" s="13" t="n"/>
      <c r="V233" s="27">
        <f>IF($C233="","",IF($E233="Falta","-",MAX(0,MIN(10,5+IFERROR(VALUE(TRIM(MID(SUBSTITUTE(SUBSTITUTE(SUBSTITUTE(UPPER($T233)," ",""),"P",""),";",REPT(" ",30)),1,30))),0)+IFERROR(VALUE(TRIM(MID(SUBSTITUTE(SUBSTITUTE(SUBSTITUTE(UPPER($T233)," ",""),"P",""),";",REPT(" ",30)),31,30))),0)+IFERROR(VALUE(TRIM(MID(SUBSTITUTE(SUBSTITUTE(SUBSTITUTE(UPPER($T233)," ",""),"P",""),";",REPT(" ",30)),61,30))),0)+IFERROR(VALUE(TRIM(MID(SUBSTITUTE(SUBSTITUTE(SUBSTITUTE(UPPER($T233)," ",""),"P",""),";",REPT(" ",30)),91,30))),0)+IFERROR(VALUE(TRIM(MID(SUBSTITUTE(SUBSTITUTE(SUBSTITUTE(UPPER($T233)," ",""),"P",""),";",REPT(" ",30)),121,30))),0)+IFERROR(VALUE(TRIM(MID(SUBSTITUTE(SUBSTITUTE(SUBSTITUTE(UPPER($T233)," ",""),"P",""),";",REPT(" ",30)),151,30))),0)+IFERROR(VALUE(TRIM(MID(SUBSTITUTE(SUBSTITUTE(SUBSTITUTE(UPPER($T233)," ",""),"P",""),";",REPT(" ",30)),181,30))),0)+IFERROR(VALUE(TRIM(MID(SUBSTITUTE(SUBSTITUTE(SUBSTITUTE(UPPER($T233)," ",""),"P",""),";",REPT(" ",30)),211,30))),0)))))</f>
        <v/>
      </c>
      <c r="W233" s="26" t="n"/>
      <c r="X233" s="13" t="n"/>
    </row>
    <row r="234">
      <c r="A234" s="8">
        <f>IF($C234="","",47)</f>
        <v/>
      </c>
      <c r="B234" s="8">
        <f>IF($C234="","","1ª Sessão")</f>
        <v/>
      </c>
      <c r="C234" s="8">
        <f>IF(Preenchimento!$B$56="","",Preenchimento!$B$56)</f>
        <v/>
      </c>
      <c r="D234" s="8">
        <f>IF($C234="","",IF(Preenchimento!$C$56="","-",Preenchimento!$C$56))</f>
        <v/>
      </c>
      <c r="E234" s="8" t="n"/>
      <c r="F234" s="8" t="n"/>
      <c r="G234" s="24" t="n"/>
      <c r="H234" s="8" t="n"/>
      <c r="I234" s="14" t="n"/>
      <c r="J234" s="25">
        <f>IF($C234="","",IF($E234="Falta","-",MAX(0,MIN(10,8+IFERROR(VALUE(TRIM(MID(SUBSTITUTE(SUBSTITUTE(SUBSTITUTE(UPPER($H234)," ",""),"D",""),";",REPT(" ",30)),1,30))),0)+IFERROR(VALUE(TRIM(MID(SUBSTITUTE(SUBSTITUTE(SUBSTITUTE(UPPER($H234)," ",""),"D",""),";",REPT(" ",30)),31,30))),0)+IFERROR(VALUE(TRIM(MID(SUBSTITUTE(SUBSTITUTE(SUBSTITUTE(UPPER($H234)," ",""),"D",""),";",REPT(" ",30)),61,30))),0)+IFERROR(VALUE(TRIM(MID(SUBSTITUTE(SUBSTITUTE(SUBSTITUTE(UPPER($H234)," ",""),"D",""),";",REPT(" ",30)),91,30))),0)+IFERROR(VALUE(TRIM(MID(SUBSTITUTE(SUBSTITUTE(SUBSTITUTE(UPPER($H234)," ",""),"D",""),";",REPT(" ",30)),121,30))),0)+IFERROR(VALUE(TRIM(MID(SUBSTITUTE(SUBSTITUTE(SUBSTITUTE(UPPER($H234)," ",""),"D",""),";",REPT(" ",30)),151,30))),0)+IFERROR(VALUE(TRIM(MID(SUBSTITUTE(SUBSTITUTE(SUBSTITUTE(UPPER($H234)," ",""),"D",""),";",REPT(" ",30)),181,30))),0)+IFERROR(VALUE(TRIM(MID(SUBSTITUTE(SUBSTITUTE(SUBSTITUTE(UPPER($H234)," ",""),"D",""),";",REPT(" ",30)),211,30))),0)))))</f>
        <v/>
      </c>
      <c r="K234" s="24" t="n"/>
      <c r="L234" s="8" t="n"/>
      <c r="M234" s="14" t="n"/>
      <c r="N234" s="25">
        <f>IF($C234="","",IF($E234="Falta","-",MAX(0,MIN(10,8+IFERROR(VALUE(TRIM(MID(SUBSTITUTE(SUBSTITUTE(SUBSTITUTE(UPPER($L234)," ",""),"F",""),";",REPT(" ",30)),1,30))),0)+IFERROR(VALUE(TRIM(MID(SUBSTITUTE(SUBSTITUTE(SUBSTITUTE(UPPER($L234)," ",""),"F",""),";",REPT(" ",30)),31,30))),0)+IFERROR(VALUE(TRIM(MID(SUBSTITUTE(SUBSTITUTE(SUBSTITUTE(UPPER($L234)," ",""),"F",""),";",REPT(" ",30)),61,30))),0)+IFERROR(VALUE(TRIM(MID(SUBSTITUTE(SUBSTITUTE(SUBSTITUTE(UPPER($L234)," ",""),"F",""),";",REPT(" ",30)),91,30))),0)+IFERROR(VALUE(TRIM(MID(SUBSTITUTE(SUBSTITUTE(SUBSTITUTE(UPPER($L234)," ",""),"F",""),";",REPT(" ",30)),121,30))),0)+IFERROR(VALUE(TRIM(MID(SUBSTITUTE(SUBSTITUTE(SUBSTITUTE(UPPER($L234)," ",""),"F",""),";",REPT(" ",30)),151,30))),0)+IFERROR(VALUE(TRIM(MID(SUBSTITUTE(SUBSTITUTE(SUBSTITUTE(UPPER($L234)," ",""),"F",""),";",REPT(" ",30)),181,30))),0)+IFERROR(VALUE(TRIM(MID(SUBSTITUTE(SUBSTITUTE(SUBSTITUTE(UPPER($L234)," ",""),"F",""),";",REPT(" ",30)),211,30))),0)))))</f>
        <v/>
      </c>
      <c r="O234" s="24" t="n"/>
      <c r="P234" s="8" t="n"/>
      <c r="Q234" s="14" t="n"/>
      <c r="R234" s="25">
        <f>IF($C234="","",IF($E234="Falta","-",MAX(0,MIN(10,5+IFERROR(VALUE(TRIM(MID(SUBSTITUTE(SUBSTITUTE(SUBSTITUTE(UPPER($P234)," ",""),"C",""),";",REPT(" ",30)),1,30))),0)+IFERROR(VALUE(TRIM(MID(SUBSTITUTE(SUBSTITUTE(SUBSTITUTE(UPPER($P234)," ",""),"C",""),";",REPT(" ",30)),31,30))),0)+IFERROR(VALUE(TRIM(MID(SUBSTITUTE(SUBSTITUTE(SUBSTITUTE(UPPER($P234)," ",""),"C",""),";",REPT(" ",30)),61,30))),0)+IFERROR(VALUE(TRIM(MID(SUBSTITUTE(SUBSTITUTE(SUBSTITUTE(UPPER($P234)," ",""),"C",""),";",REPT(" ",30)),91,30))),0)+IFERROR(VALUE(TRIM(MID(SUBSTITUTE(SUBSTITUTE(SUBSTITUTE(UPPER($P234)," ",""),"C",""),";",REPT(" ",30)),121,30))),0)+IFERROR(VALUE(TRIM(MID(SUBSTITUTE(SUBSTITUTE(SUBSTITUTE(UPPER($P234)," ",""),"C",""),";",REPT(" ",30)),151,30))),0)+IFERROR(VALUE(TRIM(MID(SUBSTITUTE(SUBSTITUTE(SUBSTITUTE(UPPER($P234)," ",""),"C",""),";",REPT(" ",30)),181,30))),0)+IFERROR(VALUE(TRIM(MID(SUBSTITUTE(SUBSTITUTE(SUBSTITUTE(UPPER($P234)," ",""),"C",""),";",REPT(" ",30)),211,30))),0)))))</f>
        <v/>
      </c>
      <c r="S234" s="24" t="n"/>
      <c r="T234" s="8" t="n"/>
      <c r="U234" s="14" t="n"/>
      <c r="V234" s="25">
        <f>IF($C234="","",IF($E234="Falta","-",MAX(0,MIN(10,5+IFERROR(VALUE(TRIM(MID(SUBSTITUTE(SUBSTITUTE(SUBSTITUTE(UPPER($T234)," ",""),"P",""),";",REPT(" ",30)),1,30))),0)+IFERROR(VALUE(TRIM(MID(SUBSTITUTE(SUBSTITUTE(SUBSTITUTE(UPPER($T234)," ",""),"P",""),";",REPT(" ",30)),31,30))),0)+IFERROR(VALUE(TRIM(MID(SUBSTITUTE(SUBSTITUTE(SUBSTITUTE(UPPER($T234)," ",""),"P",""),";",REPT(" ",30)),61,30))),0)+IFERROR(VALUE(TRIM(MID(SUBSTITUTE(SUBSTITUTE(SUBSTITUTE(UPPER($T234)," ",""),"P",""),";",REPT(" ",30)),91,30))),0)+IFERROR(VALUE(TRIM(MID(SUBSTITUTE(SUBSTITUTE(SUBSTITUTE(UPPER($T234)," ",""),"P",""),";",REPT(" ",30)),121,30))),0)+IFERROR(VALUE(TRIM(MID(SUBSTITUTE(SUBSTITUTE(SUBSTITUTE(UPPER($T234)," ",""),"P",""),";",REPT(" ",30)),151,30))),0)+IFERROR(VALUE(TRIM(MID(SUBSTITUTE(SUBSTITUTE(SUBSTITUTE(UPPER($T234)," ",""),"P",""),";",REPT(" ",30)),181,30))),0)+IFERROR(VALUE(TRIM(MID(SUBSTITUTE(SUBSTITUTE(SUBSTITUTE(UPPER($T234)," ",""),"P",""),";",REPT(" ",30)),211,30))),0)))))</f>
        <v/>
      </c>
      <c r="W234" s="24" t="n"/>
      <c r="X234" s="14" t="n"/>
    </row>
    <row r="235">
      <c r="A235" s="8">
        <f>IF($C235="","",47)</f>
        <v/>
      </c>
      <c r="B235" s="8">
        <f>IF($C235="","","2ª Sessão")</f>
        <v/>
      </c>
      <c r="C235" s="8">
        <f>IF(Preenchimento!$B$56="","",Preenchimento!$B$56)</f>
        <v/>
      </c>
      <c r="D235" s="8">
        <f>IF($C235="","",IF(Preenchimento!$C$56="","-",Preenchimento!$C$56))</f>
        <v/>
      </c>
      <c r="E235" s="8" t="n"/>
      <c r="F235" s="8" t="n"/>
      <c r="G235" s="24" t="n"/>
      <c r="H235" s="8" t="n"/>
      <c r="I235" s="14" t="n"/>
      <c r="J235" s="25">
        <f>IF($C235="","",IF($E235="Falta","-",MAX(0,MIN(10,8+IFERROR(VALUE(TRIM(MID(SUBSTITUTE(SUBSTITUTE(SUBSTITUTE(UPPER($H235)," ",""),"D",""),";",REPT(" ",30)),1,30))),0)+IFERROR(VALUE(TRIM(MID(SUBSTITUTE(SUBSTITUTE(SUBSTITUTE(UPPER($H235)," ",""),"D",""),";",REPT(" ",30)),31,30))),0)+IFERROR(VALUE(TRIM(MID(SUBSTITUTE(SUBSTITUTE(SUBSTITUTE(UPPER($H235)," ",""),"D",""),";",REPT(" ",30)),61,30))),0)+IFERROR(VALUE(TRIM(MID(SUBSTITUTE(SUBSTITUTE(SUBSTITUTE(UPPER($H235)," ",""),"D",""),";",REPT(" ",30)),91,30))),0)+IFERROR(VALUE(TRIM(MID(SUBSTITUTE(SUBSTITUTE(SUBSTITUTE(UPPER($H235)," ",""),"D",""),";",REPT(" ",30)),121,30))),0)+IFERROR(VALUE(TRIM(MID(SUBSTITUTE(SUBSTITUTE(SUBSTITUTE(UPPER($H235)," ",""),"D",""),";",REPT(" ",30)),151,30))),0)+IFERROR(VALUE(TRIM(MID(SUBSTITUTE(SUBSTITUTE(SUBSTITUTE(UPPER($H235)," ",""),"D",""),";",REPT(" ",30)),181,30))),0)+IFERROR(VALUE(TRIM(MID(SUBSTITUTE(SUBSTITUTE(SUBSTITUTE(UPPER($H235)," ",""),"D",""),";",REPT(" ",30)),211,30))),0)))))</f>
        <v/>
      </c>
      <c r="K235" s="24" t="n"/>
      <c r="L235" s="8" t="n"/>
      <c r="M235" s="14" t="n"/>
      <c r="N235" s="25">
        <f>IF($C235="","",IF($E235="Falta","-",MAX(0,MIN(10,8+IFERROR(VALUE(TRIM(MID(SUBSTITUTE(SUBSTITUTE(SUBSTITUTE(UPPER($L235)," ",""),"F",""),";",REPT(" ",30)),1,30))),0)+IFERROR(VALUE(TRIM(MID(SUBSTITUTE(SUBSTITUTE(SUBSTITUTE(UPPER($L235)," ",""),"F",""),";",REPT(" ",30)),31,30))),0)+IFERROR(VALUE(TRIM(MID(SUBSTITUTE(SUBSTITUTE(SUBSTITUTE(UPPER($L235)," ",""),"F",""),";",REPT(" ",30)),61,30))),0)+IFERROR(VALUE(TRIM(MID(SUBSTITUTE(SUBSTITUTE(SUBSTITUTE(UPPER($L235)," ",""),"F",""),";",REPT(" ",30)),91,30))),0)+IFERROR(VALUE(TRIM(MID(SUBSTITUTE(SUBSTITUTE(SUBSTITUTE(UPPER($L235)," ",""),"F",""),";",REPT(" ",30)),121,30))),0)+IFERROR(VALUE(TRIM(MID(SUBSTITUTE(SUBSTITUTE(SUBSTITUTE(UPPER($L235)," ",""),"F",""),";",REPT(" ",30)),151,30))),0)+IFERROR(VALUE(TRIM(MID(SUBSTITUTE(SUBSTITUTE(SUBSTITUTE(UPPER($L235)," ",""),"F",""),";",REPT(" ",30)),181,30))),0)+IFERROR(VALUE(TRIM(MID(SUBSTITUTE(SUBSTITUTE(SUBSTITUTE(UPPER($L235)," ",""),"F",""),";",REPT(" ",30)),211,30))),0)))))</f>
        <v/>
      </c>
      <c r="O235" s="24" t="n"/>
      <c r="P235" s="8" t="n"/>
      <c r="Q235" s="14" t="n"/>
      <c r="R235" s="25">
        <f>IF($C235="","",IF($E235="Falta","-",MAX(0,MIN(10,5+IFERROR(VALUE(TRIM(MID(SUBSTITUTE(SUBSTITUTE(SUBSTITUTE(UPPER($P235)," ",""),"C",""),";",REPT(" ",30)),1,30))),0)+IFERROR(VALUE(TRIM(MID(SUBSTITUTE(SUBSTITUTE(SUBSTITUTE(UPPER($P235)," ",""),"C",""),";",REPT(" ",30)),31,30))),0)+IFERROR(VALUE(TRIM(MID(SUBSTITUTE(SUBSTITUTE(SUBSTITUTE(UPPER($P235)," ",""),"C",""),";",REPT(" ",30)),61,30))),0)+IFERROR(VALUE(TRIM(MID(SUBSTITUTE(SUBSTITUTE(SUBSTITUTE(UPPER($P235)," ",""),"C",""),";",REPT(" ",30)),91,30))),0)+IFERROR(VALUE(TRIM(MID(SUBSTITUTE(SUBSTITUTE(SUBSTITUTE(UPPER($P235)," ",""),"C",""),";",REPT(" ",30)),121,30))),0)+IFERROR(VALUE(TRIM(MID(SUBSTITUTE(SUBSTITUTE(SUBSTITUTE(UPPER($P235)," ",""),"C",""),";",REPT(" ",30)),151,30))),0)+IFERROR(VALUE(TRIM(MID(SUBSTITUTE(SUBSTITUTE(SUBSTITUTE(UPPER($P235)," ",""),"C",""),";",REPT(" ",30)),181,30))),0)+IFERROR(VALUE(TRIM(MID(SUBSTITUTE(SUBSTITUTE(SUBSTITUTE(UPPER($P235)," ",""),"C",""),";",REPT(" ",30)),211,30))),0)))))</f>
        <v/>
      </c>
      <c r="S235" s="24" t="n"/>
      <c r="T235" s="8" t="n"/>
      <c r="U235" s="14" t="n"/>
      <c r="V235" s="25">
        <f>IF($C235="","",IF($E235="Falta","-",MAX(0,MIN(10,5+IFERROR(VALUE(TRIM(MID(SUBSTITUTE(SUBSTITUTE(SUBSTITUTE(UPPER($T235)," ",""),"P",""),";",REPT(" ",30)),1,30))),0)+IFERROR(VALUE(TRIM(MID(SUBSTITUTE(SUBSTITUTE(SUBSTITUTE(UPPER($T235)," ",""),"P",""),";",REPT(" ",30)),31,30))),0)+IFERROR(VALUE(TRIM(MID(SUBSTITUTE(SUBSTITUTE(SUBSTITUTE(UPPER($T235)," ",""),"P",""),";",REPT(" ",30)),61,30))),0)+IFERROR(VALUE(TRIM(MID(SUBSTITUTE(SUBSTITUTE(SUBSTITUTE(UPPER($T235)," ",""),"P",""),";",REPT(" ",30)),91,30))),0)+IFERROR(VALUE(TRIM(MID(SUBSTITUTE(SUBSTITUTE(SUBSTITUTE(UPPER($T235)," ",""),"P",""),";",REPT(" ",30)),121,30))),0)+IFERROR(VALUE(TRIM(MID(SUBSTITUTE(SUBSTITUTE(SUBSTITUTE(UPPER($T235)," ",""),"P",""),";",REPT(" ",30)),151,30))),0)+IFERROR(VALUE(TRIM(MID(SUBSTITUTE(SUBSTITUTE(SUBSTITUTE(UPPER($T235)," ",""),"P",""),";",REPT(" ",30)),181,30))),0)+IFERROR(VALUE(TRIM(MID(SUBSTITUTE(SUBSTITUTE(SUBSTITUTE(UPPER($T235)," ",""),"P",""),";",REPT(" ",30)),211,30))),0)))))</f>
        <v/>
      </c>
      <c r="W235" s="24" t="n"/>
      <c r="X235" s="14" t="n"/>
    </row>
    <row r="236">
      <c r="A236" s="8">
        <f>IF($C236="","",47)</f>
        <v/>
      </c>
      <c r="B236" s="8">
        <f>IF($C236="","","3ª Sessão")</f>
        <v/>
      </c>
      <c r="C236" s="8">
        <f>IF(Preenchimento!$B$56="","",Preenchimento!$B$56)</f>
        <v/>
      </c>
      <c r="D236" s="8">
        <f>IF($C236="","",IF(Preenchimento!$C$56="","-",Preenchimento!$C$56))</f>
        <v/>
      </c>
      <c r="E236" s="8" t="n"/>
      <c r="F236" s="8" t="n"/>
      <c r="G236" s="24" t="n"/>
      <c r="H236" s="8" t="n"/>
      <c r="I236" s="14" t="n"/>
      <c r="J236" s="25">
        <f>IF($C236="","",IF($E236="Falta","-",MAX(0,MIN(10,8+IFERROR(VALUE(TRIM(MID(SUBSTITUTE(SUBSTITUTE(SUBSTITUTE(UPPER($H236)," ",""),"D",""),";",REPT(" ",30)),1,30))),0)+IFERROR(VALUE(TRIM(MID(SUBSTITUTE(SUBSTITUTE(SUBSTITUTE(UPPER($H236)," ",""),"D",""),";",REPT(" ",30)),31,30))),0)+IFERROR(VALUE(TRIM(MID(SUBSTITUTE(SUBSTITUTE(SUBSTITUTE(UPPER($H236)," ",""),"D",""),";",REPT(" ",30)),61,30))),0)+IFERROR(VALUE(TRIM(MID(SUBSTITUTE(SUBSTITUTE(SUBSTITUTE(UPPER($H236)," ",""),"D",""),";",REPT(" ",30)),91,30))),0)+IFERROR(VALUE(TRIM(MID(SUBSTITUTE(SUBSTITUTE(SUBSTITUTE(UPPER($H236)," ",""),"D",""),";",REPT(" ",30)),121,30))),0)+IFERROR(VALUE(TRIM(MID(SUBSTITUTE(SUBSTITUTE(SUBSTITUTE(UPPER($H236)," ",""),"D",""),";",REPT(" ",30)),151,30))),0)+IFERROR(VALUE(TRIM(MID(SUBSTITUTE(SUBSTITUTE(SUBSTITUTE(UPPER($H236)," ",""),"D",""),";",REPT(" ",30)),181,30))),0)+IFERROR(VALUE(TRIM(MID(SUBSTITUTE(SUBSTITUTE(SUBSTITUTE(UPPER($H236)," ",""),"D",""),";",REPT(" ",30)),211,30))),0)))))</f>
        <v/>
      </c>
      <c r="K236" s="24" t="n"/>
      <c r="L236" s="8" t="n"/>
      <c r="M236" s="14" t="n"/>
      <c r="N236" s="25">
        <f>IF($C236="","",IF($E236="Falta","-",MAX(0,MIN(10,8+IFERROR(VALUE(TRIM(MID(SUBSTITUTE(SUBSTITUTE(SUBSTITUTE(UPPER($L236)," ",""),"F",""),";",REPT(" ",30)),1,30))),0)+IFERROR(VALUE(TRIM(MID(SUBSTITUTE(SUBSTITUTE(SUBSTITUTE(UPPER($L236)," ",""),"F",""),";",REPT(" ",30)),31,30))),0)+IFERROR(VALUE(TRIM(MID(SUBSTITUTE(SUBSTITUTE(SUBSTITUTE(UPPER($L236)," ",""),"F",""),";",REPT(" ",30)),61,30))),0)+IFERROR(VALUE(TRIM(MID(SUBSTITUTE(SUBSTITUTE(SUBSTITUTE(UPPER($L236)," ",""),"F",""),";",REPT(" ",30)),91,30))),0)+IFERROR(VALUE(TRIM(MID(SUBSTITUTE(SUBSTITUTE(SUBSTITUTE(UPPER($L236)," ",""),"F",""),";",REPT(" ",30)),121,30))),0)+IFERROR(VALUE(TRIM(MID(SUBSTITUTE(SUBSTITUTE(SUBSTITUTE(UPPER($L236)," ",""),"F",""),";",REPT(" ",30)),151,30))),0)+IFERROR(VALUE(TRIM(MID(SUBSTITUTE(SUBSTITUTE(SUBSTITUTE(UPPER($L236)," ",""),"F",""),";",REPT(" ",30)),181,30))),0)+IFERROR(VALUE(TRIM(MID(SUBSTITUTE(SUBSTITUTE(SUBSTITUTE(UPPER($L236)," ",""),"F",""),";",REPT(" ",30)),211,30))),0)))))</f>
        <v/>
      </c>
      <c r="O236" s="24" t="n"/>
      <c r="P236" s="8" t="n"/>
      <c r="Q236" s="14" t="n"/>
      <c r="R236" s="25">
        <f>IF($C236="","",IF($E236="Falta","-",MAX(0,MIN(10,5+IFERROR(VALUE(TRIM(MID(SUBSTITUTE(SUBSTITUTE(SUBSTITUTE(UPPER($P236)," ",""),"C",""),";",REPT(" ",30)),1,30))),0)+IFERROR(VALUE(TRIM(MID(SUBSTITUTE(SUBSTITUTE(SUBSTITUTE(UPPER($P236)," ",""),"C",""),";",REPT(" ",30)),31,30))),0)+IFERROR(VALUE(TRIM(MID(SUBSTITUTE(SUBSTITUTE(SUBSTITUTE(UPPER($P236)," ",""),"C",""),";",REPT(" ",30)),61,30))),0)+IFERROR(VALUE(TRIM(MID(SUBSTITUTE(SUBSTITUTE(SUBSTITUTE(UPPER($P236)," ",""),"C",""),";",REPT(" ",30)),91,30))),0)+IFERROR(VALUE(TRIM(MID(SUBSTITUTE(SUBSTITUTE(SUBSTITUTE(UPPER($P236)," ",""),"C",""),";",REPT(" ",30)),121,30))),0)+IFERROR(VALUE(TRIM(MID(SUBSTITUTE(SUBSTITUTE(SUBSTITUTE(UPPER($P236)," ",""),"C",""),";",REPT(" ",30)),151,30))),0)+IFERROR(VALUE(TRIM(MID(SUBSTITUTE(SUBSTITUTE(SUBSTITUTE(UPPER($P236)," ",""),"C",""),";",REPT(" ",30)),181,30))),0)+IFERROR(VALUE(TRIM(MID(SUBSTITUTE(SUBSTITUTE(SUBSTITUTE(UPPER($P236)," ",""),"C",""),";",REPT(" ",30)),211,30))),0)))))</f>
        <v/>
      </c>
      <c r="S236" s="24" t="n"/>
      <c r="T236" s="8" t="n"/>
      <c r="U236" s="14" t="n"/>
      <c r="V236" s="25">
        <f>IF($C236="","",IF($E236="Falta","-",MAX(0,MIN(10,5+IFERROR(VALUE(TRIM(MID(SUBSTITUTE(SUBSTITUTE(SUBSTITUTE(UPPER($T236)," ",""),"P",""),";",REPT(" ",30)),1,30))),0)+IFERROR(VALUE(TRIM(MID(SUBSTITUTE(SUBSTITUTE(SUBSTITUTE(UPPER($T236)," ",""),"P",""),";",REPT(" ",30)),31,30))),0)+IFERROR(VALUE(TRIM(MID(SUBSTITUTE(SUBSTITUTE(SUBSTITUTE(UPPER($T236)," ",""),"P",""),";",REPT(" ",30)),61,30))),0)+IFERROR(VALUE(TRIM(MID(SUBSTITUTE(SUBSTITUTE(SUBSTITUTE(UPPER($T236)," ",""),"P",""),";",REPT(" ",30)),91,30))),0)+IFERROR(VALUE(TRIM(MID(SUBSTITUTE(SUBSTITUTE(SUBSTITUTE(UPPER($T236)," ",""),"P",""),";",REPT(" ",30)),121,30))),0)+IFERROR(VALUE(TRIM(MID(SUBSTITUTE(SUBSTITUTE(SUBSTITUTE(UPPER($T236)," ",""),"P",""),";",REPT(" ",30)),151,30))),0)+IFERROR(VALUE(TRIM(MID(SUBSTITUTE(SUBSTITUTE(SUBSTITUTE(UPPER($T236)," ",""),"P",""),";",REPT(" ",30)),181,30))),0)+IFERROR(VALUE(TRIM(MID(SUBSTITUTE(SUBSTITUTE(SUBSTITUTE(UPPER($T236)," ",""),"P",""),";",REPT(" ",30)),211,30))),0)))))</f>
        <v/>
      </c>
      <c r="W236" s="24" t="n"/>
      <c r="X236" s="14" t="n"/>
    </row>
    <row r="237">
      <c r="A237" s="8">
        <f>IF($C237="","",47)</f>
        <v/>
      </c>
      <c r="B237" s="8">
        <f>IF($C237="","","4ª Sessão")</f>
        <v/>
      </c>
      <c r="C237" s="8">
        <f>IF(Preenchimento!$B$56="","",Preenchimento!$B$56)</f>
        <v/>
      </c>
      <c r="D237" s="8">
        <f>IF($C237="","",IF(Preenchimento!$C$56="","-",Preenchimento!$C$56))</f>
        <v/>
      </c>
      <c r="E237" s="8" t="n"/>
      <c r="F237" s="8" t="n"/>
      <c r="G237" s="24" t="n"/>
      <c r="H237" s="8" t="n"/>
      <c r="I237" s="14" t="n"/>
      <c r="J237" s="25">
        <f>IF($C237="","",IF($E237="Falta","-",MAX(0,MIN(10,8+IFERROR(VALUE(TRIM(MID(SUBSTITUTE(SUBSTITUTE(SUBSTITUTE(UPPER($H237)," ",""),"D",""),";",REPT(" ",30)),1,30))),0)+IFERROR(VALUE(TRIM(MID(SUBSTITUTE(SUBSTITUTE(SUBSTITUTE(UPPER($H237)," ",""),"D",""),";",REPT(" ",30)),31,30))),0)+IFERROR(VALUE(TRIM(MID(SUBSTITUTE(SUBSTITUTE(SUBSTITUTE(UPPER($H237)," ",""),"D",""),";",REPT(" ",30)),61,30))),0)+IFERROR(VALUE(TRIM(MID(SUBSTITUTE(SUBSTITUTE(SUBSTITUTE(UPPER($H237)," ",""),"D",""),";",REPT(" ",30)),91,30))),0)+IFERROR(VALUE(TRIM(MID(SUBSTITUTE(SUBSTITUTE(SUBSTITUTE(UPPER($H237)," ",""),"D",""),";",REPT(" ",30)),121,30))),0)+IFERROR(VALUE(TRIM(MID(SUBSTITUTE(SUBSTITUTE(SUBSTITUTE(UPPER($H237)," ",""),"D",""),";",REPT(" ",30)),151,30))),0)+IFERROR(VALUE(TRIM(MID(SUBSTITUTE(SUBSTITUTE(SUBSTITUTE(UPPER($H237)," ",""),"D",""),";",REPT(" ",30)),181,30))),0)+IFERROR(VALUE(TRIM(MID(SUBSTITUTE(SUBSTITUTE(SUBSTITUTE(UPPER($H237)," ",""),"D",""),";",REPT(" ",30)),211,30))),0)))))</f>
        <v/>
      </c>
      <c r="K237" s="24" t="n"/>
      <c r="L237" s="8" t="n"/>
      <c r="M237" s="14" t="n"/>
      <c r="N237" s="25">
        <f>IF($C237="","",IF($E237="Falta","-",MAX(0,MIN(10,8+IFERROR(VALUE(TRIM(MID(SUBSTITUTE(SUBSTITUTE(SUBSTITUTE(UPPER($L237)," ",""),"F",""),";",REPT(" ",30)),1,30))),0)+IFERROR(VALUE(TRIM(MID(SUBSTITUTE(SUBSTITUTE(SUBSTITUTE(UPPER($L237)," ",""),"F",""),";",REPT(" ",30)),31,30))),0)+IFERROR(VALUE(TRIM(MID(SUBSTITUTE(SUBSTITUTE(SUBSTITUTE(UPPER($L237)," ",""),"F",""),";",REPT(" ",30)),61,30))),0)+IFERROR(VALUE(TRIM(MID(SUBSTITUTE(SUBSTITUTE(SUBSTITUTE(UPPER($L237)," ",""),"F",""),";",REPT(" ",30)),91,30))),0)+IFERROR(VALUE(TRIM(MID(SUBSTITUTE(SUBSTITUTE(SUBSTITUTE(UPPER($L237)," ",""),"F",""),";",REPT(" ",30)),121,30))),0)+IFERROR(VALUE(TRIM(MID(SUBSTITUTE(SUBSTITUTE(SUBSTITUTE(UPPER($L237)," ",""),"F",""),";",REPT(" ",30)),151,30))),0)+IFERROR(VALUE(TRIM(MID(SUBSTITUTE(SUBSTITUTE(SUBSTITUTE(UPPER($L237)," ",""),"F",""),";",REPT(" ",30)),181,30))),0)+IFERROR(VALUE(TRIM(MID(SUBSTITUTE(SUBSTITUTE(SUBSTITUTE(UPPER($L237)," ",""),"F",""),";",REPT(" ",30)),211,30))),0)))))</f>
        <v/>
      </c>
      <c r="O237" s="24" t="n"/>
      <c r="P237" s="8" t="n"/>
      <c r="Q237" s="14" t="n"/>
      <c r="R237" s="25">
        <f>IF($C237="","",IF($E237="Falta","-",MAX(0,MIN(10,5+IFERROR(VALUE(TRIM(MID(SUBSTITUTE(SUBSTITUTE(SUBSTITUTE(UPPER($P237)," ",""),"C",""),";",REPT(" ",30)),1,30))),0)+IFERROR(VALUE(TRIM(MID(SUBSTITUTE(SUBSTITUTE(SUBSTITUTE(UPPER($P237)," ",""),"C",""),";",REPT(" ",30)),31,30))),0)+IFERROR(VALUE(TRIM(MID(SUBSTITUTE(SUBSTITUTE(SUBSTITUTE(UPPER($P237)," ",""),"C",""),";",REPT(" ",30)),61,30))),0)+IFERROR(VALUE(TRIM(MID(SUBSTITUTE(SUBSTITUTE(SUBSTITUTE(UPPER($P237)," ",""),"C",""),";",REPT(" ",30)),91,30))),0)+IFERROR(VALUE(TRIM(MID(SUBSTITUTE(SUBSTITUTE(SUBSTITUTE(UPPER($P237)," ",""),"C",""),";",REPT(" ",30)),121,30))),0)+IFERROR(VALUE(TRIM(MID(SUBSTITUTE(SUBSTITUTE(SUBSTITUTE(UPPER($P237)," ",""),"C",""),";",REPT(" ",30)),151,30))),0)+IFERROR(VALUE(TRIM(MID(SUBSTITUTE(SUBSTITUTE(SUBSTITUTE(UPPER($P237)," ",""),"C",""),";",REPT(" ",30)),181,30))),0)+IFERROR(VALUE(TRIM(MID(SUBSTITUTE(SUBSTITUTE(SUBSTITUTE(UPPER($P237)," ",""),"C",""),";",REPT(" ",30)),211,30))),0)))))</f>
        <v/>
      </c>
      <c r="S237" s="24" t="n"/>
      <c r="T237" s="8" t="n"/>
      <c r="U237" s="14" t="n"/>
      <c r="V237" s="25">
        <f>IF($C237="","",IF($E237="Falta","-",MAX(0,MIN(10,5+IFERROR(VALUE(TRIM(MID(SUBSTITUTE(SUBSTITUTE(SUBSTITUTE(UPPER($T237)," ",""),"P",""),";",REPT(" ",30)),1,30))),0)+IFERROR(VALUE(TRIM(MID(SUBSTITUTE(SUBSTITUTE(SUBSTITUTE(UPPER($T237)," ",""),"P",""),";",REPT(" ",30)),31,30))),0)+IFERROR(VALUE(TRIM(MID(SUBSTITUTE(SUBSTITUTE(SUBSTITUTE(UPPER($T237)," ",""),"P",""),";",REPT(" ",30)),61,30))),0)+IFERROR(VALUE(TRIM(MID(SUBSTITUTE(SUBSTITUTE(SUBSTITUTE(UPPER($T237)," ",""),"P",""),";",REPT(" ",30)),91,30))),0)+IFERROR(VALUE(TRIM(MID(SUBSTITUTE(SUBSTITUTE(SUBSTITUTE(UPPER($T237)," ",""),"P",""),";",REPT(" ",30)),121,30))),0)+IFERROR(VALUE(TRIM(MID(SUBSTITUTE(SUBSTITUTE(SUBSTITUTE(UPPER($T237)," ",""),"P",""),";",REPT(" ",30)),151,30))),0)+IFERROR(VALUE(TRIM(MID(SUBSTITUTE(SUBSTITUTE(SUBSTITUTE(UPPER($T237)," ",""),"P",""),";",REPT(" ",30)),181,30))),0)+IFERROR(VALUE(TRIM(MID(SUBSTITUTE(SUBSTITUTE(SUBSTITUTE(UPPER($T237)," ",""),"P",""),";",REPT(" ",30)),211,30))),0)))))</f>
        <v/>
      </c>
      <c r="W237" s="24" t="n"/>
      <c r="X237" s="14" t="n"/>
    </row>
    <row r="238">
      <c r="A238" s="8">
        <f>IF($C238="","",47)</f>
        <v/>
      </c>
      <c r="B238" s="8">
        <f>IF($C238="","","5ª Sessão")</f>
        <v/>
      </c>
      <c r="C238" s="8">
        <f>IF(Preenchimento!$B$56="","",Preenchimento!$B$56)</f>
        <v/>
      </c>
      <c r="D238" s="8">
        <f>IF($C238="","",IF(Preenchimento!$C$56="","-",Preenchimento!$C$56))</f>
        <v/>
      </c>
      <c r="E238" s="8" t="n"/>
      <c r="F238" s="8" t="n"/>
      <c r="G238" s="24" t="n"/>
      <c r="H238" s="8" t="n"/>
      <c r="I238" s="14" t="n"/>
      <c r="J238" s="25">
        <f>IF($C238="","",IF($E238="Falta","-",MAX(0,MIN(10,8+IFERROR(VALUE(TRIM(MID(SUBSTITUTE(SUBSTITUTE(SUBSTITUTE(UPPER($H238)," ",""),"D",""),";",REPT(" ",30)),1,30))),0)+IFERROR(VALUE(TRIM(MID(SUBSTITUTE(SUBSTITUTE(SUBSTITUTE(UPPER($H238)," ",""),"D",""),";",REPT(" ",30)),31,30))),0)+IFERROR(VALUE(TRIM(MID(SUBSTITUTE(SUBSTITUTE(SUBSTITUTE(UPPER($H238)," ",""),"D",""),";",REPT(" ",30)),61,30))),0)+IFERROR(VALUE(TRIM(MID(SUBSTITUTE(SUBSTITUTE(SUBSTITUTE(UPPER($H238)," ",""),"D",""),";",REPT(" ",30)),91,30))),0)+IFERROR(VALUE(TRIM(MID(SUBSTITUTE(SUBSTITUTE(SUBSTITUTE(UPPER($H238)," ",""),"D",""),";",REPT(" ",30)),121,30))),0)+IFERROR(VALUE(TRIM(MID(SUBSTITUTE(SUBSTITUTE(SUBSTITUTE(UPPER($H238)," ",""),"D",""),";",REPT(" ",30)),151,30))),0)+IFERROR(VALUE(TRIM(MID(SUBSTITUTE(SUBSTITUTE(SUBSTITUTE(UPPER($H238)," ",""),"D",""),";",REPT(" ",30)),181,30))),0)+IFERROR(VALUE(TRIM(MID(SUBSTITUTE(SUBSTITUTE(SUBSTITUTE(UPPER($H238)," ",""),"D",""),";",REPT(" ",30)),211,30))),0)))))</f>
        <v/>
      </c>
      <c r="K238" s="24" t="n"/>
      <c r="L238" s="8" t="n"/>
      <c r="M238" s="14" t="n"/>
      <c r="N238" s="25">
        <f>IF($C238="","",IF($E238="Falta","-",MAX(0,MIN(10,8+IFERROR(VALUE(TRIM(MID(SUBSTITUTE(SUBSTITUTE(SUBSTITUTE(UPPER($L238)," ",""),"F",""),";",REPT(" ",30)),1,30))),0)+IFERROR(VALUE(TRIM(MID(SUBSTITUTE(SUBSTITUTE(SUBSTITUTE(UPPER($L238)," ",""),"F",""),";",REPT(" ",30)),31,30))),0)+IFERROR(VALUE(TRIM(MID(SUBSTITUTE(SUBSTITUTE(SUBSTITUTE(UPPER($L238)," ",""),"F",""),";",REPT(" ",30)),61,30))),0)+IFERROR(VALUE(TRIM(MID(SUBSTITUTE(SUBSTITUTE(SUBSTITUTE(UPPER($L238)," ",""),"F",""),";",REPT(" ",30)),91,30))),0)+IFERROR(VALUE(TRIM(MID(SUBSTITUTE(SUBSTITUTE(SUBSTITUTE(UPPER($L238)," ",""),"F",""),";",REPT(" ",30)),121,30))),0)+IFERROR(VALUE(TRIM(MID(SUBSTITUTE(SUBSTITUTE(SUBSTITUTE(UPPER($L238)," ",""),"F",""),";",REPT(" ",30)),151,30))),0)+IFERROR(VALUE(TRIM(MID(SUBSTITUTE(SUBSTITUTE(SUBSTITUTE(UPPER($L238)," ",""),"F",""),";",REPT(" ",30)),181,30))),0)+IFERROR(VALUE(TRIM(MID(SUBSTITUTE(SUBSTITUTE(SUBSTITUTE(UPPER($L238)," ",""),"F",""),";",REPT(" ",30)),211,30))),0)))))</f>
        <v/>
      </c>
      <c r="O238" s="24" t="n"/>
      <c r="P238" s="8" t="n"/>
      <c r="Q238" s="14" t="n"/>
      <c r="R238" s="25">
        <f>IF($C238="","",IF($E238="Falta","-",MAX(0,MIN(10,5+IFERROR(VALUE(TRIM(MID(SUBSTITUTE(SUBSTITUTE(SUBSTITUTE(UPPER($P238)," ",""),"C",""),";",REPT(" ",30)),1,30))),0)+IFERROR(VALUE(TRIM(MID(SUBSTITUTE(SUBSTITUTE(SUBSTITUTE(UPPER($P238)," ",""),"C",""),";",REPT(" ",30)),31,30))),0)+IFERROR(VALUE(TRIM(MID(SUBSTITUTE(SUBSTITUTE(SUBSTITUTE(UPPER($P238)," ",""),"C",""),";",REPT(" ",30)),61,30))),0)+IFERROR(VALUE(TRIM(MID(SUBSTITUTE(SUBSTITUTE(SUBSTITUTE(UPPER($P238)," ",""),"C",""),";",REPT(" ",30)),91,30))),0)+IFERROR(VALUE(TRIM(MID(SUBSTITUTE(SUBSTITUTE(SUBSTITUTE(UPPER($P238)," ",""),"C",""),";",REPT(" ",30)),121,30))),0)+IFERROR(VALUE(TRIM(MID(SUBSTITUTE(SUBSTITUTE(SUBSTITUTE(UPPER($P238)," ",""),"C",""),";",REPT(" ",30)),151,30))),0)+IFERROR(VALUE(TRIM(MID(SUBSTITUTE(SUBSTITUTE(SUBSTITUTE(UPPER($P238)," ",""),"C",""),";",REPT(" ",30)),181,30))),0)+IFERROR(VALUE(TRIM(MID(SUBSTITUTE(SUBSTITUTE(SUBSTITUTE(UPPER($P238)," ",""),"C",""),";",REPT(" ",30)),211,30))),0)))))</f>
        <v/>
      </c>
      <c r="S238" s="24" t="n"/>
      <c r="T238" s="8" t="n"/>
      <c r="U238" s="14" t="n"/>
      <c r="V238" s="25">
        <f>IF($C238="","",IF($E238="Falta","-",MAX(0,MIN(10,5+IFERROR(VALUE(TRIM(MID(SUBSTITUTE(SUBSTITUTE(SUBSTITUTE(UPPER($T238)," ",""),"P",""),";",REPT(" ",30)),1,30))),0)+IFERROR(VALUE(TRIM(MID(SUBSTITUTE(SUBSTITUTE(SUBSTITUTE(UPPER($T238)," ",""),"P",""),";",REPT(" ",30)),31,30))),0)+IFERROR(VALUE(TRIM(MID(SUBSTITUTE(SUBSTITUTE(SUBSTITUTE(UPPER($T238)," ",""),"P",""),";",REPT(" ",30)),61,30))),0)+IFERROR(VALUE(TRIM(MID(SUBSTITUTE(SUBSTITUTE(SUBSTITUTE(UPPER($T238)," ",""),"P",""),";",REPT(" ",30)),91,30))),0)+IFERROR(VALUE(TRIM(MID(SUBSTITUTE(SUBSTITUTE(SUBSTITUTE(UPPER($T238)," ",""),"P",""),";",REPT(" ",30)),121,30))),0)+IFERROR(VALUE(TRIM(MID(SUBSTITUTE(SUBSTITUTE(SUBSTITUTE(UPPER($T238)," ",""),"P",""),";",REPT(" ",30)),151,30))),0)+IFERROR(VALUE(TRIM(MID(SUBSTITUTE(SUBSTITUTE(SUBSTITUTE(UPPER($T238)," ",""),"P",""),";",REPT(" ",30)),181,30))),0)+IFERROR(VALUE(TRIM(MID(SUBSTITUTE(SUBSTITUTE(SUBSTITUTE(UPPER($T238)," ",""),"P",""),";",REPT(" ",30)),211,30))),0)))))</f>
        <v/>
      </c>
      <c r="W238" s="24" t="n"/>
      <c r="X238" s="14" t="n"/>
    </row>
    <row r="239">
      <c r="A239" s="6">
        <f>IF($C239="","",48)</f>
        <v/>
      </c>
      <c r="B239" s="6">
        <f>IF($C239="","","1ª Sessão")</f>
        <v/>
      </c>
      <c r="C239" s="6">
        <f>IF(Preenchimento!$B$57="","",Preenchimento!$B$57)</f>
        <v/>
      </c>
      <c r="D239" s="6">
        <f>IF($C239="","",IF(Preenchimento!$C$57="","-",Preenchimento!$C$57))</f>
        <v/>
      </c>
      <c r="E239" s="6" t="n"/>
      <c r="F239" s="6" t="n"/>
      <c r="G239" s="26" t="n"/>
      <c r="H239" s="6" t="n"/>
      <c r="I239" s="13" t="n"/>
      <c r="J239" s="27">
        <f>IF($C239="","",IF($E239="Falta","-",MAX(0,MIN(10,8+IFERROR(VALUE(TRIM(MID(SUBSTITUTE(SUBSTITUTE(SUBSTITUTE(UPPER($H239)," ",""),"D",""),";",REPT(" ",30)),1,30))),0)+IFERROR(VALUE(TRIM(MID(SUBSTITUTE(SUBSTITUTE(SUBSTITUTE(UPPER($H239)," ",""),"D",""),";",REPT(" ",30)),31,30))),0)+IFERROR(VALUE(TRIM(MID(SUBSTITUTE(SUBSTITUTE(SUBSTITUTE(UPPER($H239)," ",""),"D",""),";",REPT(" ",30)),61,30))),0)+IFERROR(VALUE(TRIM(MID(SUBSTITUTE(SUBSTITUTE(SUBSTITUTE(UPPER($H239)," ",""),"D",""),";",REPT(" ",30)),91,30))),0)+IFERROR(VALUE(TRIM(MID(SUBSTITUTE(SUBSTITUTE(SUBSTITUTE(UPPER($H239)," ",""),"D",""),";",REPT(" ",30)),121,30))),0)+IFERROR(VALUE(TRIM(MID(SUBSTITUTE(SUBSTITUTE(SUBSTITUTE(UPPER($H239)," ",""),"D",""),";",REPT(" ",30)),151,30))),0)+IFERROR(VALUE(TRIM(MID(SUBSTITUTE(SUBSTITUTE(SUBSTITUTE(UPPER($H239)," ",""),"D",""),";",REPT(" ",30)),181,30))),0)+IFERROR(VALUE(TRIM(MID(SUBSTITUTE(SUBSTITUTE(SUBSTITUTE(UPPER($H239)," ",""),"D",""),";",REPT(" ",30)),211,30))),0)))))</f>
        <v/>
      </c>
      <c r="K239" s="26" t="n"/>
      <c r="L239" s="6" t="n"/>
      <c r="M239" s="13" t="n"/>
      <c r="N239" s="27">
        <f>IF($C239="","",IF($E239="Falta","-",MAX(0,MIN(10,8+IFERROR(VALUE(TRIM(MID(SUBSTITUTE(SUBSTITUTE(SUBSTITUTE(UPPER($L239)," ",""),"F",""),";",REPT(" ",30)),1,30))),0)+IFERROR(VALUE(TRIM(MID(SUBSTITUTE(SUBSTITUTE(SUBSTITUTE(UPPER($L239)," ",""),"F",""),";",REPT(" ",30)),31,30))),0)+IFERROR(VALUE(TRIM(MID(SUBSTITUTE(SUBSTITUTE(SUBSTITUTE(UPPER($L239)," ",""),"F",""),";",REPT(" ",30)),61,30))),0)+IFERROR(VALUE(TRIM(MID(SUBSTITUTE(SUBSTITUTE(SUBSTITUTE(UPPER($L239)," ",""),"F",""),";",REPT(" ",30)),91,30))),0)+IFERROR(VALUE(TRIM(MID(SUBSTITUTE(SUBSTITUTE(SUBSTITUTE(UPPER($L239)," ",""),"F",""),";",REPT(" ",30)),121,30))),0)+IFERROR(VALUE(TRIM(MID(SUBSTITUTE(SUBSTITUTE(SUBSTITUTE(UPPER($L239)," ",""),"F",""),";",REPT(" ",30)),151,30))),0)+IFERROR(VALUE(TRIM(MID(SUBSTITUTE(SUBSTITUTE(SUBSTITUTE(UPPER($L239)," ",""),"F",""),";",REPT(" ",30)),181,30))),0)+IFERROR(VALUE(TRIM(MID(SUBSTITUTE(SUBSTITUTE(SUBSTITUTE(UPPER($L239)," ",""),"F",""),";",REPT(" ",30)),211,30))),0)))))</f>
        <v/>
      </c>
      <c r="O239" s="26" t="n"/>
      <c r="P239" s="6" t="n"/>
      <c r="Q239" s="13" t="n"/>
      <c r="R239" s="27">
        <f>IF($C239="","",IF($E239="Falta","-",MAX(0,MIN(10,5+IFERROR(VALUE(TRIM(MID(SUBSTITUTE(SUBSTITUTE(SUBSTITUTE(UPPER($P239)," ",""),"C",""),";",REPT(" ",30)),1,30))),0)+IFERROR(VALUE(TRIM(MID(SUBSTITUTE(SUBSTITUTE(SUBSTITUTE(UPPER($P239)," ",""),"C",""),";",REPT(" ",30)),31,30))),0)+IFERROR(VALUE(TRIM(MID(SUBSTITUTE(SUBSTITUTE(SUBSTITUTE(UPPER($P239)," ",""),"C",""),";",REPT(" ",30)),61,30))),0)+IFERROR(VALUE(TRIM(MID(SUBSTITUTE(SUBSTITUTE(SUBSTITUTE(UPPER($P239)," ",""),"C",""),";",REPT(" ",30)),91,30))),0)+IFERROR(VALUE(TRIM(MID(SUBSTITUTE(SUBSTITUTE(SUBSTITUTE(UPPER($P239)," ",""),"C",""),";",REPT(" ",30)),121,30))),0)+IFERROR(VALUE(TRIM(MID(SUBSTITUTE(SUBSTITUTE(SUBSTITUTE(UPPER($P239)," ",""),"C",""),";",REPT(" ",30)),151,30))),0)+IFERROR(VALUE(TRIM(MID(SUBSTITUTE(SUBSTITUTE(SUBSTITUTE(UPPER($P239)," ",""),"C",""),";",REPT(" ",30)),181,30))),0)+IFERROR(VALUE(TRIM(MID(SUBSTITUTE(SUBSTITUTE(SUBSTITUTE(UPPER($P239)," ",""),"C",""),";",REPT(" ",30)),211,30))),0)))))</f>
        <v/>
      </c>
      <c r="S239" s="26" t="n"/>
      <c r="T239" s="6" t="n"/>
      <c r="U239" s="13" t="n"/>
      <c r="V239" s="27">
        <f>IF($C239="","",IF($E239="Falta","-",MAX(0,MIN(10,5+IFERROR(VALUE(TRIM(MID(SUBSTITUTE(SUBSTITUTE(SUBSTITUTE(UPPER($T239)," ",""),"P",""),";",REPT(" ",30)),1,30))),0)+IFERROR(VALUE(TRIM(MID(SUBSTITUTE(SUBSTITUTE(SUBSTITUTE(UPPER($T239)," ",""),"P",""),";",REPT(" ",30)),31,30))),0)+IFERROR(VALUE(TRIM(MID(SUBSTITUTE(SUBSTITUTE(SUBSTITUTE(UPPER($T239)," ",""),"P",""),";",REPT(" ",30)),61,30))),0)+IFERROR(VALUE(TRIM(MID(SUBSTITUTE(SUBSTITUTE(SUBSTITUTE(UPPER($T239)," ",""),"P",""),";",REPT(" ",30)),91,30))),0)+IFERROR(VALUE(TRIM(MID(SUBSTITUTE(SUBSTITUTE(SUBSTITUTE(UPPER($T239)," ",""),"P",""),";",REPT(" ",30)),121,30))),0)+IFERROR(VALUE(TRIM(MID(SUBSTITUTE(SUBSTITUTE(SUBSTITUTE(UPPER($T239)," ",""),"P",""),";",REPT(" ",30)),151,30))),0)+IFERROR(VALUE(TRIM(MID(SUBSTITUTE(SUBSTITUTE(SUBSTITUTE(UPPER($T239)," ",""),"P",""),";",REPT(" ",30)),181,30))),0)+IFERROR(VALUE(TRIM(MID(SUBSTITUTE(SUBSTITUTE(SUBSTITUTE(UPPER($T239)," ",""),"P",""),";",REPT(" ",30)),211,30))),0)))))</f>
        <v/>
      </c>
      <c r="W239" s="26" t="n"/>
      <c r="X239" s="13" t="n"/>
    </row>
    <row r="240">
      <c r="A240" s="6">
        <f>IF($C240="","",48)</f>
        <v/>
      </c>
      <c r="B240" s="6">
        <f>IF($C240="","","2ª Sessão")</f>
        <v/>
      </c>
      <c r="C240" s="6">
        <f>IF(Preenchimento!$B$57="","",Preenchimento!$B$57)</f>
        <v/>
      </c>
      <c r="D240" s="6">
        <f>IF($C240="","",IF(Preenchimento!$C$57="","-",Preenchimento!$C$57))</f>
        <v/>
      </c>
      <c r="E240" s="6" t="n"/>
      <c r="F240" s="6" t="n"/>
      <c r="G240" s="26" t="n"/>
      <c r="H240" s="6" t="n"/>
      <c r="I240" s="13" t="n"/>
      <c r="J240" s="27">
        <f>IF($C240="","",IF($E240="Falta","-",MAX(0,MIN(10,8+IFERROR(VALUE(TRIM(MID(SUBSTITUTE(SUBSTITUTE(SUBSTITUTE(UPPER($H240)," ",""),"D",""),";",REPT(" ",30)),1,30))),0)+IFERROR(VALUE(TRIM(MID(SUBSTITUTE(SUBSTITUTE(SUBSTITUTE(UPPER($H240)," ",""),"D",""),";",REPT(" ",30)),31,30))),0)+IFERROR(VALUE(TRIM(MID(SUBSTITUTE(SUBSTITUTE(SUBSTITUTE(UPPER($H240)," ",""),"D",""),";",REPT(" ",30)),61,30))),0)+IFERROR(VALUE(TRIM(MID(SUBSTITUTE(SUBSTITUTE(SUBSTITUTE(UPPER($H240)," ",""),"D",""),";",REPT(" ",30)),91,30))),0)+IFERROR(VALUE(TRIM(MID(SUBSTITUTE(SUBSTITUTE(SUBSTITUTE(UPPER($H240)," ",""),"D",""),";",REPT(" ",30)),121,30))),0)+IFERROR(VALUE(TRIM(MID(SUBSTITUTE(SUBSTITUTE(SUBSTITUTE(UPPER($H240)," ",""),"D",""),";",REPT(" ",30)),151,30))),0)+IFERROR(VALUE(TRIM(MID(SUBSTITUTE(SUBSTITUTE(SUBSTITUTE(UPPER($H240)," ",""),"D",""),";",REPT(" ",30)),181,30))),0)+IFERROR(VALUE(TRIM(MID(SUBSTITUTE(SUBSTITUTE(SUBSTITUTE(UPPER($H240)," ",""),"D",""),";",REPT(" ",30)),211,30))),0)))))</f>
        <v/>
      </c>
      <c r="K240" s="26" t="n"/>
      <c r="L240" s="6" t="n"/>
      <c r="M240" s="13" t="n"/>
      <c r="N240" s="27">
        <f>IF($C240="","",IF($E240="Falta","-",MAX(0,MIN(10,8+IFERROR(VALUE(TRIM(MID(SUBSTITUTE(SUBSTITUTE(SUBSTITUTE(UPPER($L240)," ",""),"F",""),";",REPT(" ",30)),1,30))),0)+IFERROR(VALUE(TRIM(MID(SUBSTITUTE(SUBSTITUTE(SUBSTITUTE(UPPER($L240)," ",""),"F",""),";",REPT(" ",30)),31,30))),0)+IFERROR(VALUE(TRIM(MID(SUBSTITUTE(SUBSTITUTE(SUBSTITUTE(UPPER($L240)," ",""),"F",""),";",REPT(" ",30)),61,30))),0)+IFERROR(VALUE(TRIM(MID(SUBSTITUTE(SUBSTITUTE(SUBSTITUTE(UPPER($L240)," ",""),"F",""),";",REPT(" ",30)),91,30))),0)+IFERROR(VALUE(TRIM(MID(SUBSTITUTE(SUBSTITUTE(SUBSTITUTE(UPPER($L240)," ",""),"F",""),";",REPT(" ",30)),121,30))),0)+IFERROR(VALUE(TRIM(MID(SUBSTITUTE(SUBSTITUTE(SUBSTITUTE(UPPER($L240)," ",""),"F",""),";",REPT(" ",30)),151,30))),0)+IFERROR(VALUE(TRIM(MID(SUBSTITUTE(SUBSTITUTE(SUBSTITUTE(UPPER($L240)," ",""),"F",""),";",REPT(" ",30)),181,30))),0)+IFERROR(VALUE(TRIM(MID(SUBSTITUTE(SUBSTITUTE(SUBSTITUTE(UPPER($L240)," ",""),"F",""),";",REPT(" ",30)),211,30))),0)))))</f>
        <v/>
      </c>
      <c r="O240" s="26" t="n"/>
      <c r="P240" s="6" t="n"/>
      <c r="Q240" s="13" t="n"/>
      <c r="R240" s="27">
        <f>IF($C240="","",IF($E240="Falta","-",MAX(0,MIN(10,5+IFERROR(VALUE(TRIM(MID(SUBSTITUTE(SUBSTITUTE(SUBSTITUTE(UPPER($P240)," ",""),"C",""),";",REPT(" ",30)),1,30))),0)+IFERROR(VALUE(TRIM(MID(SUBSTITUTE(SUBSTITUTE(SUBSTITUTE(UPPER($P240)," ",""),"C",""),";",REPT(" ",30)),31,30))),0)+IFERROR(VALUE(TRIM(MID(SUBSTITUTE(SUBSTITUTE(SUBSTITUTE(UPPER($P240)," ",""),"C",""),";",REPT(" ",30)),61,30))),0)+IFERROR(VALUE(TRIM(MID(SUBSTITUTE(SUBSTITUTE(SUBSTITUTE(UPPER($P240)," ",""),"C",""),";",REPT(" ",30)),91,30))),0)+IFERROR(VALUE(TRIM(MID(SUBSTITUTE(SUBSTITUTE(SUBSTITUTE(UPPER($P240)," ",""),"C",""),";",REPT(" ",30)),121,30))),0)+IFERROR(VALUE(TRIM(MID(SUBSTITUTE(SUBSTITUTE(SUBSTITUTE(UPPER($P240)," ",""),"C",""),";",REPT(" ",30)),151,30))),0)+IFERROR(VALUE(TRIM(MID(SUBSTITUTE(SUBSTITUTE(SUBSTITUTE(UPPER($P240)," ",""),"C",""),";",REPT(" ",30)),181,30))),0)+IFERROR(VALUE(TRIM(MID(SUBSTITUTE(SUBSTITUTE(SUBSTITUTE(UPPER($P240)," ",""),"C",""),";",REPT(" ",30)),211,30))),0)))))</f>
        <v/>
      </c>
      <c r="S240" s="26" t="n"/>
      <c r="T240" s="6" t="n"/>
      <c r="U240" s="13" t="n"/>
      <c r="V240" s="27">
        <f>IF($C240="","",IF($E240="Falta","-",MAX(0,MIN(10,5+IFERROR(VALUE(TRIM(MID(SUBSTITUTE(SUBSTITUTE(SUBSTITUTE(UPPER($T240)," ",""),"P",""),";",REPT(" ",30)),1,30))),0)+IFERROR(VALUE(TRIM(MID(SUBSTITUTE(SUBSTITUTE(SUBSTITUTE(UPPER($T240)," ",""),"P",""),";",REPT(" ",30)),31,30))),0)+IFERROR(VALUE(TRIM(MID(SUBSTITUTE(SUBSTITUTE(SUBSTITUTE(UPPER($T240)," ",""),"P",""),";",REPT(" ",30)),61,30))),0)+IFERROR(VALUE(TRIM(MID(SUBSTITUTE(SUBSTITUTE(SUBSTITUTE(UPPER($T240)," ",""),"P",""),";",REPT(" ",30)),91,30))),0)+IFERROR(VALUE(TRIM(MID(SUBSTITUTE(SUBSTITUTE(SUBSTITUTE(UPPER($T240)," ",""),"P",""),";",REPT(" ",30)),121,30))),0)+IFERROR(VALUE(TRIM(MID(SUBSTITUTE(SUBSTITUTE(SUBSTITUTE(UPPER($T240)," ",""),"P",""),";",REPT(" ",30)),151,30))),0)+IFERROR(VALUE(TRIM(MID(SUBSTITUTE(SUBSTITUTE(SUBSTITUTE(UPPER($T240)," ",""),"P",""),";",REPT(" ",30)),181,30))),0)+IFERROR(VALUE(TRIM(MID(SUBSTITUTE(SUBSTITUTE(SUBSTITUTE(UPPER($T240)," ",""),"P",""),";",REPT(" ",30)),211,30))),0)))))</f>
        <v/>
      </c>
      <c r="W240" s="26" t="n"/>
      <c r="X240" s="13" t="n"/>
    </row>
    <row r="241">
      <c r="A241" s="6">
        <f>IF($C241="","",48)</f>
        <v/>
      </c>
      <c r="B241" s="6">
        <f>IF($C241="","","3ª Sessão")</f>
        <v/>
      </c>
      <c r="C241" s="6">
        <f>IF(Preenchimento!$B$57="","",Preenchimento!$B$57)</f>
        <v/>
      </c>
      <c r="D241" s="6">
        <f>IF($C241="","",IF(Preenchimento!$C$57="","-",Preenchimento!$C$57))</f>
        <v/>
      </c>
      <c r="E241" s="6" t="n"/>
      <c r="F241" s="6" t="n"/>
      <c r="G241" s="26" t="n"/>
      <c r="H241" s="6" t="n"/>
      <c r="I241" s="13" t="n"/>
      <c r="J241" s="27">
        <f>IF($C241="","",IF($E241="Falta","-",MAX(0,MIN(10,8+IFERROR(VALUE(TRIM(MID(SUBSTITUTE(SUBSTITUTE(SUBSTITUTE(UPPER($H241)," ",""),"D",""),";",REPT(" ",30)),1,30))),0)+IFERROR(VALUE(TRIM(MID(SUBSTITUTE(SUBSTITUTE(SUBSTITUTE(UPPER($H241)," ",""),"D",""),";",REPT(" ",30)),31,30))),0)+IFERROR(VALUE(TRIM(MID(SUBSTITUTE(SUBSTITUTE(SUBSTITUTE(UPPER($H241)," ",""),"D",""),";",REPT(" ",30)),61,30))),0)+IFERROR(VALUE(TRIM(MID(SUBSTITUTE(SUBSTITUTE(SUBSTITUTE(UPPER($H241)," ",""),"D",""),";",REPT(" ",30)),91,30))),0)+IFERROR(VALUE(TRIM(MID(SUBSTITUTE(SUBSTITUTE(SUBSTITUTE(UPPER($H241)," ",""),"D",""),";",REPT(" ",30)),121,30))),0)+IFERROR(VALUE(TRIM(MID(SUBSTITUTE(SUBSTITUTE(SUBSTITUTE(UPPER($H241)," ",""),"D",""),";",REPT(" ",30)),151,30))),0)+IFERROR(VALUE(TRIM(MID(SUBSTITUTE(SUBSTITUTE(SUBSTITUTE(UPPER($H241)," ",""),"D",""),";",REPT(" ",30)),181,30))),0)+IFERROR(VALUE(TRIM(MID(SUBSTITUTE(SUBSTITUTE(SUBSTITUTE(UPPER($H241)," ",""),"D",""),";",REPT(" ",30)),211,30))),0)))))</f>
        <v/>
      </c>
      <c r="K241" s="26" t="n"/>
      <c r="L241" s="6" t="n"/>
      <c r="M241" s="13" t="n"/>
      <c r="N241" s="27">
        <f>IF($C241="","",IF($E241="Falta","-",MAX(0,MIN(10,8+IFERROR(VALUE(TRIM(MID(SUBSTITUTE(SUBSTITUTE(SUBSTITUTE(UPPER($L241)," ",""),"F",""),";",REPT(" ",30)),1,30))),0)+IFERROR(VALUE(TRIM(MID(SUBSTITUTE(SUBSTITUTE(SUBSTITUTE(UPPER($L241)," ",""),"F",""),";",REPT(" ",30)),31,30))),0)+IFERROR(VALUE(TRIM(MID(SUBSTITUTE(SUBSTITUTE(SUBSTITUTE(UPPER($L241)," ",""),"F",""),";",REPT(" ",30)),61,30))),0)+IFERROR(VALUE(TRIM(MID(SUBSTITUTE(SUBSTITUTE(SUBSTITUTE(UPPER($L241)," ",""),"F",""),";",REPT(" ",30)),91,30))),0)+IFERROR(VALUE(TRIM(MID(SUBSTITUTE(SUBSTITUTE(SUBSTITUTE(UPPER($L241)," ",""),"F",""),";",REPT(" ",30)),121,30))),0)+IFERROR(VALUE(TRIM(MID(SUBSTITUTE(SUBSTITUTE(SUBSTITUTE(UPPER($L241)," ",""),"F",""),";",REPT(" ",30)),151,30))),0)+IFERROR(VALUE(TRIM(MID(SUBSTITUTE(SUBSTITUTE(SUBSTITUTE(UPPER($L241)," ",""),"F",""),";",REPT(" ",30)),181,30))),0)+IFERROR(VALUE(TRIM(MID(SUBSTITUTE(SUBSTITUTE(SUBSTITUTE(UPPER($L241)," ",""),"F",""),";",REPT(" ",30)),211,30))),0)))))</f>
        <v/>
      </c>
      <c r="O241" s="26" t="n"/>
      <c r="P241" s="6" t="n"/>
      <c r="Q241" s="13" t="n"/>
      <c r="R241" s="27">
        <f>IF($C241="","",IF($E241="Falta","-",MAX(0,MIN(10,5+IFERROR(VALUE(TRIM(MID(SUBSTITUTE(SUBSTITUTE(SUBSTITUTE(UPPER($P241)," ",""),"C",""),";",REPT(" ",30)),1,30))),0)+IFERROR(VALUE(TRIM(MID(SUBSTITUTE(SUBSTITUTE(SUBSTITUTE(UPPER($P241)," ",""),"C",""),";",REPT(" ",30)),31,30))),0)+IFERROR(VALUE(TRIM(MID(SUBSTITUTE(SUBSTITUTE(SUBSTITUTE(UPPER($P241)," ",""),"C",""),";",REPT(" ",30)),61,30))),0)+IFERROR(VALUE(TRIM(MID(SUBSTITUTE(SUBSTITUTE(SUBSTITUTE(UPPER($P241)," ",""),"C",""),";",REPT(" ",30)),91,30))),0)+IFERROR(VALUE(TRIM(MID(SUBSTITUTE(SUBSTITUTE(SUBSTITUTE(UPPER($P241)," ",""),"C",""),";",REPT(" ",30)),121,30))),0)+IFERROR(VALUE(TRIM(MID(SUBSTITUTE(SUBSTITUTE(SUBSTITUTE(UPPER($P241)," ",""),"C",""),";",REPT(" ",30)),151,30))),0)+IFERROR(VALUE(TRIM(MID(SUBSTITUTE(SUBSTITUTE(SUBSTITUTE(UPPER($P241)," ",""),"C",""),";",REPT(" ",30)),181,30))),0)+IFERROR(VALUE(TRIM(MID(SUBSTITUTE(SUBSTITUTE(SUBSTITUTE(UPPER($P241)," ",""),"C",""),";",REPT(" ",30)),211,30))),0)))))</f>
        <v/>
      </c>
      <c r="S241" s="26" t="n"/>
      <c r="T241" s="6" t="n"/>
      <c r="U241" s="13" t="n"/>
      <c r="V241" s="27">
        <f>IF($C241="","",IF($E241="Falta","-",MAX(0,MIN(10,5+IFERROR(VALUE(TRIM(MID(SUBSTITUTE(SUBSTITUTE(SUBSTITUTE(UPPER($T241)," ",""),"P",""),";",REPT(" ",30)),1,30))),0)+IFERROR(VALUE(TRIM(MID(SUBSTITUTE(SUBSTITUTE(SUBSTITUTE(UPPER($T241)," ",""),"P",""),";",REPT(" ",30)),31,30))),0)+IFERROR(VALUE(TRIM(MID(SUBSTITUTE(SUBSTITUTE(SUBSTITUTE(UPPER($T241)," ",""),"P",""),";",REPT(" ",30)),61,30))),0)+IFERROR(VALUE(TRIM(MID(SUBSTITUTE(SUBSTITUTE(SUBSTITUTE(UPPER($T241)," ",""),"P",""),";",REPT(" ",30)),91,30))),0)+IFERROR(VALUE(TRIM(MID(SUBSTITUTE(SUBSTITUTE(SUBSTITUTE(UPPER($T241)," ",""),"P",""),";",REPT(" ",30)),121,30))),0)+IFERROR(VALUE(TRIM(MID(SUBSTITUTE(SUBSTITUTE(SUBSTITUTE(UPPER($T241)," ",""),"P",""),";",REPT(" ",30)),151,30))),0)+IFERROR(VALUE(TRIM(MID(SUBSTITUTE(SUBSTITUTE(SUBSTITUTE(UPPER($T241)," ",""),"P",""),";",REPT(" ",30)),181,30))),0)+IFERROR(VALUE(TRIM(MID(SUBSTITUTE(SUBSTITUTE(SUBSTITUTE(UPPER($T241)," ",""),"P",""),";",REPT(" ",30)),211,30))),0)))))</f>
        <v/>
      </c>
      <c r="W241" s="26" t="n"/>
      <c r="X241" s="13" t="n"/>
    </row>
    <row r="242">
      <c r="A242" s="6">
        <f>IF($C242="","",48)</f>
        <v/>
      </c>
      <c r="B242" s="6">
        <f>IF($C242="","","4ª Sessão")</f>
        <v/>
      </c>
      <c r="C242" s="6">
        <f>IF(Preenchimento!$B$57="","",Preenchimento!$B$57)</f>
        <v/>
      </c>
      <c r="D242" s="6">
        <f>IF($C242="","",IF(Preenchimento!$C$57="","-",Preenchimento!$C$57))</f>
        <v/>
      </c>
      <c r="E242" s="6" t="n"/>
      <c r="F242" s="6" t="n"/>
      <c r="G242" s="26" t="n"/>
      <c r="H242" s="6" t="n"/>
      <c r="I242" s="13" t="n"/>
      <c r="J242" s="27">
        <f>IF($C242="","",IF($E242="Falta","-",MAX(0,MIN(10,8+IFERROR(VALUE(TRIM(MID(SUBSTITUTE(SUBSTITUTE(SUBSTITUTE(UPPER($H242)," ",""),"D",""),";",REPT(" ",30)),1,30))),0)+IFERROR(VALUE(TRIM(MID(SUBSTITUTE(SUBSTITUTE(SUBSTITUTE(UPPER($H242)," ",""),"D",""),";",REPT(" ",30)),31,30))),0)+IFERROR(VALUE(TRIM(MID(SUBSTITUTE(SUBSTITUTE(SUBSTITUTE(UPPER($H242)," ",""),"D",""),";",REPT(" ",30)),61,30))),0)+IFERROR(VALUE(TRIM(MID(SUBSTITUTE(SUBSTITUTE(SUBSTITUTE(UPPER($H242)," ",""),"D",""),";",REPT(" ",30)),91,30))),0)+IFERROR(VALUE(TRIM(MID(SUBSTITUTE(SUBSTITUTE(SUBSTITUTE(UPPER($H242)," ",""),"D",""),";",REPT(" ",30)),121,30))),0)+IFERROR(VALUE(TRIM(MID(SUBSTITUTE(SUBSTITUTE(SUBSTITUTE(UPPER($H242)," ",""),"D",""),";",REPT(" ",30)),151,30))),0)+IFERROR(VALUE(TRIM(MID(SUBSTITUTE(SUBSTITUTE(SUBSTITUTE(UPPER($H242)," ",""),"D",""),";",REPT(" ",30)),181,30))),0)+IFERROR(VALUE(TRIM(MID(SUBSTITUTE(SUBSTITUTE(SUBSTITUTE(UPPER($H242)," ",""),"D",""),";",REPT(" ",30)),211,30))),0)))))</f>
        <v/>
      </c>
      <c r="K242" s="26" t="n"/>
      <c r="L242" s="6" t="n"/>
      <c r="M242" s="13" t="n"/>
      <c r="N242" s="27">
        <f>IF($C242="","",IF($E242="Falta","-",MAX(0,MIN(10,8+IFERROR(VALUE(TRIM(MID(SUBSTITUTE(SUBSTITUTE(SUBSTITUTE(UPPER($L242)," ",""),"F",""),";",REPT(" ",30)),1,30))),0)+IFERROR(VALUE(TRIM(MID(SUBSTITUTE(SUBSTITUTE(SUBSTITUTE(UPPER($L242)," ",""),"F",""),";",REPT(" ",30)),31,30))),0)+IFERROR(VALUE(TRIM(MID(SUBSTITUTE(SUBSTITUTE(SUBSTITUTE(UPPER($L242)," ",""),"F",""),";",REPT(" ",30)),61,30))),0)+IFERROR(VALUE(TRIM(MID(SUBSTITUTE(SUBSTITUTE(SUBSTITUTE(UPPER($L242)," ",""),"F",""),";",REPT(" ",30)),91,30))),0)+IFERROR(VALUE(TRIM(MID(SUBSTITUTE(SUBSTITUTE(SUBSTITUTE(UPPER($L242)," ",""),"F",""),";",REPT(" ",30)),121,30))),0)+IFERROR(VALUE(TRIM(MID(SUBSTITUTE(SUBSTITUTE(SUBSTITUTE(UPPER($L242)," ",""),"F",""),";",REPT(" ",30)),151,30))),0)+IFERROR(VALUE(TRIM(MID(SUBSTITUTE(SUBSTITUTE(SUBSTITUTE(UPPER($L242)," ",""),"F",""),";",REPT(" ",30)),181,30))),0)+IFERROR(VALUE(TRIM(MID(SUBSTITUTE(SUBSTITUTE(SUBSTITUTE(UPPER($L242)," ",""),"F",""),";",REPT(" ",30)),211,30))),0)))))</f>
        <v/>
      </c>
      <c r="O242" s="26" t="n"/>
      <c r="P242" s="6" t="n"/>
      <c r="Q242" s="13" t="n"/>
      <c r="R242" s="27">
        <f>IF($C242="","",IF($E242="Falta","-",MAX(0,MIN(10,5+IFERROR(VALUE(TRIM(MID(SUBSTITUTE(SUBSTITUTE(SUBSTITUTE(UPPER($P242)," ",""),"C",""),";",REPT(" ",30)),1,30))),0)+IFERROR(VALUE(TRIM(MID(SUBSTITUTE(SUBSTITUTE(SUBSTITUTE(UPPER($P242)," ",""),"C",""),";",REPT(" ",30)),31,30))),0)+IFERROR(VALUE(TRIM(MID(SUBSTITUTE(SUBSTITUTE(SUBSTITUTE(UPPER($P242)," ",""),"C",""),";",REPT(" ",30)),61,30))),0)+IFERROR(VALUE(TRIM(MID(SUBSTITUTE(SUBSTITUTE(SUBSTITUTE(UPPER($P242)," ",""),"C",""),";",REPT(" ",30)),91,30))),0)+IFERROR(VALUE(TRIM(MID(SUBSTITUTE(SUBSTITUTE(SUBSTITUTE(UPPER($P242)," ",""),"C",""),";",REPT(" ",30)),121,30))),0)+IFERROR(VALUE(TRIM(MID(SUBSTITUTE(SUBSTITUTE(SUBSTITUTE(UPPER($P242)," ",""),"C",""),";",REPT(" ",30)),151,30))),0)+IFERROR(VALUE(TRIM(MID(SUBSTITUTE(SUBSTITUTE(SUBSTITUTE(UPPER($P242)," ",""),"C",""),";",REPT(" ",30)),181,30))),0)+IFERROR(VALUE(TRIM(MID(SUBSTITUTE(SUBSTITUTE(SUBSTITUTE(UPPER($P242)," ",""),"C",""),";",REPT(" ",30)),211,30))),0)))))</f>
        <v/>
      </c>
      <c r="S242" s="26" t="n"/>
      <c r="T242" s="6" t="n"/>
      <c r="U242" s="13" t="n"/>
      <c r="V242" s="27">
        <f>IF($C242="","",IF($E242="Falta","-",MAX(0,MIN(10,5+IFERROR(VALUE(TRIM(MID(SUBSTITUTE(SUBSTITUTE(SUBSTITUTE(UPPER($T242)," ",""),"P",""),";",REPT(" ",30)),1,30))),0)+IFERROR(VALUE(TRIM(MID(SUBSTITUTE(SUBSTITUTE(SUBSTITUTE(UPPER($T242)," ",""),"P",""),";",REPT(" ",30)),31,30))),0)+IFERROR(VALUE(TRIM(MID(SUBSTITUTE(SUBSTITUTE(SUBSTITUTE(UPPER($T242)," ",""),"P",""),";",REPT(" ",30)),61,30))),0)+IFERROR(VALUE(TRIM(MID(SUBSTITUTE(SUBSTITUTE(SUBSTITUTE(UPPER($T242)," ",""),"P",""),";",REPT(" ",30)),91,30))),0)+IFERROR(VALUE(TRIM(MID(SUBSTITUTE(SUBSTITUTE(SUBSTITUTE(UPPER($T242)," ",""),"P",""),";",REPT(" ",30)),121,30))),0)+IFERROR(VALUE(TRIM(MID(SUBSTITUTE(SUBSTITUTE(SUBSTITUTE(UPPER($T242)," ",""),"P",""),";",REPT(" ",30)),151,30))),0)+IFERROR(VALUE(TRIM(MID(SUBSTITUTE(SUBSTITUTE(SUBSTITUTE(UPPER($T242)," ",""),"P",""),";",REPT(" ",30)),181,30))),0)+IFERROR(VALUE(TRIM(MID(SUBSTITUTE(SUBSTITUTE(SUBSTITUTE(UPPER($T242)," ",""),"P",""),";",REPT(" ",30)),211,30))),0)))))</f>
        <v/>
      </c>
      <c r="W242" s="26" t="n"/>
      <c r="X242" s="13" t="n"/>
    </row>
    <row r="243">
      <c r="A243" s="6">
        <f>IF($C243="","",48)</f>
        <v/>
      </c>
      <c r="B243" s="6">
        <f>IF($C243="","","5ª Sessão")</f>
        <v/>
      </c>
      <c r="C243" s="6">
        <f>IF(Preenchimento!$B$57="","",Preenchimento!$B$57)</f>
        <v/>
      </c>
      <c r="D243" s="6">
        <f>IF($C243="","",IF(Preenchimento!$C$57="","-",Preenchimento!$C$57))</f>
        <v/>
      </c>
      <c r="E243" s="6" t="n"/>
      <c r="F243" s="6" t="n"/>
      <c r="G243" s="26" t="n"/>
      <c r="H243" s="6" t="n"/>
      <c r="I243" s="13" t="n"/>
      <c r="J243" s="27">
        <f>IF($C243="","",IF($E243="Falta","-",MAX(0,MIN(10,8+IFERROR(VALUE(TRIM(MID(SUBSTITUTE(SUBSTITUTE(SUBSTITUTE(UPPER($H243)," ",""),"D",""),";",REPT(" ",30)),1,30))),0)+IFERROR(VALUE(TRIM(MID(SUBSTITUTE(SUBSTITUTE(SUBSTITUTE(UPPER($H243)," ",""),"D",""),";",REPT(" ",30)),31,30))),0)+IFERROR(VALUE(TRIM(MID(SUBSTITUTE(SUBSTITUTE(SUBSTITUTE(UPPER($H243)," ",""),"D",""),";",REPT(" ",30)),61,30))),0)+IFERROR(VALUE(TRIM(MID(SUBSTITUTE(SUBSTITUTE(SUBSTITUTE(UPPER($H243)," ",""),"D",""),";",REPT(" ",30)),91,30))),0)+IFERROR(VALUE(TRIM(MID(SUBSTITUTE(SUBSTITUTE(SUBSTITUTE(UPPER($H243)," ",""),"D",""),";",REPT(" ",30)),121,30))),0)+IFERROR(VALUE(TRIM(MID(SUBSTITUTE(SUBSTITUTE(SUBSTITUTE(UPPER($H243)," ",""),"D",""),";",REPT(" ",30)),151,30))),0)+IFERROR(VALUE(TRIM(MID(SUBSTITUTE(SUBSTITUTE(SUBSTITUTE(UPPER($H243)," ",""),"D",""),";",REPT(" ",30)),181,30))),0)+IFERROR(VALUE(TRIM(MID(SUBSTITUTE(SUBSTITUTE(SUBSTITUTE(UPPER($H243)," ",""),"D",""),";",REPT(" ",30)),211,30))),0)))))</f>
        <v/>
      </c>
      <c r="K243" s="26" t="n"/>
      <c r="L243" s="6" t="n"/>
      <c r="M243" s="13" t="n"/>
      <c r="N243" s="27">
        <f>IF($C243="","",IF($E243="Falta","-",MAX(0,MIN(10,8+IFERROR(VALUE(TRIM(MID(SUBSTITUTE(SUBSTITUTE(SUBSTITUTE(UPPER($L243)," ",""),"F",""),";",REPT(" ",30)),1,30))),0)+IFERROR(VALUE(TRIM(MID(SUBSTITUTE(SUBSTITUTE(SUBSTITUTE(UPPER($L243)," ",""),"F",""),";",REPT(" ",30)),31,30))),0)+IFERROR(VALUE(TRIM(MID(SUBSTITUTE(SUBSTITUTE(SUBSTITUTE(UPPER($L243)," ",""),"F",""),";",REPT(" ",30)),61,30))),0)+IFERROR(VALUE(TRIM(MID(SUBSTITUTE(SUBSTITUTE(SUBSTITUTE(UPPER($L243)," ",""),"F",""),";",REPT(" ",30)),91,30))),0)+IFERROR(VALUE(TRIM(MID(SUBSTITUTE(SUBSTITUTE(SUBSTITUTE(UPPER($L243)," ",""),"F",""),";",REPT(" ",30)),121,30))),0)+IFERROR(VALUE(TRIM(MID(SUBSTITUTE(SUBSTITUTE(SUBSTITUTE(UPPER($L243)," ",""),"F",""),";",REPT(" ",30)),151,30))),0)+IFERROR(VALUE(TRIM(MID(SUBSTITUTE(SUBSTITUTE(SUBSTITUTE(UPPER($L243)," ",""),"F",""),";",REPT(" ",30)),181,30))),0)+IFERROR(VALUE(TRIM(MID(SUBSTITUTE(SUBSTITUTE(SUBSTITUTE(UPPER($L243)," ",""),"F",""),";",REPT(" ",30)),211,30))),0)))))</f>
        <v/>
      </c>
      <c r="O243" s="26" t="n"/>
      <c r="P243" s="6" t="n"/>
      <c r="Q243" s="13" t="n"/>
      <c r="R243" s="27">
        <f>IF($C243="","",IF($E243="Falta","-",MAX(0,MIN(10,5+IFERROR(VALUE(TRIM(MID(SUBSTITUTE(SUBSTITUTE(SUBSTITUTE(UPPER($P243)," ",""),"C",""),";",REPT(" ",30)),1,30))),0)+IFERROR(VALUE(TRIM(MID(SUBSTITUTE(SUBSTITUTE(SUBSTITUTE(UPPER($P243)," ",""),"C",""),";",REPT(" ",30)),31,30))),0)+IFERROR(VALUE(TRIM(MID(SUBSTITUTE(SUBSTITUTE(SUBSTITUTE(UPPER($P243)," ",""),"C",""),";",REPT(" ",30)),61,30))),0)+IFERROR(VALUE(TRIM(MID(SUBSTITUTE(SUBSTITUTE(SUBSTITUTE(UPPER($P243)," ",""),"C",""),";",REPT(" ",30)),91,30))),0)+IFERROR(VALUE(TRIM(MID(SUBSTITUTE(SUBSTITUTE(SUBSTITUTE(UPPER($P243)," ",""),"C",""),";",REPT(" ",30)),121,30))),0)+IFERROR(VALUE(TRIM(MID(SUBSTITUTE(SUBSTITUTE(SUBSTITUTE(UPPER($P243)," ",""),"C",""),";",REPT(" ",30)),151,30))),0)+IFERROR(VALUE(TRIM(MID(SUBSTITUTE(SUBSTITUTE(SUBSTITUTE(UPPER($P243)," ",""),"C",""),";",REPT(" ",30)),181,30))),0)+IFERROR(VALUE(TRIM(MID(SUBSTITUTE(SUBSTITUTE(SUBSTITUTE(UPPER($P243)," ",""),"C",""),";",REPT(" ",30)),211,30))),0)))))</f>
        <v/>
      </c>
      <c r="S243" s="26" t="n"/>
      <c r="T243" s="6" t="n"/>
      <c r="U243" s="13" t="n"/>
      <c r="V243" s="27">
        <f>IF($C243="","",IF($E243="Falta","-",MAX(0,MIN(10,5+IFERROR(VALUE(TRIM(MID(SUBSTITUTE(SUBSTITUTE(SUBSTITUTE(UPPER($T243)," ",""),"P",""),";",REPT(" ",30)),1,30))),0)+IFERROR(VALUE(TRIM(MID(SUBSTITUTE(SUBSTITUTE(SUBSTITUTE(UPPER($T243)," ",""),"P",""),";",REPT(" ",30)),31,30))),0)+IFERROR(VALUE(TRIM(MID(SUBSTITUTE(SUBSTITUTE(SUBSTITUTE(UPPER($T243)," ",""),"P",""),";",REPT(" ",30)),61,30))),0)+IFERROR(VALUE(TRIM(MID(SUBSTITUTE(SUBSTITUTE(SUBSTITUTE(UPPER($T243)," ",""),"P",""),";",REPT(" ",30)),91,30))),0)+IFERROR(VALUE(TRIM(MID(SUBSTITUTE(SUBSTITUTE(SUBSTITUTE(UPPER($T243)," ",""),"P",""),";",REPT(" ",30)),121,30))),0)+IFERROR(VALUE(TRIM(MID(SUBSTITUTE(SUBSTITUTE(SUBSTITUTE(UPPER($T243)," ",""),"P",""),";",REPT(" ",30)),151,30))),0)+IFERROR(VALUE(TRIM(MID(SUBSTITUTE(SUBSTITUTE(SUBSTITUTE(UPPER($T243)," ",""),"P",""),";",REPT(" ",30)),181,30))),0)+IFERROR(VALUE(TRIM(MID(SUBSTITUTE(SUBSTITUTE(SUBSTITUTE(UPPER($T243)," ",""),"P",""),";",REPT(" ",30)),211,30))),0)))))</f>
        <v/>
      </c>
      <c r="W243" s="26" t="n"/>
      <c r="X243" s="13" t="n"/>
    </row>
    <row r="244">
      <c r="A244" s="8">
        <f>IF($C244="","",49)</f>
        <v/>
      </c>
      <c r="B244" s="8">
        <f>IF($C244="","","1ª Sessão")</f>
        <v/>
      </c>
      <c r="C244" s="8">
        <f>IF(Preenchimento!$B$58="","",Preenchimento!$B$58)</f>
        <v/>
      </c>
      <c r="D244" s="8">
        <f>IF($C244="","",IF(Preenchimento!$C$58="","-",Preenchimento!$C$58))</f>
        <v/>
      </c>
      <c r="E244" s="8" t="n"/>
      <c r="F244" s="8" t="n"/>
      <c r="G244" s="24" t="n"/>
      <c r="H244" s="8" t="n"/>
      <c r="I244" s="14" t="n"/>
      <c r="J244" s="25">
        <f>IF($C244="","",IF($E244="Falta","-",MAX(0,MIN(10,8+IFERROR(VALUE(TRIM(MID(SUBSTITUTE(SUBSTITUTE(SUBSTITUTE(UPPER($H244)," ",""),"D",""),";",REPT(" ",30)),1,30))),0)+IFERROR(VALUE(TRIM(MID(SUBSTITUTE(SUBSTITUTE(SUBSTITUTE(UPPER($H244)," ",""),"D",""),";",REPT(" ",30)),31,30))),0)+IFERROR(VALUE(TRIM(MID(SUBSTITUTE(SUBSTITUTE(SUBSTITUTE(UPPER($H244)," ",""),"D",""),";",REPT(" ",30)),61,30))),0)+IFERROR(VALUE(TRIM(MID(SUBSTITUTE(SUBSTITUTE(SUBSTITUTE(UPPER($H244)," ",""),"D",""),";",REPT(" ",30)),91,30))),0)+IFERROR(VALUE(TRIM(MID(SUBSTITUTE(SUBSTITUTE(SUBSTITUTE(UPPER($H244)," ",""),"D",""),";",REPT(" ",30)),121,30))),0)+IFERROR(VALUE(TRIM(MID(SUBSTITUTE(SUBSTITUTE(SUBSTITUTE(UPPER($H244)," ",""),"D",""),";",REPT(" ",30)),151,30))),0)+IFERROR(VALUE(TRIM(MID(SUBSTITUTE(SUBSTITUTE(SUBSTITUTE(UPPER($H244)," ",""),"D",""),";",REPT(" ",30)),181,30))),0)+IFERROR(VALUE(TRIM(MID(SUBSTITUTE(SUBSTITUTE(SUBSTITUTE(UPPER($H244)," ",""),"D",""),";",REPT(" ",30)),211,30))),0)))))</f>
        <v/>
      </c>
      <c r="K244" s="24" t="n"/>
      <c r="L244" s="8" t="n"/>
      <c r="M244" s="14" t="n"/>
      <c r="N244" s="25">
        <f>IF($C244="","",IF($E244="Falta","-",MAX(0,MIN(10,8+IFERROR(VALUE(TRIM(MID(SUBSTITUTE(SUBSTITUTE(SUBSTITUTE(UPPER($L244)," ",""),"F",""),";",REPT(" ",30)),1,30))),0)+IFERROR(VALUE(TRIM(MID(SUBSTITUTE(SUBSTITUTE(SUBSTITUTE(UPPER($L244)," ",""),"F",""),";",REPT(" ",30)),31,30))),0)+IFERROR(VALUE(TRIM(MID(SUBSTITUTE(SUBSTITUTE(SUBSTITUTE(UPPER($L244)," ",""),"F",""),";",REPT(" ",30)),61,30))),0)+IFERROR(VALUE(TRIM(MID(SUBSTITUTE(SUBSTITUTE(SUBSTITUTE(UPPER($L244)," ",""),"F",""),";",REPT(" ",30)),91,30))),0)+IFERROR(VALUE(TRIM(MID(SUBSTITUTE(SUBSTITUTE(SUBSTITUTE(UPPER($L244)," ",""),"F",""),";",REPT(" ",30)),121,30))),0)+IFERROR(VALUE(TRIM(MID(SUBSTITUTE(SUBSTITUTE(SUBSTITUTE(UPPER($L244)," ",""),"F",""),";",REPT(" ",30)),151,30))),0)+IFERROR(VALUE(TRIM(MID(SUBSTITUTE(SUBSTITUTE(SUBSTITUTE(UPPER($L244)," ",""),"F",""),";",REPT(" ",30)),181,30))),0)+IFERROR(VALUE(TRIM(MID(SUBSTITUTE(SUBSTITUTE(SUBSTITUTE(UPPER($L244)," ",""),"F",""),";",REPT(" ",30)),211,30))),0)))))</f>
        <v/>
      </c>
      <c r="O244" s="24" t="n"/>
      <c r="P244" s="8" t="n"/>
      <c r="Q244" s="14" t="n"/>
      <c r="R244" s="25">
        <f>IF($C244="","",IF($E244="Falta","-",MAX(0,MIN(10,5+IFERROR(VALUE(TRIM(MID(SUBSTITUTE(SUBSTITUTE(SUBSTITUTE(UPPER($P244)," ",""),"C",""),";",REPT(" ",30)),1,30))),0)+IFERROR(VALUE(TRIM(MID(SUBSTITUTE(SUBSTITUTE(SUBSTITUTE(UPPER($P244)," ",""),"C",""),";",REPT(" ",30)),31,30))),0)+IFERROR(VALUE(TRIM(MID(SUBSTITUTE(SUBSTITUTE(SUBSTITUTE(UPPER($P244)," ",""),"C",""),";",REPT(" ",30)),61,30))),0)+IFERROR(VALUE(TRIM(MID(SUBSTITUTE(SUBSTITUTE(SUBSTITUTE(UPPER($P244)," ",""),"C",""),";",REPT(" ",30)),91,30))),0)+IFERROR(VALUE(TRIM(MID(SUBSTITUTE(SUBSTITUTE(SUBSTITUTE(UPPER($P244)," ",""),"C",""),";",REPT(" ",30)),121,30))),0)+IFERROR(VALUE(TRIM(MID(SUBSTITUTE(SUBSTITUTE(SUBSTITUTE(UPPER($P244)," ",""),"C",""),";",REPT(" ",30)),151,30))),0)+IFERROR(VALUE(TRIM(MID(SUBSTITUTE(SUBSTITUTE(SUBSTITUTE(UPPER($P244)," ",""),"C",""),";",REPT(" ",30)),181,30))),0)+IFERROR(VALUE(TRIM(MID(SUBSTITUTE(SUBSTITUTE(SUBSTITUTE(UPPER($P244)," ",""),"C",""),";",REPT(" ",30)),211,30))),0)))))</f>
        <v/>
      </c>
      <c r="S244" s="24" t="n"/>
      <c r="T244" s="8" t="n"/>
      <c r="U244" s="14" t="n"/>
      <c r="V244" s="25">
        <f>IF($C244="","",IF($E244="Falta","-",MAX(0,MIN(10,5+IFERROR(VALUE(TRIM(MID(SUBSTITUTE(SUBSTITUTE(SUBSTITUTE(UPPER($T244)," ",""),"P",""),";",REPT(" ",30)),1,30))),0)+IFERROR(VALUE(TRIM(MID(SUBSTITUTE(SUBSTITUTE(SUBSTITUTE(UPPER($T244)," ",""),"P",""),";",REPT(" ",30)),31,30))),0)+IFERROR(VALUE(TRIM(MID(SUBSTITUTE(SUBSTITUTE(SUBSTITUTE(UPPER($T244)," ",""),"P",""),";",REPT(" ",30)),61,30))),0)+IFERROR(VALUE(TRIM(MID(SUBSTITUTE(SUBSTITUTE(SUBSTITUTE(UPPER($T244)," ",""),"P",""),";",REPT(" ",30)),91,30))),0)+IFERROR(VALUE(TRIM(MID(SUBSTITUTE(SUBSTITUTE(SUBSTITUTE(UPPER($T244)," ",""),"P",""),";",REPT(" ",30)),121,30))),0)+IFERROR(VALUE(TRIM(MID(SUBSTITUTE(SUBSTITUTE(SUBSTITUTE(UPPER($T244)," ",""),"P",""),";",REPT(" ",30)),151,30))),0)+IFERROR(VALUE(TRIM(MID(SUBSTITUTE(SUBSTITUTE(SUBSTITUTE(UPPER($T244)," ",""),"P",""),";",REPT(" ",30)),181,30))),0)+IFERROR(VALUE(TRIM(MID(SUBSTITUTE(SUBSTITUTE(SUBSTITUTE(UPPER($T244)," ",""),"P",""),";",REPT(" ",30)),211,30))),0)))))</f>
        <v/>
      </c>
      <c r="W244" s="24" t="n"/>
      <c r="X244" s="14" t="n"/>
    </row>
    <row r="245">
      <c r="A245" s="8">
        <f>IF($C245="","",49)</f>
        <v/>
      </c>
      <c r="B245" s="8">
        <f>IF($C245="","","2ª Sessão")</f>
        <v/>
      </c>
      <c r="C245" s="8">
        <f>IF(Preenchimento!$B$58="","",Preenchimento!$B$58)</f>
        <v/>
      </c>
      <c r="D245" s="8">
        <f>IF($C245="","",IF(Preenchimento!$C$58="","-",Preenchimento!$C$58))</f>
        <v/>
      </c>
      <c r="E245" s="8" t="n"/>
      <c r="F245" s="8" t="n"/>
      <c r="G245" s="24" t="n"/>
      <c r="H245" s="8" t="n"/>
      <c r="I245" s="14" t="n"/>
      <c r="J245" s="25">
        <f>IF($C245="","",IF($E245="Falta","-",MAX(0,MIN(10,8+IFERROR(VALUE(TRIM(MID(SUBSTITUTE(SUBSTITUTE(SUBSTITUTE(UPPER($H245)," ",""),"D",""),";",REPT(" ",30)),1,30))),0)+IFERROR(VALUE(TRIM(MID(SUBSTITUTE(SUBSTITUTE(SUBSTITUTE(UPPER($H245)," ",""),"D",""),";",REPT(" ",30)),31,30))),0)+IFERROR(VALUE(TRIM(MID(SUBSTITUTE(SUBSTITUTE(SUBSTITUTE(UPPER($H245)," ",""),"D",""),";",REPT(" ",30)),61,30))),0)+IFERROR(VALUE(TRIM(MID(SUBSTITUTE(SUBSTITUTE(SUBSTITUTE(UPPER($H245)," ",""),"D",""),";",REPT(" ",30)),91,30))),0)+IFERROR(VALUE(TRIM(MID(SUBSTITUTE(SUBSTITUTE(SUBSTITUTE(UPPER($H245)," ",""),"D",""),";",REPT(" ",30)),121,30))),0)+IFERROR(VALUE(TRIM(MID(SUBSTITUTE(SUBSTITUTE(SUBSTITUTE(UPPER($H245)," ",""),"D",""),";",REPT(" ",30)),151,30))),0)+IFERROR(VALUE(TRIM(MID(SUBSTITUTE(SUBSTITUTE(SUBSTITUTE(UPPER($H245)," ",""),"D",""),";",REPT(" ",30)),181,30))),0)+IFERROR(VALUE(TRIM(MID(SUBSTITUTE(SUBSTITUTE(SUBSTITUTE(UPPER($H245)," ",""),"D",""),";",REPT(" ",30)),211,30))),0)))))</f>
        <v/>
      </c>
      <c r="K245" s="24" t="n"/>
      <c r="L245" s="8" t="n"/>
      <c r="M245" s="14" t="n"/>
      <c r="N245" s="25">
        <f>IF($C245="","",IF($E245="Falta","-",MAX(0,MIN(10,8+IFERROR(VALUE(TRIM(MID(SUBSTITUTE(SUBSTITUTE(SUBSTITUTE(UPPER($L245)," ",""),"F",""),";",REPT(" ",30)),1,30))),0)+IFERROR(VALUE(TRIM(MID(SUBSTITUTE(SUBSTITUTE(SUBSTITUTE(UPPER($L245)," ",""),"F",""),";",REPT(" ",30)),31,30))),0)+IFERROR(VALUE(TRIM(MID(SUBSTITUTE(SUBSTITUTE(SUBSTITUTE(UPPER($L245)," ",""),"F",""),";",REPT(" ",30)),61,30))),0)+IFERROR(VALUE(TRIM(MID(SUBSTITUTE(SUBSTITUTE(SUBSTITUTE(UPPER($L245)," ",""),"F",""),";",REPT(" ",30)),91,30))),0)+IFERROR(VALUE(TRIM(MID(SUBSTITUTE(SUBSTITUTE(SUBSTITUTE(UPPER($L245)," ",""),"F",""),";",REPT(" ",30)),121,30))),0)+IFERROR(VALUE(TRIM(MID(SUBSTITUTE(SUBSTITUTE(SUBSTITUTE(UPPER($L245)," ",""),"F",""),";",REPT(" ",30)),151,30))),0)+IFERROR(VALUE(TRIM(MID(SUBSTITUTE(SUBSTITUTE(SUBSTITUTE(UPPER($L245)," ",""),"F",""),";",REPT(" ",30)),181,30))),0)+IFERROR(VALUE(TRIM(MID(SUBSTITUTE(SUBSTITUTE(SUBSTITUTE(UPPER($L245)," ",""),"F",""),";",REPT(" ",30)),211,30))),0)))))</f>
        <v/>
      </c>
      <c r="O245" s="24" t="n"/>
      <c r="P245" s="8" t="n"/>
      <c r="Q245" s="14" t="n"/>
      <c r="R245" s="25">
        <f>IF($C245="","",IF($E245="Falta","-",MAX(0,MIN(10,5+IFERROR(VALUE(TRIM(MID(SUBSTITUTE(SUBSTITUTE(SUBSTITUTE(UPPER($P245)," ",""),"C",""),";",REPT(" ",30)),1,30))),0)+IFERROR(VALUE(TRIM(MID(SUBSTITUTE(SUBSTITUTE(SUBSTITUTE(UPPER($P245)," ",""),"C",""),";",REPT(" ",30)),31,30))),0)+IFERROR(VALUE(TRIM(MID(SUBSTITUTE(SUBSTITUTE(SUBSTITUTE(UPPER($P245)," ",""),"C",""),";",REPT(" ",30)),61,30))),0)+IFERROR(VALUE(TRIM(MID(SUBSTITUTE(SUBSTITUTE(SUBSTITUTE(UPPER($P245)," ",""),"C",""),";",REPT(" ",30)),91,30))),0)+IFERROR(VALUE(TRIM(MID(SUBSTITUTE(SUBSTITUTE(SUBSTITUTE(UPPER($P245)," ",""),"C",""),";",REPT(" ",30)),121,30))),0)+IFERROR(VALUE(TRIM(MID(SUBSTITUTE(SUBSTITUTE(SUBSTITUTE(UPPER($P245)," ",""),"C",""),";",REPT(" ",30)),151,30))),0)+IFERROR(VALUE(TRIM(MID(SUBSTITUTE(SUBSTITUTE(SUBSTITUTE(UPPER($P245)," ",""),"C",""),";",REPT(" ",30)),181,30))),0)+IFERROR(VALUE(TRIM(MID(SUBSTITUTE(SUBSTITUTE(SUBSTITUTE(UPPER($P245)," ",""),"C",""),";",REPT(" ",30)),211,30))),0)))))</f>
        <v/>
      </c>
      <c r="S245" s="24" t="n"/>
      <c r="T245" s="8" t="n"/>
      <c r="U245" s="14" t="n"/>
      <c r="V245" s="25">
        <f>IF($C245="","",IF($E245="Falta","-",MAX(0,MIN(10,5+IFERROR(VALUE(TRIM(MID(SUBSTITUTE(SUBSTITUTE(SUBSTITUTE(UPPER($T245)," ",""),"P",""),";",REPT(" ",30)),1,30))),0)+IFERROR(VALUE(TRIM(MID(SUBSTITUTE(SUBSTITUTE(SUBSTITUTE(UPPER($T245)," ",""),"P",""),";",REPT(" ",30)),31,30))),0)+IFERROR(VALUE(TRIM(MID(SUBSTITUTE(SUBSTITUTE(SUBSTITUTE(UPPER($T245)," ",""),"P",""),";",REPT(" ",30)),61,30))),0)+IFERROR(VALUE(TRIM(MID(SUBSTITUTE(SUBSTITUTE(SUBSTITUTE(UPPER($T245)," ",""),"P",""),";",REPT(" ",30)),91,30))),0)+IFERROR(VALUE(TRIM(MID(SUBSTITUTE(SUBSTITUTE(SUBSTITUTE(UPPER($T245)," ",""),"P",""),";",REPT(" ",30)),121,30))),0)+IFERROR(VALUE(TRIM(MID(SUBSTITUTE(SUBSTITUTE(SUBSTITUTE(UPPER($T245)," ",""),"P",""),";",REPT(" ",30)),151,30))),0)+IFERROR(VALUE(TRIM(MID(SUBSTITUTE(SUBSTITUTE(SUBSTITUTE(UPPER($T245)," ",""),"P",""),";",REPT(" ",30)),181,30))),0)+IFERROR(VALUE(TRIM(MID(SUBSTITUTE(SUBSTITUTE(SUBSTITUTE(UPPER($T245)," ",""),"P",""),";",REPT(" ",30)),211,30))),0)))))</f>
        <v/>
      </c>
      <c r="W245" s="24" t="n"/>
      <c r="X245" s="14" t="n"/>
    </row>
    <row r="246">
      <c r="A246" s="8">
        <f>IF($C246="","",49)</f>
        <v/>
      </c>
      <c r="B246" s="8">
        <f>IF($C246="","","3ª Sessão")</f>
        <v/>
      </c>
      <c r="C246" s="8">
        <f>IF(Preenchimento!$B$58="","",Preenchimento!$B$58)</f>
        <v/>
      </c>
      <c r="D246" s="8">
        <f>IF($C246="","",IF(Preenchimento!$C$58="","-",Preenchimento!$C$58))</f>
        <v/>
      </c>
      <c r="E246" s="8" t="n"/>
      <c r="F246" s="8" t="n"/>
      <c r="G246" s="24" t="n"/>
      <c r="H246" s="8" t="n"/>
      <c r="I246" s="14" t="n"/>
      <c r="J246" s="25">
        <f>IF($C246="","",IF($E246="Falta","-",MAX(0,MIN(10,8+IFERROR(VALUE(TRIM(MID(SUBSTITUTE(SUBSTITUTE(SUBSTITUTE(UPPER($H246)," ",""),"D",""),";",REPT(" ",30)),1,30))),0)+IFERROR(VALUE(TRIM(MID(SUBSTITUTE(SUBSTITUTE(SUBSTITUTE(UPPER($H246)," ",""),"D",""),";",REPT(" ",30)),31,30))),0)+IFERROR(VALUE(TRIM(MID(SUBSTITUTE(SUBSTITUTE(SUBSTITUTE(UPPER($H246)," ",""),"D",""),";",REPT(" ",30)),61,30))),0)+IFERROR(VALUE(TRIM(MID(SUBSTITUTE(SUBSTITUTE(SUBSTITUTE(UPPER($H246)," ",""),"D",""),";",REPT(" ",30)),91,30))),0)+IFERROR(VALUE(TRIM(MID(SUBSTITUTE(SUBSTITUTE(SUBSTITUTE(UPPER($H246)," ",""),"D",""),";",REPT(" ",30)),121,30))),0)+IFERROR(VALUE(TRIM(MID(SUBSTITUTE(SUBSTITUTE(SUBSTITUTE(UPPER($H246)," ",""),"D",""),";",REPT(" ",30)),151,30))),0)+IFERROR(VALUE(TRIM(MID(SUBSTITUTE(SUBSTITUTE(SUBSTITUTE(UPPER($H246)," ",""),"D",""),";",REPT(" ",30)),181,30))),0)+IFERROR(VALUE(TRIM(MID(SUBSTITUTE(SUBSTITUTE(SUBSTITUTE(UPPER($H246)," ",""),"D",""),";",REPT(" ",30)),211,30))),0)))))</f>
        <v/>
      </c>
      <c r="K246" s="24" t="n"/>
      <c r="L246" s="8" t="n"/>
      <c r="M246" s="14" t="n"/>
      <c r="N246" s="25">
        <f>IF($C246="","",IF($E246="Falta","-",MAX(0,MIN(10,8+IFERROR(VALUE(TRIM(MID(SUBSTITUTE(SUBSTITUTE(SUBSTITUTE(UPPER($L246)," ",""),"F",""),";",REPT(" ",30)),1,30))),0)+IFERROR(VALUE(TRIM(MID(SUBSTITUTE(SUBSTITUTE(SUBSTITUTE(UPPER($L246)," ",""),"F",""),";",REPT(" ",30)),31,30))),0)+IFERROR(VALUE(TRIM(MID(SUBSTITUTE(SUBSTITUTE(SUBSTITUTE(UPPER($L246)," ",""),"F",""),";",REPT(" ",30)),61,30))),0)+IFERROR(VALUE(TRIM(MID(SUBSTITUTE(SUBSTITUTE(SUBSTITUTE(UPPER($L246)," ",""),"F",""),";",REPT(" ",30)),91,30))),0)+IFERROR(VALUE(TRIM(MID(SUBSTITUTE(SUBSTITUTE(SUBSTITUTE(UPPER($L246)," ",""),"F",""),";",REPT(" ",30)),121,30))),0)+IFERROR(VALUE(TRIM(MID(SUBSTITUTE(SUBSTITUTE(SUBSTITUTE(UPPER($L246)," ",""),"F",""),";",REPT(" ",30)),151,30))),0)+IFERROR(VALUE(TRIM(MID(SUBSTITUTE(SUBSTITUTE(SUBSTITUTE(UPPER($L246)," ",""),"F",""),";",REPT(" ",30)),181,30))),0)+IFERROR(VALUE(TRIM(MID(SUBSTITUTE(SUBSTITUTE(SUBSTITUTE(UPPER($L246)," ",""),"F",""),";",REPT(" ",30)),211,30))),0)))))</f>
        <v/>
      </c>
      <c r="O246" s="24" t="n"/>
      <c r="P246" s="8" t="n"/>
      <c r="Q246" s="14" t="n"/>
      <c r="R246" s="25">
        <f>IF($C246="","",IF($E246="Falta","-",MAX(0,MIN(10,5+IFERROR(VALUE(TRIM(MID(SUBSTITUTE(SUBSTITUTE(SUBSTITUTE(UPPER($P246)," ",""),"C",""),";",REPT(" ",30)),1,30))),0)+IFERROR(VALUE(TRIM(MID(SUBSTITUTE(SUBSTITUTE(SUBSTITUTE(UPPER($P246)," ",""),"C",""),";",REPT(" ",30)),31,30))),0)+IFERROR(VALUE(TRIM(MID(SUBSTITUTE(SUBSTITUTE(SUBSTITUTE(UPPER($P246)," ",""),"C",""),";",REPT(" ",30)),61,30))),0)+IFERROR(VALUE(TRIM(MID(SUBSTITUTE(SUBSTITUTE(SUBSTITUTE(UPPER($P246)," ",""),"C",""),";",REPT(" ",30)),91,30))),0)+IFERROR(VALUE(TRIM(MID(SUBSTITUTE(SUBSTITUTE(SUBSTITUTE(UPPER($P246)," ",""),"C",""),";",REPT(" ",30)),121,30))),0)+IFERROR(VALUE(TRIM(MID(SUBSTITUTE(SUBSTITUTE(SUBSTITUTE(UPPER($P246)," ",""),"C",""),";",REPT(" ",30)),151,30))),0)+IFERROR(VALUE(TRIM(MID(SUBSTITUTE(SUBSTITUTE(SUBSTITUTE(UPPER($P246)," ",""),"C",""),";",REPT(" ",30)),181,30))),0)+IFERROR(VALUE(TRIM(MID(SUBSTITUTE(SUBSTITUTE(SUBSTITUTE(UPPER($P246)," ",""),"C",""),";",REPT(" ",30)),211,30))),0)))))</f>
        <v/>
      </c>
      <c r="S246" s="24" t="n"/>
      <c r="T246" s="8" t="n"/>
      <c r="U246" s="14" t="n"/>
      <c r="V246" s="25">
        <f>IF($C246="","",IF($E246="Falta","-",MAX(0,MIN(10,5+IFERROR(VALUE(TRIM(MID(SUBSTITUTE(SUBSTITUTE(SUBSTITUTE(UPPER($T246)," ",""),"P",""),";",REPT(" ",30)),1,30))),0)+IFERROR(VALUE(TRIM(MID(SUBSTITUTE(SUBSTITUTE(SUBSTITUTE(UPPER($T246)," ",""),"P",""),";",REPT(" ",30)),31,30))),0)+IFERROR(VALUE(TRIM(MID(SUBSTITUTE(SUBSTITUTE(SUBSTITUTE(UPPER($T246)," ",""),"P",""),";",REPT(" ",30)),61,30))),0)+IFERROR(VALUE(TRIM(MID(SUBSTITUTE(SUBSTITUTE(SUBSTITUTE(UPPER($T246)," ",""),"P",""),";",REPT(" ",30)),91,30))),0)+IFERROR(VALUE(TRIM(MID(SUBSTITUTE(SUBSTITUTE(SUBSTITUTE(UPPER($T246)," ",""),"P",""),";",REPT(" ",30)),121,30))),0)+IFERROR(VALUE(TRIM(MID(SUBSTITUTE(SUBSTITUTE(SUBSTITUTE(UPPER($T246)," ",""),"P",""),";",REPT(" ",30)),151,30))),0)+IFERROR(VALUE(TRIM(MID(SUBSTITUTE(SUBSTITUTE(SUBSTITUTE(UPPER($T246)," ",""),"P",""),";",REPT(" ",30)),181,30))),0)+IFERROR(VALUE(TRIM(MID(SUBSTITUTE(SUBSTITUTE(SUBSTITUTE(UPPER($T246)," ",""),"P",""),";",REPT(" ",30)),211,30))),0)))))</f>
        <v/>
      </c>
      <c r="W246" s="24" t="n"/>
      <c r="X246" s="14" t="n"/>
    </row>
    <row r="247">
      <c r="A247" s="8">
        <f>IF($C247="","",49)</f>
        <v/>
      </c>
      <c r="B247" s="8">
        <f>IF($C247="","","4ª Sessão")</f>
        <v/>
      </c>
      <c r="C247" s="8">
        <f>IF(Preenchimento!$B$58="","",Preenchimento!$B$58)</f>
        <v/>
      </c>
      <c r="D247" s="8">
        <f>IF($C247="","",IF(Preenchimento!$C$58="","-",Preenchimento!$C$58))</f>
        <v/>
      </c>
      <c r="E247" s="8" t="n"/>
      <c r="F247" s="8" t="n"/>
      <c r="G247" s="24" t="n"/>
      <c r="H247" s="8" t="n"/>
      <c r="I247" s="14" t="n"/>
      <c r="J247" s="25">
        <f>IF($C247="","",IF($E247="Falta","-",MAX(0,MIN(10,8+IFERROR(VALUE(TRIM(MID(SUBSTITUTE(SUBSTITUTE(SUBSTITUTE(UPPER($H247)," ",""),"D",""),";",REPT(" ",30)),1,30))),0)+IFERROR(VALUE(TRIM(MID(SUBSTITUTE(SUBSTITUTE(SUBSTITUTE(UPPER($H247)," ",""),"D",""),";",REPT(" ",30)),31,30))),0)+IFERROR(VALUE(TRIM(MID(SUBSTITUTE(SUBSTITUTE(SUBSTITUTE(UPPER($H247)," ",""),"D",""),";",REPT(" ",30)),61,30))),0)+IFERROR(VALUE(TRIM(MID(SUBSTITUTE(SUBSTITUTE(SUBSTITUTE(UPPER($H247)," ",""),"D",""),";",REPT(" ",30)),91,30))),0)+IFERROR(VALUE(TRIM(MID(SUBSTITUTE(SUBSTITUTE(SUBSTITUTE(UPPER($H247)," ",""),"D",""),";",REPT(" ",30)),121,30))),0)+IFERROR(VALUE(TRIM(MID(SUBSTITUTE(SUBSTITUTE(SUBSTITUTE(UPPER($H247)," ",""),"D",""),";",REPT(" ",30)),151,30))),0)+IFERROR(VALUE(TRIM(MID(SUBSTITUTE(SUBSTITUTE(SUBSTITUTE(UPPER($H247)," ",""),"D",""),";",REPT(" ",30)),181,30))),0)+IFERROR(VALUE(TRIM(MID(SUBSTITUTE(SUBSTITUTE(SUBSTITUTE(UPPER($H247)," ",""),"D",""),";",REPT(" ",30)),211,30))),0)))))</f>
        <v/>
      </c>
      <c r="K247" s="24" t="n"/>
      <c r="L247" s="8" t="n"/>
      <c r="M247" s="14" t="n"/>
      <c r="N247" s="25">
        <f>IF($C247="","",IF($E247="Falta","-",MAX(0,MIN(10,8+IFERROR(VALUE(TRIM(MID(SUBSTITUTE(SUBSTITUTE(SUBSTITUTE(UPPER($L247)," ",""),"F",""),";",REPT(" ",30)),1,30))),0)+IFERROR(VALUE(TRIM(MID(SUBSTITUTE(SUBSTITUTE(SUBSTITUTE(UPPER($L247)," ",""),"F",""),";",REPT(" ",30)),31,30))),0)+IFERROR(VALUE(TRIM(MID(SUBSTITUTE(SUBSTITUTE(SUBSTITUTE(UPPER($L247)," ",""),"F",""),";",REPT(" ",30)),61,30))),0)+IFERROR(VALUE(TRIM(MID(SUBSTITUTE(SUBSTITUTE(SUBSTITUTE(UPPER($L247)," ",""),"F",""),";",REPT(" ",30)),91,30))),0)+IFERROR(VALUE(TRIM(MID(SUBSTITUTE(SUBSTITUTE(SUBSTITUTE(UPPER($L247)," ",""),"F",""),";",REPT(" ",30)),121,30))),0)+IFERROR(VALUE(TRIM(MID(SUBSTITUTE(SUBSTITUTE(SUBSTITUTE(UPPER($L247)," ",""),"F",""),";",REPT(" ",30)),151,30))),0)+IFERROR(VALUE(TRIM(MID(SUBSTITUTE(SUBSTITUTE(SUBSTITUTE(UPPER($L247)," ",""),"F",""),";",REPT(" ",30)),181,30))),0)+IFERROR(VALUE(TRIM(MID(SUBSTITUTE(SUBSTITUTE(SUBSTITUTE(UPPER($L247)," ",""),"F",""),";",REPT(" ",30)),211,30))),0)))))</f>
        <v/>
      </c>
      <c r="O247" s="24" t="n"/>
      <c r="P247" s="8" t="n"/>
      <c r="Q247" s="14" t="n"/>
      <c r="R247" s="25">
        <f>IF($C247="","",IF($E247="Falta","-",MAX(0,MIN(10,5+IFERROR(VALUE(TRIM(MID(SUBSTITUTE(SUBSTITUTE(SUBSTITUTE(UPPER($P247)," ",""),"C",""),";",REPT(" ",30)),1,30))),0)+IFERROR(VALUE(TRIM(MID(SUBSTITUTE(SUBSTITUTE(SUBSTITUTE(UPPER($P247)," ",""),"C",""),";",REPT(" ",30)),31,30))),0)+IFERROR(VALUE(TRIM(MID(SUBSTITUTE(SUBSTITUTE(SUBSTITUTE(UPPER($P247)," ",""),"C",""),";",REPT(" ",30)),61,30))),0)+IFERROR(VALUE(TRIM(MID(SUBSTITUTE(SUBSTITUTE(SUBSTITUTE(UPPER($P247)," ",""),"C",""),";",REPT(" ",30)),91,30))),0)+IFERROR(VALUE(TRIM(MID(SUBSTITUTE(SUBSTITUTE(SUBSTITUTE(UPPER($P247)," ",""),"C",""),";",REPT(" ",30)),121,30))),0)+IFERROR(VALUE(TRIM(MID(SUBSTITUTE(SUBSTITUTE(SUBSTITUTE(UPPER($P247)," ",""),"C",""),";",REPT(" ",30)),151,30))),0)+IFERROR(VALUE(TRIM(MID(SUBSTITUTE(SUBSTITUTE(SUBSTITUTE(UPPER($P247)," ",""),"C",""),";",REPT(" ",30)),181,30))),0)+IFERROR(VALUE(TRIM(MID(SUBSTITUTE(SUBSTITUTE(SUBSTITUTE(UPPER($P247)," ",""),"C",""),";",REPT(" ",30)),211,30))),0)))))</f>
        <v/>
      </c>
      <c r="S247" s="24" t="n"/>
      <c r="T247" s="8" t="n"/>
      <c r="U247" s="14" t="n"/>
      <c r="V247" s="25">
        <f>IF($C247="","",IF($E247="Falta","-",MAX(0,MIN(10,5+IFERROR(VALUE(TRIM(MID(SUBSTITUTE(SUBSTITUTE(SUBSTITUTE(UPPER($T247)," ",""),"P",""),";",REPT(" ",30)),1,30))),0)+IFERROR(VALUE(TRIM(MID(SUBSTITUTE(SUBSTITUTE(SUBSTITUTE(UPPER($T247)," ",""),"P",""),";",REPT(" ",30)),31,30))),0)+IFERROR(VALUE(TRIM(MID(SUBSTITUTE(SUBSTITUTE(SUBSTITUTE(UPPER($T247)," ",""),"P",""),";",REPT(" ",30)),61,30))),0)+IFERROR(VALUE(TRIM(MID(SUBSTITUTE(SUBSTITUTE(SUBSTITUTE(UPPER($T247)," ",""),"P",""),";",REPT(" ",30)),91,30))),0)+IFERROR(VALUE(TRIM(MID(SUBSTITUTE(SUBSTITUTE(SUBSTITUTE(UPPER($T247)," ",""),"P",""),";",REPT(" ",30)),121,30))),0)+IFERROR(VALUE(TRIM(MID(SUBSTITUTE(SUBSTITUTE(SUBSTITUTE(UPPER($T247)," ",""),"P",""),";",REPT(" ",30)),151,30))),0)+IFERROR(VALUE(TRIM(MID(SUBSTITUTE(SUBSTITUTE(SUBSTITUTE(UPPER($T247)," ",""),"P",""),";",REPT(" ",30)),181,30))),0)+IFERROR(VALUE(TRIM(MID(SUBSTITUTE(SUBSTITUTE(SUBSTITUTE(UPPER($T247)," ",""),"P",""),";",REPT(" ",30)),211,30))),0)))))</f>
        <v/>
      </c>
      <c r="W247" s="24" t="n"/>
      <c r="X247" s="14" t="n"/>
    </row>
    <row r="248">
      <c r="A248" s="8">
        <f>IF($C248="","",49)</f>
        <v/>
      </c>
      <c r="B248" s="8">
        <f>IF($C248="","","5ª Sessão")</f>
        <v/>
      </c>
      <c r="C248" s="8">
        <f>IF(Preenchimento!$B$58="","",Preenchimento!$B$58)</f>
        <v/>
      </c>
      <c r="D248" s="8">
        <f>IF($C248="","",IF(Preenchimento!$C$58="","-",Preenchimento!$C$58))</f>
        <v/>
      </c>
      <c r="E248" s="8" t="n"/>
      <c r="F248" s="8" t="n"/>
      <c r="G248" s="24" t="n"/>
      <c r="H248" s="8" t="n"/>
      <c r="I248" s="14" t="n"/>
      <c r="J248" s="25">
        <f>IF($C248="","",IF($E248="Falta","-",MAX(0,MIN(10,8+IFERROR(VALUE(TRIM(MID(SUBSTITUTE(SUBSTITUTE(SUBSTITUTE(UPPER($H248)," ",""),"D",""),";",REPT(" ",30)),1,30))),0)+IFERROR(VALUE(TRIM(MID(SUBSTITUTE(SUBSTITUTE(SUBSTITUTE(UPPER($H248)," ",""),"D",""),";",REPT(" ",30)),31,30))),0)+IFERROR(VALUE(TRIM(MID(SUBSTITUTE(SUBSTITUTE(SUBSTITUTE(UPPER($H248)," ",""),"D",""),";",REPT(" ",30)),61,30))),0)+IFERROR(VALUE(TRIM(MID(SUBSTITUTE(SUBSTITUTE(SUBSTITUTE(UPPER($H248)," ",""),"D",""),";",REPT(" ",30)),91,30))),0)+IFERROR(VALUE(TRIM(MID(SUBSTITUTE(SUBSTITUTE(SUBSTITUTE(UPPER($H248)," ",""),"D",""),";",REPT(" ",30)),121,30))),0)+IFERROR(VALUE(TRIM(MID(SUBSTITUTE(SUBSTITUTE(SUBSTITUTE(UPPER($H248)," ",""),"D",""),";",REPT(" ",30)),151,30))),0)+IFERROR(VALUE(TRIM(MID(SUBSTITUTE(SUBSTITUTE(SUBSTITUTE(UPPER($H248)," ",""),"D",""),";",REPT(" ",30)),181,30))),0)+IFERROR(VALUE(TRIM(MID(SUBSTITUTE(SUBSTITUTE(SUBSTITUTE(UPPER($H248)," ",""),"D",""),";",REPT(" ",30)),211,30))),0)))))</f>
        <v/>
      </c>
      <c r="K248" s="24" t="n"/>
      <c r="L248" s="8" t="n"/>
      <c r="M248" s="14" t="n"/>
      <c r="N248" s="25">
        <f>IF($C248="","",IF($E248="Falta","-",MAX(0,MIN(10,8+IFERROR(VALUE(TRIM(MID(SUBSTITUTE(SUBSTITUTE(SUBSTITUTE(UPPER($L248)," ",""),"F",""),";",REPT(" ",30)),1,30))),0)+IFERROR(VALUE(TRIM(MID(SUBSTITUTE(SUBSTITUTE(SUBSTITUTE(UPPER($L248)," ",""),"F",""),";",REPT(" ",30)),31,30))),0)+IFERROR(VALUE(TRIM(MID(SUBSTITUTE(SUBSTITUTE(SUBSTITUTE(UPPER($L248)," ",""),"F",""),";",REPT(" ",30)),61,30))),0)+IFERROR(VALUE(TRIM(MID(SUBSTITUTE(SUBSTITUTE(SUBSTITUTE(UPPER($L248)," ",""),"F",""),";",REPT(" ",30)),91,30))),0)+IFERROR(VALUE(TRIM(MID(SUBSTITUTE(SUBSTITUTE(SUBSTITUTE(UPPER($L248)," ",""),"F",""),";",REPT(" ",30)),121,30))),0)+IFERROR(VALUE(TRIM(MID(SUBSTITUTE(SUBSTITUTE(SUBSTITUTE(UPPER($L248)," ",""),"F",""),";",REPT(" ",30)),151,30))),0)+IFERROR(VALUE(TRIM(MID(SUBSTITUTE(SUBSTITUTE(SUBSTITUTE(UPPER($L248)," ",""),"F",""),";",REPT(" ",30)),181,30))),0)+IFERROR(VALUE(TRIM(MID(SUBSTITUTE(SUBSTITUTE(SUBSTITUTE(UPPER($L248)," ",""),"F",""),";",REPT(" ",30)),211,30))),0)))))</f>
        <v/>
      </c>
      <c r="O248" s="24" t="n"/>
      <c r="P248" s="8" t="n"/>
      <c r="Q248" s="14" t="n"/>
      <c r="R248" s="25">
        <f>IF($C248="","",IF($E248="Falta","-",MAX(0,MIN(10,5+IFERROR(VALUE(TRIM(MID(SUBSTITUTE(SUBSTITUTE(SUBSTITUTE(UPPER($P248)," ",""),"C",""),";",REPT(" ",30)),1,30))),0)+IFERROR(VALUE(TRIM(MID(SUBSTITUTE(SUBSTITUTE(SUBSTITUTE(UPPER($P248)," ",""),"C",""),";",REPT(" ",30)),31,30))),0)+IFERROR(VALUE(TRIM(MID(SUBSTITUTE(SUBSTITUTE(SUBSTITUTE(UPPER($P248)," ",""),"C",""),";",REPT(" ",30)),61,30))),0)+IFERROR(VALUE(TRIM(MID(SUBSTITUTE(SUBSTITUTE(SUBSTITUTE(UPPER($P248)," ",""),"C",""),";",REPT(" ",30)),91,30))),0)+IFERROR(VALUE(TRIM(MID(SUBSTITUTE(SUBSTITUTE(SUBSTITUTE(UPPER($P248)," ",""),"C",""),";",REPT(" ",30)),121,30))),0)+IFERROR(VALUE(TRIM(MID(SUBSTITUTE(SUBSTITUTE(SUBSTITUTE(UPPER($P248)," ",""),"C",""),";",REPT(" ",30)),151,30))),0)+IFERROR(VALUE(TRIM(MID(SUBSTITUTE(SUBSTITUTE(SUBSTITUTE(UPPER($P248)," ",""),"C",""),";",REPT(" ",30)),181,30))),0)+IFERROR(VALUE(TRIM(MID(SUBSTITUTE(SUBSTITUTE(SUBSTITUTE(UPPER($P248)," ",""),"C",""),";",REPT(" ",30)),211,30))),0)))))</f>
        <v/>
      </c>
      <c r="S248" s="24" t="n"/>
      <c r="T248" s="8" t="n"/>
      <c r="U248" s="14" t="n"/>
      <c r="V248" s="25">
        <f>IF($C248="","",IF($E248="Falta","-",MAX(0,MIN(10,5+IFERROR(VALUE(TRIM(MID(SUBSTITUTE(SUBSTITUTE(SUBSTITUTE(UPPER($T248)," ",""),"P",""),";",REPT(" ",30)),1,30))),0)+IFERROR(VALUE(TRIM(MID(SUBSTITUTE(SUBSTITUTE(SUBSTITUTE(UPPER($T248)," ",""),"P",""),";",REPT(" ",30)),31,30))),0)+IFERROR(VALUE(TRIM(MID(SUBSTITUTE(SUBSTITUTE(SUBSTITUTE(UPPER($T248)," ",""),"P",""),";",REPT(" ",30)),61,30))),0)+IFERROR(VALUE(TRIM(MID(SUBSTITUTE(SUBSTITUTE(SUBSTITUTE(UPPER($T248)," ",""),"P",""),";",REPT(" ",30)),91,30))),0)+IFERROR(VALUE(TRIM(MID(SUBSTITUTE(SUBSTITUTE(SUBSTITUTE(UPPER($T248)," ",""),"P",""),";",REPT(" ",30)),121,30))),0)+IFERROR(VALUE(TRIM(MID(SUBSTITUTE(SUBSTITUTE(SUBSTITUTE(UPPER($T248)," ",""),"P",""),";",REPT(" ",30)),151,30))),0)+IFERROR(VALUE(TRIM(MID(SUBSTITUTE(SUBSTITUTE(SUBSTITUTE(UPPER($T248)," ",""),"P",""),";",REPT(" ",30)),181,30))),0)+IFERROR(VALUE(TRIM(MID(SUBSTITUTE(SUBSTITUTE(SUBSTITUTE(UPPER($T248)," ",""),"P",""),";",REPT(" ",30)),211,30))),0)))))</f>
        <v/>
      </c>
      <c r="W248" s="24" t="n"/>
      <c r="X248" s="14" t="n"/>
    </row>
    <row r="249">
      <c r="A249" s="6">
        <f>IF($C249="","",50)</f>
        <v/>
      </c>
      <c r="B249" s="6">
        <f>IF($C249="","","1ª Sessão")</f>
        <v/>
      </c>
      <c r="C249" s="6">
        <f>IF(Preenchimento!$B$59="","",Preenchimento!$B$59)</f>
        <v/>
      </c>
      <c r="D249" s="6">
        <f>IF($C249="","",IF(Preenchimento!$C$59="","-",Preenchimento!$C$59))</f>
        <v/>
      </c>
      <c r="E249" s="6" t="n"/>
      <c r="F249" s="6" t="n"/>
      <c r="G249" s="26" t="n"/>
      <c r="H249" s="6" t="n"/>
      <c r="I249" s="13" t="n"/>
      <c r="J249" s="27">
        <f>IF($C249="","",IF($E249="Falta","-",MAX(0,MIN(10,8+IFERROR(VALUE(TRIM(MID(SUBSTITUTE(SUBSTITUTE(SUBSTITUTE(UPPER($H249)," ",""),"D",""),";",REPT(" ",30)),1,30))),0)+IFERROR(VALUE(TRIM(MID(SUBSTITUTE(SUBSTITUTE(SUBSTITUTE(UPPER($H249)," ",""),"D",""),";",REPT(" ",30)),31,30))),0)+IFERROR(VALUE(TRIM(MID(SUBSTITUTE(SUBSTITUTE(SUBSTITUTE(UPPER($H249)," ",""),"D",""),";",REPT(" ",30)),61,30))),0)+IFERROR(VALUE(TRIM(MID(SUBSTITUTE(SUBSTITUTE(SUBSTITUTE(UPPER($H249)," ",""),"D",""),";",REPT(" ",30)),91,30))),0)+IFERROR(VALUE(TRIM(MID(SUBSTITUTE(SUBSTITUTE(SUBSTITUTE(UPPER($H249)," ",""),"D",""),";",REPT(" ",30)),121,30))),0)+IFERROR(VALUE(TRIM(MID(SUBSTITUTE(SUBSTITUTE(SUBSTITUTE(UPPER($H249)," ",""),"D",""),";",REPT(" ",30)),151,30))),0)+IFERROR(VALUE(TRIM(MID(SUBSTITUTE(SUBSTITUTE(SUBSTITUTE(UPPER($H249)," ",""),"D",""),";",REPT(" ",30)),181,30))),0)+IFERROR(VALUE(TRIM(MID(SUBSTITUTE(SUBSTITUTE(SUBSTITUTE(UPPER($H249)," ",""),"D",""),";",REPT(" ",30)),211,30))),0)))))</f>
        <v/>
      </c>
      <c r="K249" s="26" t="n"/>
      <c r="L249" s="6" t="n"/>
      <c r="M249" s="13" t="n"/>
      <c r="N249" s="27">
        <f>IF($C249="","",IF($E249="Falta","-",MAX(0,MIN(10,8+IFERROR(VALUE(TRIM(MID(SUBSTITUTE(SUBSTITUTE(SUBSTITUTE(UPPER($L249)," ",""),"F",""),";",REPT(" ",30)),1,30))),0)+IFERROR(VALUE(TRIM(MID(SUBSTITUTE(SUBSTITUTE(SUBSTITUTE(UPPER($L249)," ",""),"F",""),";",REPT(" ",30)),31,30))),0)+IFERROR(VALUE(TRIM(MID(SUBSTITUTE(SUBSTITUTE(SUBSTITUTE(UPPER($L249)," ",""),"F",""),";",REPT(" ",30)),61,30))),0)+IFERROR(VALUE(TRIM(MID(SUBSTITUTE(SUBSTITUTE(SUBSTITUTE(UPPER($L249)," ",""),"F",""),";",REPT(" ",30)),91,30))),0)+IFERROR(VALUE(TRIM(MID(SUBSTITUTE(SUBSTITUTE(SUBSTITUTE(UPPER($L249)," ",""),"F",""),";",REPT(" ",30)),121,30))),0)+IFERROR(VALUE(TRIM(MID(SUBSTITUTE(SUBSTITUTE(SUBSTITUTE(UPPER($L249)," ",""),"F",""),";",REPT(" ",30)),151,30))),0)+IFERROR(VALUE(TRIM(MID(SUBSTITUTE(SUBSTITUTE(SUBSTITUTE(UPPER($L249)," ",""),"F",""),";",REPT(" ",30)),181,30))),0)+IFERROR(VALUE(TRIM(MID(SUBSTITUTE(SUBSTITUTE(SUBSTITUTE(UPPER($L249)," ",""),"F",""),";",REPT(" ",30)),211,30))),0)))))</f>
        <v/>
      </c>
      <c r="O249" s="26" t="n"/>
      <c r="P249" s="6" t="n"/>
      <c r="Q249" s="13" t="n"/>
      <c r="R249" s="27">
        <f>IF($C249="","",IF($E249="Falta","-",MAX(0,MIN(10,5+IFERROR(VALUE(TRIM(MID(SUBSTITUTE(SUBSTITUTE(SUBSTITUTE(UPPER($P249)," ",""),"C",""),";",REPT(" ",30)),1,30))),0)+IFERROR(VALUE(TRIM(MID(SUBSTITUTE(SUBSTITUTE(SUBSTITUTE(UPPER($P249)," ",""),"C",""),";",REPT(" ",30)),31,30))),0)+IFERROR(VALUE(TRIM(MID(SUBSTITUTE(SUBSTITUTE(SUBSTITUTE(UPPER($P249)," ",""),"C",""),";",REPT(" ",30)),61,30))),0)+IFERROR(VALUE(TRIM(MID(SUBSTITUTE(SUBSTITUTE(SUBSTITUTE(UPPER($P249)," ",""),"C",""),";",REPT(" ",30)),91,30))),0)+IFERROR(VALUE(TRIM(MID(SUBSTITUTE(SUBSTITUTE(SUBSTITUTE(UPPER($P249)," ",""),"C",""),";",REPT(" ",30)),121,30))),0)+IFERROR(VALUE(TRIM(MID(SUBSTITUTE(SUBSTITUTE(SUBSTITUTE(UPPER($P249)," ",""),"C",""),";",REPT(" ",30)),151,30))),0)+IFERROR(VALUE(TRIM(MID(SUBSTITUTE(SUBSTITUTE(SUBSTITUTE(UPPER($P249)," ",""),"C",""),";",REPT(" ",30)),181,30))),0)+IFERROR(VALUE(TRIM(MID(SUBSTITUTE(SUBSTITUTE(SUBSTITUTE(UPPER($P249)," ",""),"C",""),";",REPT(" ",30)),211,30))),0)))))</f>
        <v/>
      </c>
      <c r="S249" s="26" t="n"/>
      <c r="T249" s="6" t="n"/>
      <c r="U249" s="13" t="n"/>
      <c r="V249" s="27">
        <f>IF($C249="","",IF($E249="Falta","-",MAX(0,MIN(10,5+IFERROR(VALUE(TRIM(MID(SUBSTITUTE(SUBSTITUTE(SUBSTITUTE(UPPER($T249)," ",""),"P",""),";",REPT(" ",30)),1,30))),0)+IFERROR(VALUE(TRIM(MID(SUBSTITUTE(SUBSTITUTE(SUBSTITUTE(UPPER($T249)," ",""),"P",""),";",REPT(" ",30)),31,30))),0)+IFERROR(VALUE(TRIM(MID(SUBSTITUTE(SUBSTITUTE(SUBSTITUTE(UPPER($T249)," ",""),"P",""),";",REPT(" ",30)),61,30))),0)+IFERROR(VALUE(TRIM(MID(SUBSTITUTE(SUBSTITUTE(SUBSTITUTE(UPPER($T249)," ",""),"P",""),";",REPT(" ",30)),91,30))),0)+IFERROR(VALUE(TRIM(MID(SUBSTITUTE(SUBSTITUTE(SUBSTITUTE(UPPER($T249)," ",""),"P",""),";",REPT(" ",30)),121,30))),0)+IFERROR(VALUE(TRIM(MID(SUBSTITUTE(SUBSTITUTE(SUBSTITUTE(UPPER($T249)," ",""),"P",""),";",REPT(" ",30)),151,30))),0)+IFERROR(VALUE(TRIM(MID(SUBSTITUTE(SUBSTITUTE(SUBSTITUTE(UPPER($T249)," ",""),"P",""),";",REPT(" ",30)),181,30))),0)+IFERROR(VALUE(TRIM(MID(SUBSTITUTE(SUBSTITUTE(SUBSTITUTE(UPPER($T249)," ",""),"P",""),";",REPT(" ",30)),211,30))),0)))))</f>
        <v/>
      </c>
      <c r="W249" s="26" t="n"/>
      <c r="X249" s="13" t="n"/>
    </row>
    <row r="250">
      <c r="A250" s="6">
        <f>IF($C250="","",50)</f>
        <v/>
      </c>
      <c r="B250" s="6">
        <f>IF($C250="","","2ª Sessão")</f>
        <v/>
      </c>
      <c r="C250" s="6">
        <f>IF(Preenchimento!$B$59="","",Preenchimento!$B$59)</f>
        <v/>
      </c>
      <c r="D250" s="6">
        <f>IF($C250="","",IF(Preenchimento!$C$59="","-",Preenchimento!$C$59))</f>
        <v/>
      </c>
      <c r="E250" s="6" t="n"/>
      <c r="F250" s="6" t="n"/>
      <c r="G250" s="26" t="n"/>
      <c r="H250" s="6" t="n"/>
      <c r="I250" s="13" t="n"/>
      <c r="J250" s="27">
        <f>IF($C250="","",IF($E250="Falta","-",MAX(0,MIN(10,8+IFERROR(VALUE(TRIM(MID(SUBSTITUTE(SUBSTITUTE(SUBSTITUTE(UPPER($H250)," ",""),"D",""),";",REPT(" ",30)),1,30))),0)+IFERROR(VALUE(TRIM(MID(SUBSTITUTE(SUBSTITUTE(SUBSTITUTE(UPPER($H250)," ",""),"D",""),";",REPT(" ",30)),31,30))),0)+IFERROR(VALUE(TRIM(MID(SUBSTITUTE(SUBSTITUTE(SUBSTITUTE(UPPER($H250)," ",""),"D",""),";",REPT(" ",30)),61,30))),0)+IFERROR(VALUE(TRIM(MID(SUBSTITUTE(SUBSTITUTE(SUBSTITUTE(UPPER($H250)," ",""),"D",""),";",REPT(" ",30)),91,30))),0)+IFERROR(VALUE(TRIM(MID(SUBSTITUTE(SUBSTITUTE(SUBSTITUTE(UPPER($H250)," ",""),"D",""),";",REPT(" ",30)),121,30))),0)+IFERROR(VALUE(TRIM(MID(SUBSTITUTE(SUBSTITUTE(SUBSTITUTE(UPPER($H250)," ",""),"D",""),";",REPT(" ",30)),151,30))),0)+IFERROR(VALUE(TRIM(MID(SUBSTITUTE(SUBSTITUTE(SUBSTITUTE(UPPER($H250)," ",""),"D",""),";",REPT(" ",30)),181,30))),0)+IFERROR(VALUE(TRIM(MID(SUBSTITUTE(SUBSTITUTE(SUBSTITUTE(UPPER($H250)," ",""),"D",""),";",REPT(" ",30)),211,30))),0)))))</f>
        <v/>
      </c>
      <c r="K250" s="26" t="n"/>
      <c r="L250" s="6" t="n"/>
      <c r="M250" s="13" t="n"/>
      <c r="N250" s="27">
        <f>IF($C250="","",IF($E250="Falta","-",MAX(0,MIN(10,8+IFERROR(VALUE(TRIM(MID(SUBSTITUTE(SUBSTITUTE(SUBSTITUTE(UPPER($L250)," ",""),"F",""),";",REPT(" ",30)),1,30))),0)+IFERROR(VALUE(TRIM(MID(SUBSTITUTE(SUBSTITUTE(SUBSTITUTE(UPPER($L250)," ",""),"F",""),";",REPT(" ",30)),31,30))),0)+IFERROR(VALUE(TRIM(MID(SUBSTITUTE(SUBSTITUTE(SUBSTITUTE(UPPER($L250)," ",""),"F",""),";",REPT(" ",30)),61,30))),0)+IFERROR(VALUE(TRIM(MID(SUBSTITUTE(SUBSTITUTE(SUBSTITUTE(UPPER($L250)," ",""),"F",""),";",REPT(" ",30)),91,30))),0)+IFERROR(VALUE(TRIM(MID(SUBSTITUTE(SUBSTITUTE(SUBSTITUTE(UPPER($L250)," ",""),"F",""),";",REPT(" ",30)),121,30))),0)+IFERROR(VALUE(TRIM(MID(SUBSTITUTE(SUBSTITUTE(SUBSTITUTE(UPPER($L250)," ",""),"F",""),";",REPT(" ",30)),151,30))),0)+IFERROR(VALUE(TRIM(MID(SUBSTITUTE(SUBSTITUTE(SUBSTITUTE(UPPER($L250)," ",""),"F",""),";",REPT(" ",30)),181,30))),0)+IFERROR(VALUE(TRIM(MID(SUBSTITUTE(SUBSTITUTE(SUBSTITUTE(UPPER($L250)," ",""),"F",""),";",REPT(" ",30)),211,30))),0)))))</f>
        <v/>
      </c>
      <c r="O250" s="26" t="n"/>
      <c r="P250" s="6" t="n"/>
      <c r="Q250" s="13" t="n"/>
      <c r="R250" s="27">
        <f>IF($C250="","",IF($E250="Falta","-",MAX(0,MIN(10,5+IFERROR(VALUE(TRIM(MID(SUBSTITUTE(SUBSTITUTE(SUBSTITUTE(UPPER($P250)," ",""),"C",""),";",REPT(" ",30)),1,30))),0)+IFERROR(VALUE(TRIM(MID(SUBSTITUTE(SUBSTITUTE(SUBSTITUTE(UPPER($P250)," ",""),"C",""),";",REPT(" ",30)),31,30))),0)+IFERROR(VALUE(TRIM(MID(SUBSTITUTE(SUBSTITUTE(SUBSTITUTE(UPPER($P250)," ",""),"C",""),";",REPT(" ",30)),61,30))),0)+IFERROR(VALUE(TRIM(MID(SUBSTITUTE(SUBSTITUTE(SUBSTITUTE(UPPER($P250)," ",""),"C",""),";",REPT(" ",30)),91,30))),0)+IFERROR(VALUE(TRIM(MID(SUBSTITUTE(SUBSTITUTE(SUBSTITUTE(UPPER($P250)," ",""),"C",""),";",REPT(" ",30)),121,30))),0)+IFERROR(VALUE(TRIM(MID(SUBSTITUTE(SUBSTITUTE(SUBSTITUTE(UPPER($P250)," ",""),"C",""),";",REPT(" ",30)),151,30))),0)+IFERROR(VALUE(TRIM(MID(SUBSTITUTE(SUBSTITUTE(SUBSTITUTE(UPPER($P250)," ",""),"C",""),";",REPT(" ",30)),181,30))),0)+IFERROR(VALUE(TRIM(MID(SUBSTITUTE(SUBSTITUTE(SUBSTITUTE(UPPER($P250)," ",""),"C",""),";",REPT(" ",30)),211,30))),0)))))</f>
        <v/>
      </c>
      <c r="S250" s="26" t="n"/>
      <c r="T250" s="6" t="n"/>
      <c r="U250" s="13" t="n"/>
      <c r="V250" s="27">
        <f>IF($C250="","",IF($E250="Falta","-",MAX(0,MIN(10,5+IFERROR(VALUE(TRIM(MID(SUBSTITUTE(SUBSTITUTE(SUBSTITUTE(UPPER($T250)," ",""),"P",""),";",REPT(" ",30)),1,30))),0)+IFERROR(VALUE(TRIM(MID(SUBSTITUTE(SUBSTITUTE(SUBSTITUTE(UPPER($T250)," ",""),"P",""),";",REPT(" ",30)),31,30))),0)+IFERROR(VALUE(TRIM(MID(SUBSTITUTE(SUBSTITUTE(SUBSTITUTE(UPPER($T250)," ",""),"P",""),";",REPT(" ",30)),61,30))),0)+IFERROR(VALUE(TRIM(MID(SUBSTITUTE(SUBSTITUTE(SUBSTITUTE(UPPER($T250)," ",""),"P",""),";",REPT(" ",30)),91,30))),0)+IFERROR(VALUE(TRIM(MID(SUBSTITUTE(SUBSTITUTE(SUBSTITUTE(UPPER($T250)," ",""),"P",""),";",REPT(" ",30)),121,30))),0)+IFERROR(VALUE(TRIM(MID(SUBSTITUTE(SUBSTITUTE(SUBSTITUTE(UPPER($T250)," ",""),"P",""),";",REPT(" ",30)),151,30))),0)+IFERROR(VALUE(TRIM(MID(SUBSTITUTE(SUBSTITUTE(SUBSTITUTE(UPPER($T250)," ",""),"P",""),";",REPT(" ",30)),181,30))),0)+IFERROR(VALUE(TRIM(MID(SUBSTITUTE(SUBSTITUTE(SUBSTITUTE(UPPER($T250)," ",""),"P",""),";",REPT(" ",30)),211,30))),0)))))</f>
        <v/>
      </c>
      <c r="W250" s="26" t="n"/>
      <c r="X250" s="13" t="n"/>
    </row>
    <row r="251">
      <c r="A251" s="6">
        <f>IF($C251="","",50)</f>
        <v/>
      </c>
      <c r="B251" s="6">
        <f>IF($C251="","","3ª Sessão")</f>
        <v/>
      </c>
      <c r="C251" s="6">
        <f>IF(Preenchimento!$B$59="","",Preenchimento!$B$59)</f>
        <v/>
      </c>
      <c r="D251" s="6">
        <f>IF($C251="","",IF(Preenchimento!$C$59="","-",Preenchimento!$C$59))</f>
        <v/>
      </c>
      <c r="E251" s="6" t="n"/>
      <c r="F251" s="6" t="n"/>
      <c r="G251" s="26" t="n"/>
      <c r="H251" s="6" t="n"/>
      <c r="I251" s="13" t="n"/>
      <c r="J251" s="27">
        <f>IF($C251="","",IF($E251="Falta","-",MAX(0,MIN(10,8+IFERROR(VALUE(TRIM(MID(SUBSTITUTE(SUBSTITUTE(SUBSTITUTE(UPPER($H251)," ",""),"D",""),";",REPT(" ",30)),1,30))),0)+IFERROR(VALUE(TRIM(MID(SUBSTITUTE(SUBSTITUTE(SUBSTITUTE(UPPER($H251)," ",""),"D",""),";",REPT(" ",30)),31,30))),0)+IFERROR(VALUE(TRIM(MID(SUBSTITUTE(SUBSTITUTE(SUBSTITUTE(UPPER($H251)," ",""),"D",""),";",REPT(" ",30)),61,30))),0)+IFERROR(VALUE(TRIM(MID(SUBSTITUTE(SUBSTITUTE(SUBSTITUTE(UPPER($H251)," ",""),"D",""),";",REPT(" ",30)),91,30))),0)+IFERROR(VALUE(TRIM(MID(SUBSTITUTE(SUBSTITUTE(SUBSTITUTE(UPPER($H251)," ",""),"D",""),";",REPT(" ",30)),121,30))),0)+IFERROR(VALUE(TRIM(MID(SUBSTITUTE(SUBSTITUTE(SUBSTITUTE(UPPER($H251)," ",""),"D",""),";",REPT(" ",30)),151,30))),0)+IFERROR(VALUE(TRIM(MID(SUBSTITUTE(SUBSTITUTE(SUBSTITUTE(UPPER($H251)," ",""),"D",""),";",REPT(" ",30)),181,30))),0)+IFERROR(VALUE(TRIM(MID(SUBSTITUTE(SUBSTITUTE(SUBSTITUTE(UPPER($H251)," ",""),"D",""),";",REPT(" ",30)),211,30))),0)))))</f>
        <v/>
      </c>
      <c r="K251" s="26" t="n"/>
      <c r="L251" s="6" t="n"/>
      <c r="M251" s="13" t="n"/>
      <c r="N251" s="27">
        <f>IF($C251="","",IF($E251="Falta","-",MAX(0,MIN(10,8+IFERROR(VALUE(TRIM(MID(SUBSTITUTE(SUBSTITUTE(SUBSTITUTE(UPPER($L251)," ",""),"F",""),";",REPT(" ",30)),1,30))),0)+IFERROR(VALUE(TRIM(MID(SUBSTITUTE(SUBSTITUTE(SUBSTITUTE(UPPER($L251)," ",""),"F",""),";",REPT(" ",30)),31,30))),0)+IFERROR(VALUE(TRIM(MID(SUBSTITUTE(SUBSTITUTE(SUBSTITUTE(UPPER($L251)," ",""),"F",""),";",REPT(" ",30)),61,30))),0)+IFERROR(VALUE(TRIM(MID(SUBSTITUTE(SUBSTITUTE(SUBSTITUTE(UPPER($L251)," ",""),"F",""),";",REPT(" ",30)),91,30))),0)+IFERROR(VALUE(TRIM(MID(SUBSTITUTE(SUBSTITUTE(SUBSTITUTE(UPPER($L251)," ",""),"F",""),";",REPT(" ",30)),121,30))),0)+IFERROR(VALUE(TRIM(MID(SUBSTITUTE(SUBSTITUTE(SUBSTITUTE(UPPER($L251)," ",""),"F",""),";",REPT(" ",30)),151,30))),0)+IFERROR(VALUE(TRIM(MID(SUBSTITUTE(SUBSTITUTE(SUBSTITUTE(UPPER($L251)," ",""),"F",""),";",REPT(" ",30)),181,30))),0)+IFERROR(VALUE(TRIM(MID(SUBSTITUTE(SUBSTITUTE(SUBSTITUTE(UPPER($L251)," ",""),"F",""),";",REPT(" ",30)),211,30))),0)))))</f>
        <v/>
      </c>
      <c r="O251" s="26" t="n"/>
      <c r="P251" s="6" t="n"/>
      <c r="Q251" s="13" t="n"/>
      <c r="R251" s="27">
        <f>IF($C251="","",IF($E251="Falta","-",MAX(0,MIN(10,5+IFERROR(VALUE(TRIM(MID(SUBSTITUTE(SUBSTITUTE(SUBSTITUTE(UPPER($P251)," ",""),"C",""),";",REPT(" ",30)),1,30))),0)+IFERROR(VALUE(TRIM(MID(SUBSTITUTE(SUBSTITUTE(SUBSTITUTE(UPPER($P251)," ",""),"C",""),";",REPT(" ",30)),31,30))),0)+IFERROR(VALUE(TRIM(MID(SUBSTITUTE(SUBSTITUTE(SUBSTITUTE(UPPER($P251)," ",""),"C",""),";",REPT(" ",30)),61,30))),0)+IFERROR(VALUE(TRIM(MID(SUBSTITUTE(SUBSTITUTE(SUBSTITUTE(UPPER($P251)," ",""),"C",""),";",REPT(" ",30)),91,30))),0)+IFERROR(VALUE(TRIM(MID(SUBSTITUTE(SUBSTITUTE(SUBSTITUTE(UPPER($P251)," ",""),"C",""),";",REPT(" ",30)),121,30))),0)+IFERROR(VALUE(TRIM(MID(SUBSTITUTE(SUBSTITUTE(SUBSTITUTE(UPPER($P251)," ",""),"C",""),";",REPT(" ",30)),151,30))),0)+IFERROR(VALUE(TRIM(MID(SUBSTITUTE(SUBSTITUTE(SUBSTITUTE(UPPER($P251)," ",""),"C",""),";",REPT(" ",30)),181,30))),0)+IFERROR(VALUE(TRIM(MID(SUBSTITUTE(SUBSTITUTE(SUBSTITUTE(UPPER($P251)," ",""),"C",""),";",REPT(" ",30)),211,30))),0)))))</f>
        <v/>
      </c>
      <c r="S251" s="26" t="n"/>
      <c r="T251" s="6" t="n"/>
      <c r="U251" s="13" t="n"/>
      <c r="V251" s="27">
        <f>IF($C251="","",IF($E251="Falta","-",MAX(0,MIN(10,5+IFERROR(VALUE(TRIM(MID(SUBSTITUTE(SUBSTITUTE(SUBSTITUTE(UPPER($T251)," ",""),"P",""),";",REPT(" ",30)),1,30))),0)+IFERROR(VALUE(TRIM(MID(SUBSTITUTE(SUBSTITUTE(SUBSTITUTE(UPPER($T251)," ",""),"P",""),";",REPT(" ",30)),31,30))),0)+IFERROR(VALUE(TRIM(MID(SUBSTITUTE(SUBSTITUTE(SUBSTITUTE(UPPER($T251)," ",""),"P",""),";",REPT(" ",30)),61,30))),0)+IFERROR(VALUE(TRIM(MID(SUBSTITUTE(SUBSTITUTE(SUBSTITUTE(UPPER($T251)," ",""),"P",""),";",REPT(" ",30)),91,30))),0)+IFERROR(VALUE(TRIM(MID(SUBSTITUTE(SUBSTITUTE(SUBSTITUTE(UPPER($T251)," ",""),"P",""),";",REPT(" ",30)),121,30))),0)+IFERROR(VALUE(TRIM(MID(SUBSTITUTE(SUBSTITUTE(SUBSTITUTE(UPPER($T251)," ",""),"P",""),";",REPT(" ",30)),151,30))),0)+IFERROR(VALUE(TRIM(MID(SUBSTITUTE(SUBSTITUTE(SUBSTITUTE(UPPER($T251)," ",""),"P",""),";",REPT(" ",30)),181,30))),0)+IFERROR(VALUE(TRIM(MID(SUBSTITUTE(SUBSTITUTE(SUBSTITUTE(UPPER($T251)," ",""),"P",""),";",REPT(" ",30)),211,30))),0)))))</f>
        <v/>
      </c>
      <c r="W251" s="26" t="n"/>
      <c r="X251" s="13" t="n"/>
    </row>
    <row r="252">
      <c r="A252" s="6">
        <f>IF($C252="","",50)</f>
        <v/>
      </c>
      <c r="B252" s="6">
        <f>IF($C252="","","4ª Sessão")</f>
        <v/>
      </c>
      <c r="C252" s="6">
        <f>IF(Preenchimento!$B$59="","",Preenchimento!$B$59)</f>
        <v/>
      </c>
      <c r="D252" s="6">
        <f>IF($C252="","",IF(Preenchimento!$C$59="","-",Preenchimento!$C$59))</f>
        <v/>
      </c>
      <c r="E252" s="6" t="n"/>
      <c r="F252" s="6" t="n"/>
      <c r="G252" s="26" t="n"/>
      <c r="H252" s="6" t="n"/>
      <c r="I252" s="13" t="n"/>
      <c r="J252" s="27">
        <f>IF($C252="","",IF($E252="Falta","-",MAX(0,MIN(10,8+IFERROR(VALUE(TRIM(MID(SUBSTITUTE(SUBSTITUTE(SUBSTITUTE(UPPER($H252)," ",""),"D",""),";",REPT(" ",30)),1,30))),0)+IFERROR(VALUE(TRIM(MID(SUBSTITUTE(SUBSTITUTE(SUBSTITUTE(UPPER($H252)," ",""),"D",""),";",REPT(" ",30)),31,30))),0)+IFERROR(VALUE(TRIM(MID(SUBSTITUTE(SUBSTITUTE(SUBSTITUTE(UPPER($H252)," ",""),"D",""),";",REPT(" ",30)),61,30))),0)+IFERROR(VALUE(TRIM(MID(SUBSTITUTE(SUBSTITUTE(SUBSTITUTE(UPPER($H252)," ",""),"D",""),";",REPT(" ",30)),91,30))),0)+IFERROR(VALUE(TRIM(MID(SUBSTITUTE(SUBSTITUTE(SUBSTITUTE(UPPER($H252)," ",""),"D",""),";",REPT(" ",30)),121,30))),0)+IFERROR(VALUE(TRIM(MID(SUBSTITUTE(SUBSTITUTE(SUBSTITUTE(UPPER($H252)," ",""),"D",""),";",REPT(" ",30)),151,30))),0)+IFERROR(VALUE(TRIM(MID(SUBSTITUTE(SUBSTITUTE(SUBSTITUTE(UPPER($H252)," ",""),"D",""),";",REPT(" ",30)),181,30))),0)+IFERROR(VALUE(TRIM(MID(SUBSTITUTE(SUBSTITUTE(SUBSTITUTE(UPPER($H252)," ",""),"D",""),";",REPT(" ",30)),211,30))),0)))))</f>
        <v/>
      </c>
      <c r="K252" s="26" t="n"/>
      <c r="L252" s="6" t="n"/>
      <c r="M252" s="13" t="n"/>
      <c r="N252" s="27">
        <f>IF($C252="","",IF($E252="Falta","-",MAX(0,MIN(10,8+IFERROR(VALUE(TRIM(MID(SUBSTITUTE(SUBSTITUTE(SUBSTITUTE(UPPER($L252)," ",""),"F",""),";",REPT(" ",30)),1,30))),0)+IFERROR(VALUE(TRIM(MID(SUBSTITUTE(SUBSTITUTE(SUBSTITUTE(UPPER($L252)," ",""),"F",""),";",REPT(" ",30)),31,30))),0)+IFERROR(VALUE(TRIM(MID(SUBSTITUTE(SUBSTITUTE(SUBSTITUTE(UPPER($L252)," ",""),"F",""),";",REPT(" ",30)),61,30))),0)+IFERROR(VALUE(TRIM(MID(SUBSTITUTE(SUBSTITUTE(SUBSTITUTE(UPPER($L252)," ",""),"F",""),";",REPT(" ",30)),91,30))),0)+IFERROR(VALUE(TRIM(MID(SUBSTITUTE(SUBSTITUTE(SUBSTITUTE(UPPER($L252)," ",""),"F",""),";",REPT(" ",30)),121,30))),0)+IFERROR(VALUE(TRIM(MID(SUBSTITUTE(SUBSTITUTE(SUBSTITUTE(UPPER($L252)," ",""),"F",""),";",REPT(" ",30)),151,30))),0)+IFERROR(VALUE(TRIM(MID(SUBSTITUTE(SUBSTITUTE(SUBSTITUTE(UPPER($L252)," ",""),"F",""),";",REPT(" ",30)),181,30))),0)+IFERROR(VALUE(TRIM(MID(SUBSTITUTE(SUBSTITUTE(SUBSTITUTE(UPPER($L252)," ",""),"F",""),";",REPT(" ",30)),211,30))),0)))))</f>
        <v/>
      </c>
      <c r="O252" s="26" t="n"/>
      <c r="P252" s="6" t="n"/>
      <c r="Q252" s="13" t="n"/>
      <c r="R252" s="27">
        <f>IF($C252="","",IF($E252="Falta","-",MAX(0,MIN(10,5+IFERROR(VALUE(TRIM(MID(SUBSTITUTE(SUBSTITUTE(SUBSTITUTE(UPPER($P252)," ",""),"C",""),";",REPT(" ",30)),1,30))),0)+IFERROR(VALUE(TRIM(MID(SUBSTITUTE(SUBSTITUTE(SUBSTITUTE(UPPER($P252)," ",""),"C",""),";",REPT(" ",30)),31,30))),0)+IFERROR(VALUE(TRIM(MID(SUBSTITUTE(SUBSTITUTE(SUBSTITUTE(UPPER($P252)," ",""),"C",""),";",REPT(" ",30)),61,30))),0)+IFERROR(VALUE(TRIM(MID(SUBSTITUTE(SUBSTITUTE(SUBSTITUTE(UPPER($P252)," ",""),"C",""),";",REPT(" ",30)),91,30))),0)+IFERROR(VALUE(TRIM(MID(SUBSTITUTE(SUBSTITUTE(SUBSTITUTE(UPPER($P252)," ",""),"C",""),";",REPT(" ",30)),121,30))),0)+IFERROR(VALUE(TRIM(MID(SUBSTITUTE(SUBSTITUTE(SUBSTITUTE(UPPER($P252)," ",""),"C",""),";",REPT(" ",30)),151,30))),0)+IFERROR(VALUE(TRIM(MID(SUBSTITUTE(SUBSTITUTE(SUBSTITUTE(UPPER($P252)," ",""),"C",""),";",REPT(" ",30)),181,30))),0)+IFERROR(VALUE(TRIM(MID(SUBSTITUTE(SUBSTITUTE(SUBSTITUTE(UPPER($P252)," ",""),"C",""),";",REPT(" ",30)),211,30))),0)))))</f>
        <v/>
      </c>
      <c r="S252" s="26" t="n"/>
      <c r="T252" s="6" t="n"/>
      <c r="U252" s="13" t="n"/>
      <c r="V252" s="27">
        <f>IF($C252="","",IF($E252="Falta","-",MAX(0,MIN(10,5+IFERROR(VALUE(TRIM(MID(SUBSTITUTE(SUBSTITUTE(SUBSTITUTE(UPPER($T252)," ",""),"P",""),";",REPT(" ",30)),1,30))),0)+IFERROR(VALUE(TRIM(MID(SUBSTITUTE(SUBSTITUTE(SUBSTITUTE(UPPER($T252)," ",""),"P",""),";",REPT(" ",30)),31,30))),0)+IFERROR(VALUE(TRIM(MID(SUBSTITUTE(SUBSTITUTE(SUBSTITUTE(UPPER($T252)," ",""),"P",""),";",REPT(" ",30)),61,30))),0)+IFERROR(VALUE(TRIM(MID(SUBSTITUTE(SUBSTITUTE(SUBSTITUTE(UPPER($T252)," ",""),"P",""),";",REPT(" ",30)),91,30))),0)+IFERROR(VALUE(TRIM(MID(SUBSTITUTE(SUBSTITUTE(SUBSTITUTE(UPPER($T252)," ",""),"P",""),";",REPT(" ",30)),121,30))),0)+IFERROR(VALUE(TRIM(MID(SUBSTITUTE(SUBSTITUTE(SUBSTITUTE(UPPER($T252)," ",""),"P",""),";",REPT(" ",30)),151,30))),0)+IFERROR(VALUE(TRIM(MID(SUBSTITUTE(SUBSTITUTE(SUBSTITUTE(UPPER($T252)," ",""),"P",""),";",REPT(" ",30)),181,30))),0)+IFERROR(VALUE(TRIM(MID(SUBSTITUTE(SUBSTITUTE(SUBSTITUTE(UPPER($T252)," ",""),"P",""),";",REPT(" ",30)),211,30))),0)))))</f>
        <v/>
      </c>
      <c r="W252" s="26" t="n"/>
      <c r="X252" s="13" t="n"/>
    </row>
    <row r="253">
      <c r="A253" s="6">
        <f>IF($C253="","",50)</f>
        <v/>
      </c>
      <c r="B253" s="6">
        <f>IF($C253="","","5ª Sessão")</f>
        <v/>
      </c>
      <c r="C253" s="6">
        <f>IF(Preenchimento!$B$59="","",Preenchimento!$B$59)</f>
        <v/>
      </c>
      <c r="D253" s="6">
        <f>IF($C253="","",IF(Preenchimento!$C$59="","-",Preenchimento!$C$59))</f>
        <v/>
      </c>
      <c r="E253" s="6" t="n"/>
      <c r="F253" s="6" t="n"/>
      <c r="G253" s="26" t="n"/>
      <c r="H253" s="6" t="n"/>
      <c r="I253" s="13" t="n"/>
      <c r="J253" s="27">
        <f>IF($C253="","",IF($E253="Falta","-",MAX(0,MIN(10,8+IFERROR(VALUE(TRIM(MID(SUBSTITUTE(SUBSTITUTE(SUBSTITUTE(UPPER($H253)," ",""),"D",""),";",REPT(" ",30)),1,30))),0)+IFERROR(VALUE(TRIM(MID(SUBSTITUTE(SUBSTITUTE(SUBSTITUTE(UPPER($H253)," ",""),"D",""),";",REPT(" ",30)),31,30))),0)+IFERROR(VALUE(TRIM(MID(SUBSTITUTE(SUBSTITUTE(SUBSTITUTE(UPPER($H253)," ",""),"D",""),";",REPT(" ",30)),61,30))),0)+IFERROR(VALUE(TRIM(MID(SUBSTITUTE(SUBSTITUTE(SUBSTITUTE(UPPER($H253)," ",""),"D",""),";",REPT(" ",30)),91,30))),0)+IFERROR(VALUE(TRIM(MID(SUBSTITUTE(SUBSTITUTE(SUBSTITUTE(UPPER($H253)," ",""),"D",""),";",REPT(" ",30)),121,30))),0)+IFERROR(VALUE(TRIM(MID(SUBSTITUTE(SUBSTITUTE(SUBSTITUTE(UPPER($H253)," ",""),"D",""),";",REPT(" ",30)),151,30))),0)+IFERROR(VALUE(TRIM(MID(SUBSTITUTE(SUBSTITUTE(SUBSTITUTE(UPPER($H253)," ",""),"D",""),";",REPT(" ",30)),181,30))),0)+IFERROR(VALUE(TRIM(MID(SUBSTITUTE(SUBSTITUTE(SUBSTITUTE(UPPER($H253)," ",""),"D",""),";",REPT(" ",30)),211,30))),0)))))</f>
        <v/>
      </c>
      <c r="K253" s="26" t="n"/>
      <c r="L253" s="6" t="n"/>
      <c r="M253" s="13" t="n"/>
      <c r="N253" s="27">
        <f>IF($C253="","",IF($E253="Falta","-",MAX(0,MIN(10,8+IFERROR(VALUE(TRIM(MID(SUBSTITUTE(SUBSTITUTE(SUBSTITUTE(UPPER($L253)," ",""),"F",""),";",REPT(" ",30)),1,30))),0)+IFERROR(VALUE(TRIM(MID(SUBSTITUTE(SUBSTITUTE(SUBSTITUTE(UPPER($L253)," ",""),"F",""),";",REPT(" ",30)),31,30))),0)+IFERROR(VALUE(TRIM(MID(SUBSTITUTE(SUBSTITUTE(SUBSTITUTE(UPPER($L253)," ",""),"F",""),";",REPT(" ",30)),61,30))),0)+IFERROR(VALUE(TRIM(MID(SUBSTITUTE(SUBSTITUTE(SUBSTITUTE(UPPER($L253)," ",""),"F",""),";",REPT(" ",30)),91,30))),0)+IFERROR(VALUE(TRIM(MID(SUBSTITUTE(SUBSTITUTE(SUBSTITUTE(UPPER($L253)," ",""),"F",""),";",REPT(" ",30)),121,30))),0)+IFERROR(VALUE(TRIM(MID(SUBSTITUTE(SUBSTITUTE(SUBSTITUTE(UPPER($L253)," ",""),"F",""),";",REPT(" ",30)),151,30))),0)+IFERROR(VALUE(TRIM(MID(SUBSTITUTE(SUBSTITUTE(SUBSTITUTE(UPPER($L253)," ",""),"F",""),";",REPT(" ",30)),181,30))),0)+IFERROR(VALUE(TRIM(MID(SUBSTITUTE(SUBSTITUTE(SUBSTITUTE(UPPER($L253)," ",""),"F",""),";",REPT(" ",30)),211,30))),0)))))</f>
        <v/>
      </c>
      <c r="O253" s="26" t="n"/>
      <c r="P253" s="6" t="n"/>
      <c r="Q253" s="13" t="n"/>
      <c r="R253" s="27">
        <f>IF($C253="","",IF($E253="Falta","-",MAX(0,MIN(10,5+IFERROR(VALUE(TRIM(MID(SUBSTITUTE(SUBSTITUTE(SUBSTITUTE(UPPER($P253)," ",""),"C",""),";",REPT(" ",30)),1,30))),0)+IFERROR(VALUE(TRIM(MID(SUBSTITUTE(SUBSTITUTE(SUBSTITUTE(UPPER($P253)," ",""),"C",""),";",REPT(" ",30)),31,30))),0)+IFERROR(VALUE(TRIM(MID(SUBSTITUTE(SUBSTITUTE(SUBSTITUTE(UPPER($P253)," ",""),"C",""),";",REPT(" ",30)),61,30))),0)+IFERROR(VALUE(TRIM(MID(SUBSTITUTE(SUBSTITUTE(SUBSTITUTE(UPPER($P253)," ",""),"C",""),";",REPT(" ",30)),91,30))),0)+IFERROR(VALUE(TRIM(MID(SUBSTITUTE(SUBSTITUTE(SUBSTITUTE(UPPER($P253)," ",""),"C",""),";",REPT(" ",30)),121,30))),0)+IFERROR(VALUE(TRIM(MID(SUBSTITUTE(SUBSTITUTE(SUBSTITUTE(UPPER($P253)," ",""),"C",""),";",REPT(" ",30)),151,30))),0)+IFERROR(VALUE(TRIM(MID(SUBSTITUTE(SUBSTITUTE(SUBSTITUTE(UPPER($P253)," ",""),"C",""),";",REPT(" ",30)),181,30))),0)+IFERROR(VALUE(TRIM(MID(SUBSTITUTE(SUBSTITUTE(SUBSTITUTE(UPPER($P253)," ",""),"C",""),";",REPT(" ",30)),211,30))),0)))))</f>
        <v/>
      </c>
      <c r="S253" s="26" t="n"/>
      <c r="T253" s="6" t="n"/>
      <c r="U253" s="13" t="n"/>
      <c r="V253" s="27">
        <f>IF($C253="","",IF($E253="Falta","-",MAX(0,MIN(10,5+IFERROR(VALUE(TRIM(MID(SUBSTITUTE(SUBSTITUTE(SUBSTITUTE(UPPER($T253)," ",""),"P",""),";",REPT(" ",30)),1,30))),0)+IFERROR(VALUE(TRIM(MID(SUBSTITUTE(SUBSTITUTE(SUBSTITUTE(UPPER($T253)," ",""),"P",""),";",REPT(" ",30)),31,30))),0)+IFERROR(VALUE(TRIM(MID(SUBSTITUTE(SUBSTITUTE(SUBSTITUTE(UPPER($T253)," ",""),"P",""),";",REPT(" ",30)),61,30))),0)+IFERROR(VALUE(TRIM(MID(SUBSTITUTE(SUBSTITUTE(SUBSTITUTE(UPPER($T253)," ",""),"P",""),";",REPT(" ",30)),91,30))),0)+IFERROR(VALUE(TRIM(MID(SUBSTITUTE(SUBSTITUTE(SUBSTITUTE(UPPER($T253)," ",""),"P",""),";",REPT(" ",30)),121,30))),0)+IFERROR(VALUE(TRIM(MID(SUBSTITUTE(SUBSTITUTE(SUBSTITUTE(UPPER($T253)," ",""),"P",""),";",REPT(" ",30)),151,30))),0)+IFERROR(VALUE(TRIM(MID(SUBSTITUTE(SUBSTITUTE(SUBSTITUTE(UPPER($T253)," ",""),"P",""),";",REPT(" ",30)),181,30))),0)+IFERROR(VALUE(TRIM(MID(SUBSTITUTE(SUBSTITUTE(SUBSTITUTE(UPPER($T253)," ",""),"P",""),";",REPT(" ",30)),211,30))),0)))))</f>
        <v/>
      </c>
      <c r="W253" s="26" t="n"/>
      <c r="X253" s="13" t="n"/>
    </row>
    <row r="254">
      <c r="A254" s="8">
        <f>IF($C254="","",51)</f>
        <v/>
      </c>
      <c r="B254" s="8">
        <f>IF($C254="","","1ª Sessão")</f>
        <v/>
      </c>
      <c r="C254" s="8">
        <f>IF(Preenchimento!$B$60="","",Preenchimento!$B$60)</f>
        <v/>
      </c>
      <c r="D254" s="8">
        <f>IF($C254="","",IF(Preenchimento!$C$60="","-",Preenchimento!$C$60))</f>
        <v/>
      </c>
      <c r="E254" s="8" t="n"/>
      <c r="F254" s="8" t="n"/>
      <c r="G254" s="24" t="n"/>
      <c r="H254" s="8" t="n"/>
      <c r="I254" s="14" t="n"/>
      <c r="J254" s="25">
        <f>IF($C254="","",IF($E254="Falta","-",MAX(0,MIN(10,8+IFERROR(VALUE(TRIM(MID(SUBSTITUTE(SUBSTITUTE(SUBSTITUTE(UPPER($H254)," ",""),"D",""),";",REPT(" ",30)),1,30))),0)+IFERROR(VALUE(TRIM(MID(SUBSTITUTE(SUBSTITUTE(SUBSTITUTE(UPPER($H254)," ",""),"D",""),";",REPT(" ",30)),31,30))),0)+IFERROR(VALUE(TRIM(MID(SUBSTITUTE(SUBSTITUTE(SUBSTITUTE(UPPER($H254)," ",""),"D",""),";",REPT(" ",30)),61,30))),0)+IFERROR(VALUE(TRIM(MID(SUBSTITUTE(SUBSTITUTE(SUBSTITUTE(UPPER($H254)," ",""),"D",""),";",REPT(" ",30)),91,30))),0)+IFERROR(VALUE(TRIM(MID(SUBSTITUTE(SUBSTITUTE(SUBSTITUTE(UPPER($H254)," ",""),"D",""),";",REPT(" ",30)),121,30))),0)+IFERROR(VALUE(TRIM(MID(SUBSTITUTE(SUBSTITUTE(SUBSTITUTE(UPPER($H254)," ",""),"D",""),";",REPT(" ",30)),151,30))),0)+IFERROR(VALUE(TRIM(MID(SUBSTITUTE(SUBSTITUTE(SUBSTITUTE(UPPER($H254)," ",""),"D",""),";",REPT(" ",30)),181,30))),0)+IFERROR(VALUE(TRIM(MID(SUBSTITUTE(SUBSTITUTE(SUBSTITUTE(UPPER($H254)," ",""),"D",""),";",REPT(" ",30)),211,30))),0)))))</f>
        <v/>
      </c>
      <c r="K254" s="24" t="n"/>
      <c r="L254" s="8" t="n"/>
      <c r="M254" s="14" t="n"/>
      <c r="N254" s="25">
        <f>IF($C254="","",IF($E254="Falta","-",MAX(0,MIN(10,8+IFERROR(VALUE(TRIM(MID(SUBSTITUTE(SUBSTITUTE(SUBSTITUTE(UPPER($L254)," ",""),"F",""),";",REPT(" ",30)),1,30))),0)+IFERROR(VALUE(TRIM(MID(SUBSTITUTE(SUBSTITUTE(SUBSTITUTE(UPPER($L254)," ",""),"F",""),";",REPT(" ",30)),31,30))),0)+IFERROR(VALUE(TRIM(MID(SUBSTITUTE(SUBSTITUTE(SUBSTITUTE(UPPER($L254)," ",""),"F",""),";",REPT(" ",30)),61,30))),0)+IFERROR(VALUE(TRIM(MID(SUBSTITUTE(SUBSTITUTE(SUBSTITUTE(UPPER($L254)," ",""),"F",""),";",REPT(" ",30)),91,30))),0)+IFERROR(VALUE(TRIM(MID(SUBSTITUTE(SUBSTITUTE(SUBSTITUTE(UPPER($L254)," ",""),"F",""),";",REPT(" ",30)),121,30))),0)+IFERROR(VALUE(TRIM(MID(SUBSTITUTE(SUBSTITUTE(SUBSTITUTE(UPPER($L254)," ",""),"F",""),";",REPT(" ",30)),151,30))),0)+IFERROR(VALUE(TRIM(MID(SUBSTITUTE(SUBSTITUTE(SUBSTITUTE(UPPER($L254)," ",""),"F",""),";",REPT(" ",30)),181,30))),0)+IFERROR(VALUE(TRIM(MID(SUBSTITUTE(SUBSTITUTE(SUBSTITUTE(UPPER($L254)," ",""),"F",""),";",REPT(" ",30)),211,30))),0)))))</f>
        <v/>
      </c>
      <c r="O254" s="24" t="n"/>
      <c r="P254" s="8" t="n"/>
      <c r="Q254" s="14" t="n"/>
      <c r="R254" s="25">
        <f>IF($C254="","",IF($E254="Falta","-",MAX(0,MIN(10,5+IFERROR(VALUE(TRIM(MID(SUBSTITUTE(SUBSTITUTE(SUBSTITUTE(UPPER($P254)," ",""),"C",""),";",REPT(" ",30)),1,30))),0)+IFERROR(VALUE(TRIM(MID(SUBSTITUTE(SUBSTITUTE(SUBSTITUTE(UPPER($P254)," ",""),"C",""),";",REPT(" ",30)),31,30))),0)+IFERROR(VALUE(TRIM(MID(SUBSTITUTE(SUBSTITUTE(SUBSTITUTE(UPPER($P254)," ",""),"C",""),";",REPT(" ",30)),61,30))),0)+IFERROR(VALUE(TRIM(MID(SUBSTITUTE(SUBSTITUTE(SUBSTITUTE(UPPER($P254)," ",""),"C",""),";",REPT(" ",30)),91,30))),0)+IFERROR(VALUE(TRIM(MID(SUBSTITUTE(SUBSTITUTE(SUBSTITUTE(UPPER($P254)," ",""),"C",""),";",REPT(" ",30)),121,30))),0)+IFERROR(VALUE(TRIM(MID(SUBSTITUTE(SUBSTITUTE(SUBSTITUTE(UPPER($P254)," ",""),"C",""),";",REPT(" ",30)),151,30))),0)+IFERROR(VALUE(TRIM(MID(SUBSTITUTE(SUBSTITUTE(SUBSTITUTE(UPPER($P254)," ",""),"C",""),";",REPT(" ",30)),181,30))),0)+IFERROR(VALUE(TRIM(MID(SUBSTITUTE(SUBSTITUTE(SUBSTITUTE(UPPER($P254)," ",""),"C",""),";",REPT(" ",30)),211,30))),0)))))</f>
        <v/>
      </c>
      <c r="S254" s="24" t="n"/>
      <c r="T254" s="8" t="n"/>
      <c r="U254" s="14" t="n"/>
      <c r="V254" s="25">
        <f>IF($C254="","",IF($E254="Falta","-",MAX(0,MIN(10,5+IFERROR(VALUE(TRIM(MID(SUBSTITUTE(SUBSTITUTE(SUBSTITUTE(UPPER($T254)," ",""),"P",""),";",REPT(" ",30)),1,30))),0)+IFERROR(VALUE(TRIM(MID(SUBSTITUTE(SUBSTITUTE(SUBSTITUTE(UPPER($T254)," ",""),"P",""),";",REPT(" ",30)),31,30))),0)+IFERROR(VALUE(TRIM(MID(SUBSTITUTE(SUBSTITUTE(SUBSTITUTE(UPPER($T254)," ",""),"P",""),";",REPT(" ",30)),61,30))),0)+IFERROR(VALUE(TRIM(MID(SUBSTITUTE(SUBSTITUTE(SUBSTITUTE(UPPER($T254)," ",""),"P",""),";",REPT(" ",30)),91,30))),0)+IFERROR(VALUE(TRIM(MID(SUBSTITUTE(SUBSTITUTE(SUBSTITUTE(UPPER($T254)," ",""),"P",""),";",REPT(" ",30)),121,30))),0)+IFERROR(VALUE(TRIM(MID(SUBSTITUTE(SUBSTITUTE(SUBSTITUTE(UPPER($T254)," ",""),"P",""),";",REPT(" ",30)),151,30))),0)+IFERROR(VALUE(TRIM(MID(SUBSTITUTE(SUBSTITUTE(SUBSTITUTE(UPPER($T254)," ",""),"P",""),";",REPT(" ",30)),181,30))),0)+IFERROR(VALUE(TRIM(MID(SUBSTITUTE(SUBSTITUTE(SUBSTITUTE(UPPER($T254)," ",""),"P",""),";",REPT(" ",30)),211,30))),0)))))</f>
        <v/>
      </c>
      <c r="W254" s="24" t="n"/>
      <c r="X254" s="14" t="n"/>
    </row>
    <row r="255">
      <c r="A255" s="8">
        <f>IF($C255="","",51)</f>
        <v/>
      </c>
      <c r="B255" s="8">
        <f>IF($C255="","","2ª Sessão")</f>
        <v/>
      </c>
      <c r="C255" s="8">
        <f>IF(Preenchimento!$B$60="","",Preenchimento!$B$60)</f>
        <v/>
      </c>
      <c r="D255" s="8">
        <f>IF($C255="","",IF(Preenchimento!$C$60="","-",Preenchimento!$C$60))</f>
        <v/>
      </c>
      <c r="E255" s="8" t="n"/>
      <c r="F255" s="8" t="n"/>
      <c r="G255" s="24" t="n"/>
      <c r="H255" s="8" t="n"/>
      <c r="I255" s="14" t="n"/>
      <c r="J255" s="25">
        <f>IF($C255="","",IF($E255="Falta","-",MAX(0,MIN(10,8+IFERROR(VALUE(TRIM(MID(SUBSTITUTE(SUBSTITUTE(SUBSTITUTE(UPPER($H255)," ",""),"D",""),";",REPT(" ",30)),1,30))),0)+IFERROR(VALUE(TRIM(MID(SUBSTITUTE(SUBSTITUTE(SUBSTITUTE(UPPER($H255)," ",""),"D",""),";",REPT(" ",30)),31,30))),0)+IFERROR(VALUE(TRIM(MID(SUBSTITUTE(SUBSTITUTE(SUBSTITUTE(UPPER($H255)," ",""),"D",""),";",REPT(" ",30)),61,30))),0)+IFERROR(VALUE(TRIM(MID(SUBSTITUTE(SUBSTITUTE(SUBSTITUTE(UPPER($H255)," ",""),"D",""),";",REPT(" ",30)),91,30))),0)+IFERROR(VALUE(TRIM(MID(SUBSTITUTE(SUBSTITUTE(SUBSTITUTE(UPPER($H255)," ",""),"D",""),";",REPT(" ",30)),121,30))),0)+IFERROR(VALUE(TRIM(MID(SUBSTITUTE(SUBSTITUTE(SUBSTITUTE(UPPER($H255)," ",""),"D",""),";",REPT(" ",30)),151,30))),0)+IFERROR(VALUE(TRIM(MID(SUBSTITUTE(SUBSTITUTE(SUBSTITUTE(UPPER($H255)," ",""),"D",""),";",REPT(" ",30)),181,30))),0)+IFERROR(VALUE(TRIM(MID(SUBSTITUTE(SUBSTITUTE(SUBSTITUTE(UPPER($H255)," ",""),"D",""),";",REPT(" ",30)),211,30))),0)))))</f>
        <v/>
      </c>
      <c r="K255" s="24" t="n"/>
      <c r="L255" s="8" t="n"/>
      <c r="M255" s="14" t="n"/>
      <c r="N255" s="25">
        <f>IF($C255="","",IF($E255="Falta","-",MAX(0,MIN(10,8+IFERROR(VALUE(TRIM(MID(SUBSTITUTE(SUBSTITUTE(SUBSTITUTE(UPPER($L255)," ",""),"F",""),";",REPT(" ",30)),1,30))),0)+IFERROR(VALUE(TRIM(MID(SUBSTITUTE(SUBSTITUTE(SUBSTITUTE(UPPER($L255)," ",""),"F",""),";",REPT(" ",30)),31,30))),0)+IFERROR(VALUE(TRIM(MID(SUBSTITUTE(SUBSTITUTE(SUBSTITUTE(UPPER($L255)," ",""),"F",""),";",REPT(" ",30)),61,30))),0)+IFERROR(VALUE(TRIM(MID(SUBSTITUTE(SUBSTITUTE(SUBSTITUTE(UPPER($L255)," ",""),"F",""),";",REPT(" ",30)),91,30))),0)+IFERROR(VALUE(TRIM(MID(SUBSTITUTE(SUBSTITUTE(SUBSTITUTE(UPPER($L255)," ",""),"F",""),";",REPT(" ",30)),121,30))),0)+IFERROR(VALUE(TRIM(MID(SUBSTITUTE(SUBSTITUTE(SUBSTITUTE(UPPER($L255)," ",""),"F",""),";",REPT(" ",30)),151,30))),0)+IFERROR(VALUE(TRIM(MID(SUBSTITUTE(SUBSTITUTE(SUBSTITUTE(UPPER($L255)," ",""),"F",""),";",REPT(" ",30)),181,30))),0)+IFERROR(VALUE(TRIM(MID(SUBSTITUTE(SUBSTITUTE(SUBSTITUTE(UPPER($L255)," ",""),"F",""),";",REPT(" ",30)),211,30))),0)))))</f>
        <v/>
      </c>
      <c r="O255" s="24" t="n"/>
      <c r="P255" s="8" t="n"/>
      <c r="Q255" s="14" t="n"/>
      <c r="R255" s="25">
        <f>IF($C255="","",IF($E255="Falta","-",MAX(0,MIN(10,5+IFERROR(VALUE(TRIM(MID(SUBSTITUTE(SUBSTITUTE(SUBSTITUTE(UPPER($P255)," ",""),"C",""),";",REPT(" ",30)),1,30))),0)+IFERROR(VALUE(TRIM(MID(SUBSTITUTE(SUBSTITUTE(SUBSTITUTE(UPPER($P255)," ",""),"C",""),";",REPT(" ",30)),31,30))),0)+IFERROR(VALUE(TRIM(MID(SUBSTITUTE(SUBSTITUTE(SUBSTITUTE(UPPER($P255)," ",""),"C",""),";",REPT(" ",30)),61,30))),0)+IFERROR(VALUE(TRIM(MID(SUBSTITUTE(SUBSTITUTE(SUBSTITUTE(UPPER($P255)," ",""),"C",""),";",REPT(" ",30)),91,30))),0)+IFERROR(VALUE(TRIM(MID(SUBSTITUTE(SUBSTITUTE(SUBSTITUTE(UPPER($P255)," ",""),"C",""),";",REPT(" ",30)),121,30))),0)+IFERROR(VALUE(TRIM(MID(SUBSTITUTE(SUBSTITUTE(SUBSTITUTE(UPPER($P255)," ",""),"C",""),";",REPT(" ",30)),151,30))),0)+IFERROR(VALUE(TRIM(MID(SUBSTITUTE(SUBSTITUTE(SUBSTITUTE(UPPER($P255)," ",""),"C",""),";",REPT(" ",30)),181,30))),0)+IFERROR(VALUE(TRIM(MID(SUBSTITUTE(SUBSTITUTE(SUBSTITUTE(UPPER($P255)," ",""),"C",""),";",REPT(" ",30)),211,30))),0)))))</f>
        <v/>
      </c>
      <c r="S255" s="24" t="n"/>
      <c r="T255" s="8" t="n"/>
      <c r="U255" s="14" t="n"/>
      <c r="V255" s="25">
        <f>IF($C255="","",IF($E255="Falta","-",MAX(0,MIN(10,5+IFERROR(VALUE(TRIM(MID(SUBSTITUTE(SUBSTITUTE(SUBSTITUTE(UPPER($T255)," ",""),"P",""),";",REPT(" ",30)),1,30))),0)+IFERROR(VALUE(TRIM(MID(SUBSTITUTE(SUBSTITUTE(SUBSTITUTE(UPPER($T255)," ",""),"P",""),";",REPT(" ",30)),31,30))),0)+IFERROR(VALUE(TRIM(MID(SUBSTITUTE(SUBSTITUTE(SUBSTITUTE(UPPER($T255)," ",""),"P",""),";",REPT(" ",30)),61,30))),0)+IFERROR(VALUE(TRIM(MID(SUBSTITUTE(SUBSTITUTE(SUBSTITUTE(UPPER($T255)," ",""),"P",""),";",REPT(" ",30)),91,30))),0)+IFERROR(VALUE(TRIM(MID(SUBSTITUTE(SUBSTITUTE(SUBSTITUTE(UPPER($T255)," ",""),"P",""),";",REPT(" ",30)),121,30))),0)+IFERROR(VALUE(TRIM(MID(SUBSTITUTE(SUBSTITUTE(SUBSTITUTE(UPPER($T255)," ",""),"P",""),";",REPT(" ",30)),151,30))),0)+IFERROR(VALUE(TRIM(MID(SUBSTITUTE(SUBSTITUTE(SUBSTITUTE(UPPER($T255)," ",""),"P",""),";",REPT(" ",30)),181,30))),0)+IFERROR(VALUE(TRIM(MID(SUBSTITUTE(SUBSTITUTE(SUBSTITUTE(UPPER($T255)," ",""),"P",""),";",REPT(" ",30)),211,30))),0)))))</f>
        <v/>
      </c>
      <c r="W255" s="24" t="n"/>
      <c r="X255" s="14" t="n"/>
    </row>
    <row r="256">
      <c r="A256" s="8">
        <f>IF($C256="","",51)</f>
        <v/>
      </c>
      <c r="B256" s="8">
        <f>IF($C256="","","3ª Sessão")</f>
        <v/>
      </c>
      <c r="C256" s="8">
        <f>IF(Preenchimento!$B$60="","",Preenchimento!$B$60)</f>
        <v/>
      </c>
      <c r="D256" s="8">
        <f>IF($C256="","",IF(Preenchimento!$C$60="","-",Preenchimento!$C$60))</f>
        <v/>
      </c>
      <c r="E256" s="8" t="n"/>
      <c r="F256" s="8" t="n"/>
      <c r="G256" s="24" t="n"/>
      <c r="H256" s="8" t="n"/>
      <c r="I256" s="14" t="n"/>
      <c r="J256" s="25">
        <f>IF($C256="","",IF($E256="Falta","-",MAX(0,MIN(10,8+IFERROR(VALUE(TRIM(MID(SUBSTITUTE(SUBSTITUTE(SUBSTITUTE(UPPER($H256)," ",""),"D",""),";",REPT(" ",30)),1,30))),0)+IFERROR(VALUE(TRIM(MID(SUBSTITUTE(SUBSTITUTE(SUBSTITUTE(UPPER($H256)," ",""),"D",""),";",REPT(" ",30)),31,30))),0)+IFERROR(VALUE(TRIM(MID(SUBSTITUTE(SUBSTITUTE(SUBSTITUTE(UPPER($H256)," ",""),"D",""),";",REPT(" ",30)),61,30))),0)+IFERROR(VALUE(TRIM(MID(SUBSTITUTE(SUBSTITUTE(SUBSTITUTE(UPPER($H256)," ",""),"D",""),";",REPT(" ",30)),91,30))),0)+IFERROR(VALUE(TRIM(MID(SUBSTITUTE(SUBSTITUTE(SUBSTITUTE(UPPER($H256)," ",""),"D",""),";",REPT(" ",30)),121,30))),0)+IFERROR(VALUE(TRIM(MID(SUBSTITUTE(SUBSTITUTE(SUBSTITUTE(UPPER($H256)," ",""),"D",""),";",REPT(" ",30)),151,30))),0)+IFERROR(VALUE(TRIM(MID(SUBSTITUTE(SUBSTITUTE(SUBSTITUTE(UPPER($H256)," ",""),"D",""),";",REPT(" ",30)),181,30))),0)+IFERROR(VALUE(TRIM(MID(SUBSTITUTE(SUBSTITUTE(SUBSTITUTE(UPPER($H256)," ",""),"D",""),";",REPT(" ",30)),211,30))),0)))))</f>
        <v/>
      </c>
      <c r="K256" s="24" t="n"/>
      <c r="L256" s="8" t="n"/>
      <c r="M256" s="14" t="n"/>
      <c r="N256" s="25">
        <f>IF($C256="","",IF($E256="Falta","-",MAX(0,MIN(10,8+IFERROR(VALUE(TRIM(MID(SUBSTITUTE(SUBSTITUTE(SUBSTITUTE(UPPER($L256)," ",""),"F",""),";",REPT(" ",30)),1,30))),0)+IFERROR(VALUE(TRIM(MID(SUBSTITUTE(SUBSTITUTE(SUBSTITUTE(UPPER($L256)," ",""),"F",""),";",REPT(" ",30)),31,30))),0)+IFERROR(VALUE(TRIM(MID(SUBSTITUTE(SUBSTITUTE(SUBSTITUTE(UPPER($L256)," ",""),"F",""),";",REPT(" ",30)),61,30))),0)+IFERROR(VALUE(TRIM(MID(SUBSTITUTE(SUBSTITUTE(SUBSTITUTE(UPPER($L256)," ",""),"F",""),";",REPT(" ",30)),91,30))),0)+IFERROR(VALUE(TRIM(MID(SUBSTITUTE(SUBSTITUTE(SUBSTITUTE(UPPER($L256)," ",""),"F",""),";",REPT(" ",30)),121,30))),0)+IFERROR(VALUE(TRIM(MID(SUBSTITUTE(SUBSTITUTE(SUBSTITUTE(UPPER($L256)," ",""),"F",""),";",REPT(" ",30)),151,30))),0)+IFERROR(VALUE(TRIM(MID(SUBSTITUTE(SUBSTITUTE(SUBSTITUTE(UPPER($L256)," ",""),"F",""),";",REPT(" ",30)),181,30))),0)+IFERROR(VALUE(TRIM(MID(SUBSTITUTE(SUBSTITUTE(SUBSTITUTE(UPPER($L256)," ",""),"F",""),";",REPT(" ",30)),211,30))),0)))))</f>
        <v/>
      </c>
      <c r="O256" s="24" t="n"/>
      <c r="P256" s="8" t="n"/>
      <c r="Q256" s="14" t="n"/>
      <c r="R256" s="25">
        <f>IF($C256="","",IF($E256="Falta","-",MAX(0,MIN(10,5+IFERROR(VALUE(TRIM(MID(SUBSTITUTE(SUBSTITUTE(SUBSTITUTE(UPPER($P256)," ",""),"C",""),";",REPT(" ",30)),1,30))),0)+IFERROR(VALUE(TRIM(MID(SUBSTITUTE(SUBSTITUTE(SUBSTITUTE(UPPER($P256)," ",""),"C",""),";",REPT(" ",30)),31,30))),0)+IFERROR(VALUE(TRIM(MID(SUBSTITUTE(SUBSTITUTE(SUBSTITUTE(UPPER($P256)," ",""),"C",""),";",REPT(" ",30)),61,30))),0)+IFERROR(VALUE(TRIM(MID(SUBSTITUTE(SUBSTITUTE(SUBSTITUTE(UPPER($P256)," ",""),"C",""),";",REPT(" ",30)),91,30))),0)+IFERROR(VALUE(TRIM(MID(SUBSTITUTE(SUBSTITUTE(SUBSTITUTE(UPPER($P256)," ",""),"C",""),";",REPT(" ",30)),121,30))),0)+IFERROR(VALUE(TRIM(MID(SUBSTITUTE(SUBSTITUTE(SUBSTITUTE(UPPER($P256)," ",""),"C",""),";",REPT(" ",30)),151,30))),0)+IFERROR(VALUE(TRIM(MID(SUBSTITUTE(SUBSTITUTE(SUBSTITUTE(UPPER($P256)," ",""),"C",""),";",REPT(" ",30)),181,30))),0)+IFERROR(VALUE(TRIM(MID(SUBSTITUTE(SUBSTITUTE(SUBSTITUTE(UPPER($P256)," ",""),"C",""),";",REPT(" ",30)),211,30))),0)))))</f>
        <v/>
      </c>
      <c r="S256" s="24" t="n"/>
      <c r="T256" s="8" t="n"/>
      <c r="U256" s="14" t="n"/>
      <c r="V256" s="25">
        <f>IF($C256="","",IF($E256="Falta","-",MAX(0,MIN(10,5+IFERROR(VALUE(TRIM(MID(SUBSTITUTE(SUBSTITUTE(SUBSTITUTE(UPPER($T256)," ",""),"P",""),";",REPT(" ",30)),1,30))),0)+IFERROR(VALUE(TRIM(MID(SUBSTITUTE(SUBSTITUTE(SUBSTITUTE(UPPER($T256)," ",""),"P",""),";",REPT(" ",30)),31,30))),0)+IFERROR(VALUE(TRIM(MID(SUBSTITUTE(SUBSTITUTE(SUBSTITUTE(UPPER($T256)," ",""),"P",""),";",REPT(" ",30)),61,30))),0)+IFERROR(VALUE(TRIM(MID(SUBSTITUTE(SUBSTITUTE(SUBSTITUTE(UPPER($T256)," ",""),"P",""),";",REPT(" ",30)),91,30))),0)+IFERROR(VALUE(TRIM(MID(SUBSTITUTE(SUBSTITUTE(SUBSTITUTE(UPPER($T256)," ",""),"P",""),";",REPT(" ",30)),121,30))),0)+IFERROR(VALUE(TRIM(MID(SUBSTITUTE(SUBSTITUTE(SUBSTITUTE(UPPER($T256)," ",""),"P",""),";",REPT(" ",30)),151,30))),0)+IFERROR(VALUE(TRIM(MID(SUBSTITUTE(SUBSTITUTE(SUBSTITUTE(UPPER($T256)," ",""),"P",""),";",REPT(" ",30)),181,30))),0)+IFERROR(VALUE(TRIM(MID(SUBSTITUTE(SUBSTITUTE(SUBSTITUTE(UPPER($T256)," ",""),"P",""),";",REPT(" ",30)),211,30))),0)))))</f>
        <v/>
      </c>
      <c r="W256" s="24" t="n"/>
      <c r="X256" s="14" t="n"/>
    </row>
    <row r="257">
      <c r="A257" s="8">
        <f>IF($C257="","",51)</f>
        <v/>
      </c>
      <c r="B257" s="8">
        <f>IF($C257="","","4ª Sessão")</f>
        <v/>
      </c>
      <c r="C257" s="8">
        <f>IF(Preenchimento!$B$60="","",Preenchimento!$B$60)</f>
        <v/>
      </c>
      <c r="D257" s="8">
        <f>IF($C257="","",IF(Preenchimento!$C$60="","-",Preenchimento!$C$60))</f>
        <v/>
      </c>
      <c r="E257" s="8" t="n"/>
      <c r="F257" s="8" t="n"/>
      <c r="G257" s="24" t="n"/>
      <c r="H257" s="8" t="n"/>
      <c r="I257" s="14" t="n"/>
      <c r="J257" s="25">
        <f>IF($C257="","",IF($E257="Falta","-",MAX(0,MIN(10,8+IFERROR(VALUE(TRIM(MID(SUBSTITUTE(SUBSTITUTE(SUBSTITUTE(UPPER($H257)," ",""),"D",""),";",REPT(" ",30)),1,30))),0)+IFERROR(VALUE(TRIM(MID(SUBSTITUTE(SUBSTITUTE(SUBSTITUTE(UPPER($H257)," ",""),"D",""),";",REPT(" ",30)),31,30))),0)+IFERROR(VALUE(TRIM(MID(SUBSTITUTE(SUBSTITUTE(SUBSTITUTE(UPPER($H257)," ",""),"D",""),";",REPT(" ",30)),61,30))),0)+IFERROR(VALUE(TRIM(MID(SUBSTITUTE(SUBSTITUTE(SUBSTITUTE(UPPER($H257)," ",""),"D",""),";",REPT(" ",30)),91,30))),0)+IFERROR(VALUE(TRIM(MID(SUBSTITUTE(SUBSTITUTE(SUBSTITUTE(UPPER($H257)," ",""),"D",""),";",REPT(" ",30)),121,30))),0)+IFERROR(VALUE(TRIM(MID(SUBSTITUTE(SUBSTITUTE(SUBSTITUTE(UPPER($H257)," ",""),"D",""),";",REPT(" ",30)),151,30))),0)+IFERROR(VALUE(TRIM(MID(SUBSTITUTE(SUBSTITUTE(SUBSTITUTE(UPPER($H257)," ",""),"D",""),";",REPT(" ",30)),181,30))),0)+IFERROR(VALUE(TRIM(MID(SUBSTITUTE(SUBSTITUTE(SUBSTITUTE(UPPER($H257)," ",""),"D",""),";",REPT(" ",30)),211,30))),0)))))</f>
        <v/>
      </c>
      <c r="K257" s="24" t="n"/>
      <c r="L257" s="8" t="n"/>
      <c r="M257" s="14" t="n"/>
      <c r="N257" s="25">
        <f>IF($C257="","",IF($E257="Falta","-",MAX(0,MIN(10,8+IFERROR(VALUE(TRIM(MID(SUBSTITUTE(SUBSTITUTE(SUBSTITUTE(UPPER($L257)," ",""),"F",""),";",REPT(" ",30)),1,30))),0)+IFERROR(VALUE(TRIM(MID(SUBSTITUTE(SUBSTITUTE(SUBSTITUTE(UPPER($L257)," ",""),"F",""),";",REPT(" ",30)),31,30))),0)+IFERROR(VALUE(TRIM(MID(SUBSTITUTE(SUBSTITUTE(SUBSTITUTE(UPPER($L257)," ",""),"F",""),";",REPT(" ",30)),61,30))),0)+IFERROR(VALUE(TRIM(MID(SUBSTITUTE(SUBSTITUTE(SUBSTITUTE(UPPER($L257)," ",""),"F",""),";",REPT(" ",30)),91,30))),0)+IFERROR(VALUE(TRIM(MID(SUBSTITUTE(SUBSTITUTE(SUBSTITUTE(UPPER($L257)," ",""),"F",""),";",REPT(" ",30)),121,30))),0)+IFERROR(VALUE(TRIM(MID(SUBSTITUTE(SUBSTITUTE(SUBSTITUTE(UPPER($L257)," ",""),"F",""),";",REPT(" ",30)),151,30))),0)+IFERROR(VALUE(TRIM(MID(SUBSTITUTE(SUBSTITUTE(SUBSTITUTE(UPPER($L257)," ",""),"F",""),";",REPT(" ",30)),181,30))),0)+IFERROR(VALUE(TRIM(MID(SUBSTITUTE(SUBSTITUTE(SUBSTITUTE(UPPER($L257)," ",""),"F",""),";",REPT(" ",30)),211,30))),0)))))</f>
        <v/>
      </c>
      <c r="O257" s="24" t="n"/>
      <c r="P257" s="8" t="n"/>
      <c r="Q257" s="14" t="n"/>
      <c r="R257" s="25">
        <f>IF($C257="","",IF($E257="Falta","-",MAX(0,MIN(10,5+IFERROR(VALUE(TRIM(MID(SUBSTITUTE(SUBSTITUTE(SUBSTITUTE(UPPER($P257)," ",""),"C",""),";",REPT(" ",30)),1,30))),0)+IFERROR(VALUE(TRIM(MID(SUBSTITUTE(SUBSTITUTE(SUBSTITUTE(UPPER($P257)," ",""),"C",""),";",REPT(" ",30)),31,30))),0)+IFERROR(VALUE(TRIM(MID(SUBSTITUTE(SUBSTITUTE(SUBSTITUTE(UPPER($P257)," ",""),"C",""),";",REPT(" ",30)),61,30))),0)+IFERROR(VALUE(TRIM(MID(SUBSTITUTE(SUBSTITUTE(SUBSTITUTE(UPPER($P257)," ",""),"C",""),";",REPT(" ",30)),91,30))),0)+IFERROR(VALUE(TRIM(MID(SUBSTITUTE(SUBSTITUTE(SUBSTITUTE(UPPER($P257)," ",""),"C",""),";",REPT(" ",30)),121,30))),0)+IFERROR(VALUE(TRIM(MID(SUBSTITUTE(SUBSTITUTE(SUBSTITUTE(UPPER($P257)," ",""),"C",""),";",REPT(" ",30)),151,30))),0)+IFERROR(VALUE(TRIM(MID(SUBSTITUTE(SUBSTITUTE(SUBSTITUTE(UPPER($P257)," ",""),"C",""),";",REPT(" ",30)),181,30))),0)+IFERROR(VALUE(TRIM(MID(SUBSTITUTE(SUBSTITUTE(SUBSTITUTE(UPPER($P257)," ",""),"C",""),";",REPT(" ",30)),211,30))),0)))))</f>
        <v/>
      </c>
      <c r="S257" s="24" t="n"/>
      <c r="T257" s="8" t="n"/>
      <c r="U257" s="14" t="n"/>
      <c r="V257" s="25">
        <f>IF($C257="","",IF($E257="Falta","-",MAX(0,MIN(10,5+IFERROR(VALUE(TRIM(MID(SUBSTITUTE(SUBSTITUTE(SUBSTITUTE(UPPER($T257)," ",""),"P",""),";",REPT(" ",30)),1,30))),0)+IFERROR(VALUE(TRIM(MID(SUBSTITUTE(SUBSTITUTE(SUBSTITUTE(UPPER($T257)," ",""),"P",""),";",REPT(" ",30)),31,30))),0)+IFERROR(VALUE(TRIM(MID(SUBSTITUTE(SUBSTITUTE(SUBSTITUTE(UPPER($T257)," ",""),"P",""),";",REPT(" ",30)),61,30))),0)+IFERROR(VALUE(TRIM(MID(SUBSTITUTE(SUBSTITUTE(SUBSTITUTE(UPPER($T257)," ",""),"P",""),";",REPT(" ",30)),91,30))),0)+IFERROR(VALUE(TRIM(MID(SUBSTITUTE(SUBSTITUTE(SUBSTITUTE(UPPER($T257)," ",""),"P",""),";",REPT(" ",30)),121,30))),0)+IFERROR(VALUE(TRIM(MID(SUBSTITUTE(SUBSTITUTE(SUBSTITUTE(UPPER($T257)," ",""),"P",""),";",REPT(" ",30)),151,30))),0)+IFERROR(VALUE(TRIM(MID(SUBSTITUTE(SUBSTITUTE(SUBSTITUTE(UPPER($T257)," ",""),"P",""),";",REPT(" ",30)),181,30))),0)+IFERROR(VALUE(TRIM(MID(SUBSTITUTE(SUBSTITUTE(SUBSTITUTE(UPPER($T257)," ",""),"P",""),";",REPT(" ",30)),211,30))),0)))))</f>
        <v/>
      </c>
      <c r="W257" s="24" t="n"/>
      <c r="X257" s="14" t="n"/>
    </row>
    <row r="258">
      <c r="A258" s="8">
        <f>IF($C258="","",51)</f>
        <v/>
      </c>
      <c r="B258" s="8">
        <f>IF($C258="","","5ª Sessão")</f>
        <v/>
      </c>
      <c r="C258" s="8">
        <f>IF(Preenchimento!$B$60="","",Preenchimento!$B$60)</f>
        <v/>
      </c>
      <c r="D258" s="8">
        <f>IF($C258="","",IF(Preenchimento!$C$60="","-",Preenchimento!$C$60))</f>
        <v/>
      </c>
      <c r="E258" s="8" t="n"/>
      <c r="F258" s="8" t="n"/>
      <c r="G258" s="24" t="n"/>
      <c r="H258" s="8" t="n"/>
      <c r="I258" s="14" t="n"/>
      <c r="J258" s="25">
        <f>IF($C258="","",IF($E258="Falta","-",MAX(0,MIN(10,8+IFERROR(VALUE(TRIM(MID(SUBSTITUTE(SUBSTITUTE(SUBSTITUTE(UPPER($H258)," ",""),"D",""),";",REPT(" ",30)),1,30))),0)+IFERROR(VALUE(TRIM(MID(SUBSTITUTE(SUBSTITUTE(SUBSTITUTE(UPPER($H258)," ",""),"D",""),";",REPT(" ",30)),31,30))),0)+IFERROR(VALUE(TRIM(MID(SUBSTITUTE(SUBSTITUTE(SUBSTITUTE(UPPER($H258)," ",""),"D",""),";",REPT(" ",30)),61,30))),0)+IFERROR(VALUE(TRIM(MID(SUBSTITUTE(SUBSTITUTE(SUBSTITUTE(UPPER($H258)," ",""),"D",""),";",REPT(" ",30)),91,30))),0)+IFERROR(VALUE(TRIM(MID(SUBSTITUTE(SUBSTITUTE(SUBSTITUTE(UPPER($H258)," ",""),"D",""),";",REPT(" ",30)),121,30))),0)+IFERROR(VALUE(TRIM(MID(SUBSTITUTE(SUBSTITUTE(SUBSTITUTE(UPPER($H258)," ",""),"D",""),";",REPT(" ",30)),151,30))),0)+IFERROR(VALUE(TRIM(MID(SUBSTITUTE(SUBSTITUTE(SUBSTITUTE(UPPER($H258)," ",""),"D",""),";",REPT(" ",30)),181,30))),0)+IFERROR(VALUE(TRIM(MID(SUBSTITUTE(SUBSTITUTE(SUBSTITUTE(UPPER($H258)," ",""),"D",""),";",REPT(" ",30)),211,30))),0)))))</f>
        <v/>
      </c>
      <c r="K258" s="24" t="n"/>
      <c r="L258" s="8" t="n"/>
      <c r="M258" s="14" t="n"/>
      <c r="N258" s="25">
        <f>IF($C258="","",IF($E258="Falta","-",MAX(0,MIN(10,8+IFERROR(VALUE(TRIM(MID(SUBSTITUTE(SUBSTITUTE(SUBSTITUTE(UPPER($L258)," ",""),"F",""),";",REPT(" ",30)),1,30))),0)+IFERROR(VALUE(TRIM(MID(SUBSTITUTE(SUBSTITUTE(SUBSTITUTE(UPPER($L258)," ",""),"F",""),";",REPT(" ",30)),31,30))),0)+IFERROR(VALUE(TRIM(MID(SUBSTITUTE(SUBSTITUTE(SUBSTITUTE(UPPER($L258)," ",""),"F",""),";",REPT(" ",30)),61,30))),0)+IFERROR(VALUE(TRIM(MID(SUBSTITUTE(SUBSTITUTE(SUBSTITUTE(UPPER($L258)," ",""),"F",""),";",REPT(" ",30)),91,30))),0)+IFERROR(VALUE(TRIM(MID(SUBSTITUTE(SUBSTITUTE(SUBSTITUTE(UPPER($L258)," ",""),"F",""),";",REPT(" ",30)),121,30))),0)+IFERROR(VALUE(TRIM(MID(SUBSTITUTE(SUBSTITUTE(SUBSTITUTE(UPPER($L258)," ",""),"F",""),";",REPT(" ",30)),151,30))),0)+IFERROR(VALUE(TRIM(MID(SUBSTITUTE(SUBSTITUTE(SUBSTITUTE(UPPER($L258)," ",""),"F",""),";",REPT(" ",30)),181,30))),0)+IFERROR(VALUE(TRIM(MID(SUBSTITUTE(SUBSTITUTE(SUBSTITUTE(UPPER($L258)," ",""),"F",""),";",REPT(" ",30)),211,30))),0)))))</f>
        <v/>
      </c>
      <c r="O258" s="24" t="n"/>
      <c r="P258" s="8" t="n"/>
      <c r="Q258" s="14" t="n"/>
      <c r="R258" s="25">
        <f>IF($C258="","",IF($E258="Falta","-",MAX(0,MIN(10,5+IFERROR(VALUE(TRIM(MID(SUBSTITUTE(SUBSTITUTE(SUBSTITUTE(UPPER($P258)," ",""),"C",""),";",REPT(" ",30)),1,30))),0)+IFERROR(VALUE(TRIM(MID(SUBSTITUTE(SUBSTITUTE(SUBSTITUTE(UPPER($P258)," ",""),"C",""),";",REPT(" ",30)),31,30))),0)+IFERROR(VALUE(TRIM(MID(SUBSTITUTE(SUBSTITUTE(SUBSTITUTE(UPPER($P258)," ",""),"C",""),";",REPT(" ",30)),61,30))),0)+IFERROR(VALUE(TRIM(MID(SUBSTITUTE(SUBSTITUTE(SUBSTITUTE(UPPER($P258)," ",""),"C",""),";",REPT(" ",30)),91,30))),0)+IFERROR(VALUE(TRIM(MID(SUBSTITUTE(SUBSTITUTE(SUBSTITUTE(UPPER($P258)," ",""),"C",""),";",REPT(" ",30)),121,30))),0)+IFERROR(VALUE(TRIM(MID(SUBSTITUTE(SUBSTITUTE(SUBSTITUTE(UPPER($P258)," ",""),"C",""),";",REPT(" ",30)),151,30))),0)+IFERROR(VALUE(TRIM(MID(SUBSTITUTE(SUBSTITUTE(SUBSTITUTE(UPPER($P258)," ",""),"C",""),";",REPT(" ",30)),181,30))),0)+IFERROR(VALUE(TRIM(MID(SUBSTITUTE(SUBSTITUTE(SUBSTITUTE(UPPER($P258)," ",""),"C",""),";",REPT(" ",30)),211,30))),0)))))</f>
        <v/>
      </c>
      <c r="S258" s="24" t="n"/>
      <c r="T258" s="8" t="n"/>
      <c r="U258" s="14" t="n"/>
      <c r="V258" s="25">
        <f>IF($C258="","",IF($E258="Falta","-",MAX(0,MIN(10,5+IFERROR(VALUE(TRIM(MID(SUBSTITUTE(SUBSTITUTE(SUBSTITUTE(UPPER($T258)," ",""),"P",""),";",REPT(" ",30)),1,30))),0)+IFERROR(VALUE(TRIM(MID(SUBSTITUTE(SUBSTITUTE(SUBSTITUTE(UPPER($T258)," ",""),"P",""),";",REPT(" ",30)),31,30))),0)+IFERROR(VALUE(TRIM(MID(SUBSTITUTE(SUBSTITUTE(SUBSTITUTE(UPPER($T258)," ",""),"P",""),";",REPT(" ",30)),61,30))),0)+IFERROR(VALUE(TRIM(MID(SUBSTITUTE(SUBSTITUTE(SUBSTITUTE(UPPER($T258)," ",""),"P",""),";",REPT(" ",30)),91,30))),0)+IFERROR(VALUE(TRIM(MID(SUBSTITUTE(SUBSTITUTE(SUBSTITUTE(UPPER($T258)," ",""),"P",""),";",REPT(" ",30)),121,30))),0)+IFERROR(VALUE(TRIM(MID(SUBSTITUTE(SUBSTITUTE(SUBSTITUTE(UPPER($T258)," ",""),"P",""),";",REPT(" ",30)),151,30))),0)+IFERROR(VALUE(TRIM(MID(SUBSTITUTE(SUBSTITUTE(SUBSTITUTE(UPPER($T258)," ",""),"P",""),";",REPT(" ",30)),181,30))),0)+IFERROR(VALUE(TRIM(MID(SUBSTITUTE(SUBSTITUTE(SUBSTITUTE(UPPER($T258)," ",""),"P",""),";",REPT(" ",30)),211,30))),0)))))</f>
        <v/>
      </c>
      <c r="W258" s="24" t="n"/>
      <c r="X258" s="14" t="n"/>
    </row>
    <row r="259">
      <c r="A259" s="6">
        <f>IF($C259="","",52)</f>
        <v/>
      </c>
      <c r="B259" s="6">
        <f>IF($C259="","","1ª Sessão")</f>
        <v/>
      </c>
      <c r="C259" s="6">
        <f>IF(Preenchimento!$B$61="","",Preenchimento!$B$61)</f>
        <v/>
      </c>
      <c r="D259" s="6">
        <f>IF($C259="","",IF(Preenchimento!$C$61="","-",Preenchimento!$C$61))</f>
        <v/>
      </c>
      <c r="E259" s="6" t="n"/>
      <c r="F259" s="6" t="n"/>
      <c r="G259" s="26" t="n"/>
      <c r="H259" s="6" t="n"/>
      <c r="I259" s="13" t="n"/>
      <c r="J259" s="27">
        <f>IF($C259="","",IF($E259="Falta","-",MAX(0,MIN(10,8+IFERROR(VALUE(TRIM(MID(SUBSTITUTE(SUBSTITUTE(SUBSTITUTE(UPPER($H259)," ",""),"D",""),";",REPT(" ",30)),1,30))),0)+IFERROR(VALUE(TRIM(MID(SUBSTITUTE(SUBSTITUTE(SUBSTITUTE(UPPER($H259)," ",""),"D",""),";",REPT(" ",30)),31,30))),0)+IFERROR(VALUE(TRIM(MID(SUBSTITUTE(SUBSTITUTE(SUBSTITUTE(UPPER($H259)," ",""),"D",""),";",REPT(" ",30)),61,30))),0)+IFERROR(VALUE(TRIM(MID(SUBSTITUTE(SUBSTITUTE(SUBSTITUTE(UPPER($H259)," ",""),"D",""),";",REPT(" ",30)),91,30))),0)+IFERROR(VALUE(TRIM(MID(SUBSTITUTE(SUBSTITUTE(SUBSTITUTE(UPPER($H259)," ",""),"D",""),";",REPT(" ",30)),121,30))),0)+IFERROR(VALUE(TRIM(MID(SUBSTITUTE(SUBSTITUTE(SUBSTITUTE(UPPER($H259)," ",""),"D",""),";",REPT(" ",30)),151,30))),0)+IFERROR(VALUE(TRIM(MID(SUBSTITUTE(SUBSTITUTE(SUBSTITUTE(UPPER($H259)," ",""),"D",""),";",REPT(" ",30)),181,30))),0)+IFERROR(VALUE(TRIM(MID(SUBSTITUTE(SUBSTITUTE(SUBSTITUTE(UPPER($H259)," ",""),"D",""),";",REPT(" ",30)),211,30))),0)))))</f>
        <v/>
      </c>
      <c r="K259" s="26" t="n"/>
      <c r="L259" s="6" t="n"/>
      <c r="M259" s="13" t="n"/>
      <c r="N259" s="27">
        <f>IF($C259="","",IF($E259="Falta","-",MAX(0,MIN(10,8+IFERROR(VALUE(TRIM(MID(SUBSTITUTE(SUBSTITUTE(SUBSTITUTE(UPPER($L259)," ",""),"F",""),";",REPT(" ",30)),1,30))),0)+IFERROR(VALUE(TRIM(MID(SUBSTITUTE(SUBSTITUTE(SUBSTITUTE(UPPER($L259)," ",""),"F",""),";",REPT(" ",30)),31,30))),0)+IFERROR(VALUE(TRIM(MID(SUBSTITUTE(SUBSTITUTE(SUBSTITUTE(UPPER($L259)," ",""),"F",""),";",REPT(" ",30)),61,30))),0)+IFERROR(VALUE(TRIM(MID(SUBSTITUTE(SUBSTITUTE(SUBSTITUTE(UPPER($L259)," ",""),"F",""),";",REPT(" ",30)),91,30))),0)+IFERROR(VALUE(TRIM(MID(SUBSTITUTE(SUBSTITUTE(SUBSTITUTE(UPPER($L259)," ",""),"F",""),";",REPT(" ",30)),121,30))),0)+IFERROR(VALUE(TRIM(MID(SUBSTITUTE(SUBSTITUTE(SUBSTITUTE(UPPER($L259)," ",""),"F",""),";",REPT(" ",30)),151,30))),0)+IFERROR(VALUE(TRIM(MID(SUBSTITUTE(SUBSTITUTE(SUBSTITUTE(UPPER($L259)," ",""),"F",""),";",REPT(" ",30)),181,30))),0)+IFERROR(VALUE(TRIM(MID(SUBSTITUTE(SUBSTITUTE(SUBSTITUTE(UPPER($L259)," ",""),"F",""),";",REPT(" ",30)),211,30))),0)))))</f>
        <v/>
      </c>
      <c r="O259" s="26" t="n"/>
      <c r="P259" s="6" t="n"/>
      <c r="Q259" s="13" t="n"/>
      <c r="R259" s="27">
        <f>IF($C259="","",IF($E259="Falta","-",MAX(0,MIN(10,5+IFERROR(VALUE(TRIM(MID(SUBSTITUTE(SUBSTITUTE(SUBSTITUTE(UPPER($P259)," ",""),"C",""),";",REPT(" ",30)),1,30))),0)+IFERROR(VALUE(TRIM(MID(SUBSTITUTE(SUBSTITUTE(SUBSTITUTE(UPPER($P259)," ",""),"C",""),";",REPT(" ",30)),31,30))),0)+IFERROR(VALUE(TRIM(MID(SUBSTITUTE(SUBSTITUTE(SUBSTITUTE(UPPER($P259)," ",""),"C",""),";",REPT(" ",30)),61,30))),0)+IFERROR(VALUE(TRIM(MID(SUBSTITUTE(SUBSTITUTE(SUBSTITUTE(UPPER($P259)," ",""),"C",""),";",REPT(" ",30)),91,30))),0)+IFERROR(VALUE(TRIM(MID(SUBSTITUTE(SUBSTITUTE(SUBSTITUTE(UPPER($P259)," ",""),"C",""),";",REPT(" ",30)),121,30))),0)+IFERROR(VALUE(TRIM(MID(SUBSTITUTE(SUBSTITUTE(SUBSTITUTE(UPPER($P259)," ",""),"C",""),";",REPT(" ",30)),151,30))),0)+IFERROR(VALUE(TRIM(MID(SUBSTITUTE(SUBSTITUTE(SUBSTITUTE(UPPER($P259)," ",""),"C",""),";",REPT(" ",30)),181,30))),0)+IFERROR(VALUE(TRIM(MID(SUBSTITUTE(SUBSTITUTE(SUBSTITUTE(UPPER($P259)," ",""),"C",""),";",REPT(" ",30)),211,30))),0)))))</f>
        <v/>
      </c>
      <c r="S259" s="26" t="n"/>
      <c r="T259" s="6" t="n"/>
      <c r="U259" s="13" t="n"/>
      <c r="V259" s="27">
        <f>IF($C259="","",IF($E259="Falta","-",MAX(0,MIN(10,5+IFERROR(VALUE(TRIM(MID(SUBSTITUTE(SUBSTITUTE(SUBSTITUTE(UPPER($T259)," ",""),"P",""),";",REPT(" ",30)),1,30))),0)+IFERROR(VALUE(TRIM(MID(SUBSTITUTE(SUBSTITUTE(SUBSTITUTE(UPPER($T259)," ",""),"P",""),";",REPT(" ",30)),31,30))),0)+IFERROR(VALUE(TRIM(MID(SUBSTITUTE(SUBSTITUTE(SUBSTITUTE(UPPER($T259)," ",""),"P",""),";",REPT(" ",30)),61,30))),0)+IFERROR(VALUE(TRIM(MID(SUBSTITUTE(SUBSTITUTE(SUBSTITUTE(UPPER($T259)," ",""),"P",""),";",REPT(" ",30)),91,30))),0)+IFERROR(VALUE(TRIM(MID(SUBSTITUTE(SUBSTITUTE(SUBSTITUTE(UPPER($T259)," ",""),"P",""),";",REPT(" ",30)),121,30))),0)+IFERROR(VALUE(TRIM(MID(SUBSTITUTE(SUBSTITUTE(SUBSTITUTE(UPPER($T259)," ",""),"P",""),";",REPT(" ",30)),151,30))),0)+IFERROR(VALUE(TRIM(MID(SUBSTITUTE(SUBSTITUTE(SUBSTITUTE(UPPER($T259)," ",""),"P",""),";",REPT(" ",30)),181,30))),0)+IFERROR(VALUE(TRIM(MID(SUBSTITUTE(SUBSTITUTE(SUBSTITUTE(UPPER($T259)," ",""),"P",""),";",REPT(" ",30)),211,30))),0)))))</f>
        <v/>
      </c>
      <c r="W259" s="26" t="n"/>
      <c r="X259" s="13" t="n"/>
    </row>
    <row r="260">
      <c r="A260" s="6">
        <f>IF($C260="","",52)</f>
        <v/>
      </c>
      <c r="B260" s="6">
        <f>IF($C260="","","2ª Sessão")</f>
        <v/>
      </c>
      <c r="C260" s="6">
        <f>IF(Preenchimento!$B$61="","",Preenchimento!$B$61)</f>
        <v/>
      </c>
      <c r="D260" s="6">
        <f>IF($C260="","",IF(Preenchimento!$C$61="","-",Preenchimento!$C$61))</f>
        <v/>
      </c>
      <c r="E260" s="6" t="n"/>
      <c r="F260" s="6" t="n"/>
      <c r="G260" s="26" t="n"/>
      <c r="H260" s="6" t="n"/>
      <c r="I260" s="13" t="n"/>
      <c r="J260" s="27">
        <f>IF($C260="","",IF($E260="Falta","-",MAX(0,MIN(10,8+IFERROR(VALUE(TRIM(MID(SUBSTITUTE(SUBSTITUTE(SUBSTITUTE(UPPER($H260)," ",""),"D",""),";",REPT(" ",30)),1,30))),0)+IFERROR(VALUE(TRIM(MID(SUBSTITUTE(SUBSTITUTE(SUBSTITUTE(UPPER($H260)," ",""),"D",""),";",REPT(" ",30)),31,30))),0)+IFERROR(VALUE(TRIM(MID(SUBSTITUTE(SUBSTITUTE(SUBSTITUTE(UPPER($H260)," ",""),"D",""),";",REPT(" ",30)),61,30))),0)+IFERROR(VALUE(TRIM(MID(SUBSTITUTE(SUBSTITUTE(SUBSTITUTE(UPPER($H260)," ",""),"D",""),";",REPT(" ",30)),91,30))),0)+IFERROR(VALUE(TRIM(MID(SUBSTITUTE(SUBSTITUTE(SUBSTITUTE(UPPER($H260)," ",""),"D",""),";",REPT(" ",30)),121,30))),0)+IFERROR(VALUE(TRIM(MID(SUBSTITUTE(SUBSTITUTE(SUBSTITUTE(UPPER($H260)," ",""),"D",""),";",REPT(" ",30)),151,30))),0)+IFERROR(VALUE(TRIM(MID(SUBSTITUTE(SUBSTITUTE(SUBSTITUTE(UPPER($H260)," ",""),"D",""),";",REPT(" ",30)),181,30))),0)+IFERROR(VALUE(TRIM(MID(SUBSTITUTE(SUBSTITUTE(SUBSTITUTE(UPPER($H260)," ",""),"D",""),";",REPT(" ",30)),211,30))),0)))))</f>
        <v/>
      </c>
      <c r="K260" s="26" t="n"/>
      <c r="L260" s="6" t="n"/>
      <c r="M260" s="13" t="n"/>
      <c r="N260" s="27">
        <f>IF($C260="","",IF($E260="Falta","-",MAX(0,MIN(10,8+IFERROR(VALUE(TRIM(MID(SUBSTITUTE(SUBSTITUTE(SUBSTITUTE(UPPER($L260)," ",""),"F",""),";",REPT(" ",30)),1,30))),0)+IFERROR(VALUE(TRIM(MID(SUBSTITUTE(SUBSTITUTE(SUBSTITUTE(UPPER($L260)," ",""),"F",""),";",REPT(" ",30)),31,30))),0)+IFERROR(VALUE(TRIM(MID(SUBSTITUTE(SUBSTITUTE(SUBSTITUTE(UPPER($L260)," ",""),"F",""),";",REPT(" ",30)),61,30))),0)+IFERROR(VALUE(TRIM(MID(SUBSTITUTE(SUBSTITUTE(SUBSTITUTE(UPPER($L260)," ",""),"F",""),";",REPT(" ",30)),91,30))),0)+IFERROR(VALUE(TRIM(MID(SUBSTITUTE(SUBSTITUTE(SUBSTITUTE(UPPER($L260)," ",""),"F",""),";",REPT(" ",30)),121,30))),0)+IFERROR(VALUE(TRIM(MID(SUBSTITUTE(SUBSTITUTE(SUBSTITUTE(UPPER($L260)," ",""),"F",""),";",REPT(" ",30)),151,30))),0)+IFERROR(VALUE(TRIM(MID(SUBSTITUTE(SUBSTITUTE(SUBSTITUTE(UPPER($L260)," ",""),"F",""),";",REPT(" ",30)),181,30))),0)+IFERROR(VALUE(TRIM(MID(SUBSTITUTE(SUBSTITUTE(SUBSTITUTE(UPPER($L260)," ",""),"F",""),";",REPT(" ",30)),211,30))),0)))))</f>
        <v/>
      </c>
      <c r="O260" s="26" t="n"/>
      <c r="P260" s="6" t="n"/>
      <c r="Q260" s="13" t="n"/>
      <c r="R260" s="27">
        <f>IF($C260="","",IF($E260="Falta","-",MAX(0,MIN(10,5+IFERROR(VALUE(TRIM(MID(SUBSTITUTE(SUBSTITUTE(SUBSTITUTE(UPPER($P260)," ",""),"C",""),";",REPT(" ",30)),1,30))),0)+IFERROR(VALUE(TRIM(MID(SUBSTITUTE(SUBSTITUTE(SUBSTITUTE(UPPER($P260)," ",""),"C",""),";",REPT(" ",30)),31,30))),0)+IFERROR(VALUE(TRIM(MID(SUBSTITUTE(SUBSTITUTE(SUBSTITUTE(UPPER($P260)," ",""),"C",""),";",REPT(" ",30)),61,30))),0)+IFERROR(VALUE(TRIM(MID(SUBSTITUTE(SUBSTITUTE(SUBSTITUTE(UPPER($P260)," ",""),"C",""),";",REPT(" ",30)),91,30))),0)+IFERROR(VALUE(TRIM(MID(SUBSTITUTE(SUBSTITUTE(SUBSTITUTE(UPPER($P260)," ",""),"C",""),";",REPT(" ",30)),121,30))),0)+IFERROR(VALUE(TRIM(MID(SUBSTITUTE(SUBSTITUTE(SUBSTITUTE(UPPER($P260)," ",""),"C",""),";",REPT(" ",30)),151,30))),0)+IFERROR(VALUE(TRIM(MID(SUBSTITUTE(SUBSTITUTE(SUBSTITUTE(UPPER($P260)," ",""),"C",""),";",REPT(" ",30)),181,30))),0)+IFERROR(VALUE(TRIM(MID(SUBSTITUTE(SUBSTITUTE(SUBSTITUTE(UPPER($P260)," ",""),"C",""),";",REPT(" ",30)),211,30))),0)))))</f>
        <v/>
      </c>
      <c r="S260" s="26" t="n"/>
      <c r="T260" s="6" t="n"/>
      <c r="U260" s="13" t="n"/>
      <c r="V260" s="27">
        <f>IF($C260="","",IF($E260="Falta","-",MAX(0,MIN(10,5+IFERROR(VALUE(TRIM(MID(SUBSTITUTE(SUBSTITUTE(SUBSTITUTE(UPPER($T260)," ",""),"P",""),";",REPT(" ",30)),1,30))),0)+IFERROR(VALUE(TRIM(MID(SUBSTITUTE(SUBSTITUTE(SUBSTITUTE(UPPER($T260)," ",""),"P",""),";",REPT(" ",30)),31,30))),0)+IFERROR(VALUE(TRIM(MID(SUBSTITUTE(SUBSTITUTE(SUBSTITUTE(UPPER($T260)," ",""),"P",""),";",REPT(" ",30)),61,30))),0)+IFERROR(VALUE(TRIM(MID(SUBSTITUTE(SUBSTITUTE(SUBSTITUTE(UPPER($T260)," ",""),"P",""),";",REPT(" ",30)),91,30))),0)+IFERROR(VALUE(TRIM(MID(SUBSTITUTE(SUBSTITUTE(SUBSTITUTE(UPPER($T260)," ",""),"P",""),";",REPT(" ",30)),121,30))),0)+IFERROR(VALUE(TRIM(MID(SUBSTITUTE(SUBSTITUTE(SUBSTITUTE(UPPER($T260)," ",""),"P",""),";",REPT(" ",30)),151,30))),0)+IFERROR(VALUE(TRIM(MID(SUBSTITUTE(SUBSTITUTE(SUBSTITUTE(UPPER($T260)," ",""),"P",""),";",REPT(" ",30)),181,30))),0)+IFERROR(VALUE(TRIM(MID(SUBSTITUTE(SUBSTITUTE(SUBSTITUTE(UPPER($T260)," ",""),"P",""),";",REPT(" ",30)),211,30))),0)))))</f>
        <v/>
      </c>
      <c r="W260" s="26" t="n"/>
      <c r="X260" s="13" t="n"/>
    </row>
    <row r="261">
      <c r="A261" s="6">
        <f>IF($C261="","",52)</f>
        <v/>
      </c>
      <c r="B261" s="6">
        <f>IF($C261="","","3ª Sessão")</f>
        <v/>
      </c>
      <c r="C261" s="6">
        <f>IF(Preenchimento!$B$61="","",Preenchimento!$B$61)</f>
        <v/>
      </c>
      <c r="D261" s="6">
        <f>IF($C261="","",IF(Preenchimento!$C$61="","-",Preenchimento!$C$61))</f>
        <v/>
      </c>
      <c r="E261" s="6" t="n"/>
      <c r="F261" s="6" t="n"/>
      <c r="G261" s="26" t="n"/>
      <c r="H261" s="6" t="n"/>
      <c r="I261" s="13" t="n"/>
      <c r="J261" s="27">
        <f>IF($C261="","",IF($E261="Falta","-",MAX(0,MIN(10,8+IFERROR(VALUE(TRIM(MID(SUBSTITUTE(SUBSTITUTE(SUBSTITUTE(UPPER($H261)," ",""),"D",""),";",REPT(" ",30)),1,30))),0)+IFERROR(VALUE(TRIM(MID(SUBSTITUTE(SUBSTITUTE(SUBSTITUTE(UPPER($H261)," ",""),"D",""),";",REPT(" ",30)),31,30))),0)+IFERROR(VALUE(TRIM(MID(SUBSTITUTE(SUBSTITUTE(SUBSTITUTE(UPPER($H261)," ",""),"D",""),";",REPT(" ",30)),61,30))),0)+IFERROR(VALUE(TRIM(MID(SUBSTITUTE(SUBSTITUTE(SUBSTITUTE(UPPER($H261)," ",""),"D",""),";",REPT(" ",30)),91,30))),0)+IFERROR(VALUE(TRIM(MID(SUBSTITUTE(SUBSTITUTE(SUBSTITUTE(UPPER($H261)," ",""),"D",""),";",REPT(" ",30)),121,30))),0)+IFERROR(VALUE(TRIM(MID(SUBSTITUTE(SUBSTITUTE(SUBSTITUTE(UPPER($H261)," ",""),"D",""),";",REPT(" ",30)),151,30))),0)+IFERROR(VALUE(TRIM(MID(SUBSTITUTE(SUBSTITUTE(SUBSTITUTE(UPPER($H261)," ",""),"D",""),";",REPT(" ",30)),181,30))),0)+IFERROR(VALUE(TRIM(MID(SUBSTITUTE(SUBSTITUTE(SUBSTITUTE(UPPER($H261)," ",""),"D",""),";",REPT(" ",30)),211,30))),0)))))</f>
        <v/>
      </c>
      <c r="K261" s="26" t="n"/>
      <c r="L261" s="6" t="n"/>
      <c r="M261" s="13" t="n"/>
      <c r="N261" s="27">
        <f>IF($C261="","",IF($E261="Falta","-",MAX(0,MIN(10,8+IFERROR(VALUE(TRIM(MID(SUBSTITUTE(SUBSTITUTE(SUBSTITUTE(UPPER($L261)," ",""),"F",""),";",REPT(" ",30)),1,30))),0)+IFERROR(VALUE(TRIM(MID(SUBSTITUTE(SUBSTITUTE(SUBSTITUTE(UPPER($L261)," ",""),"F",""),";",REPT(" ",30)),31,30))),0)+IFERROR(VALUE(TRIM(MID(SUBSTITUTE(SUBSTITUTE(SUBSTITUTE(UPPER($L261)," ",""),"F",""),";",REPT(" ",30)),61,30))),0)+IFERROR(VALUE(TRIM(MID(SUBSTITUTE(SUBSTITUTE(SUBSTITUTE(UPPER($L261)," ",""),"F",""),";",REPT(" ",30)),91,30))),0)+IFERROR(VALUE(TRIM(MID(SUBSTITUTE(SUBSTITUTE(SUBSTITUTE(UPPER($L261)," ",""),"F",""),";",REPT(" ",30)),121,30))),0)+IFERROR(VALUE(TRIM(MID(SUBSTITUTE(SUBSTITUTE(SUBSTITUTE(UPPER($L261)," ",""),"F",""),";",REPT(" ",30)),151,30))),0)+IFERROR(VALUE(TRIM(MID(SUBSTITUTE(SUBSTITUTE(SUBSTITUTE(UPPER($L261)," ",""),"F",""),";",REPT(" ",30)),181,30))),0)+IFERROR(VALUE(TRIM(MID(SUBSTITUTE(SUBSTITUTE(SUBSTITUTE(UPPER($L261)," ",""),"F",""),";",REPT(" ",30)),211,30))),0)))))</f>
        <v/>
      </c>
      <c r="O261" s="26" t="n"/>
      <c r="P261" s="6" t="n"/>
      <c r="Q261" s="13" t="n"/>
      <c r="R261" s="27">
        <f>IF($C261="","",IF($E261="Falta","-",MAX(0,MIN(10,5+IFERROR(VALUE(TRIM(MID(SUBSTITUTE(SUBSTITUTE(SUBSTITUTE(UPPER($P261)," ",""),"C",""),";",REPT(" ",30)),1,30))),0)+IFERROR(VALUE(TRIM(MID(SUBSTITUTE(SUBSTITUTE(SUBSTITUTE(UPPER($P261)," ",""),"C",""),";",REPT(" ",30)),31,30))),0)+IFERROR(VALUE(TRIM(MID(SUBSTITUTE(SUBSTITUTE(SUBSTITUTE(UPPER($P261)," ",""),"C",""),";",REPT(" ",30)),61,30))),0)+IFERROR(VALUE(TRIM(MID(SUBSTITUTE(SUBSTITUTE(SUBSTITUTE(UPPER($P261)," ",""),"C",""),";",REPT(" ",30)),91,30))),0)+IFERROR(VALUE(TRIM(MID(SUBSTITUTE(SUBSTITUTE(SUBSTITUTE(UPPER($P261)," ",""),"C",""),";",REPT(" ",30)),121,30))),0)+IFERROR(VALUE(TRIM(MID(SUBSTITUTE(SUBSTITUTE(SUBSTITUTE(UPPER($P261)," ",""),"C",""),";",REPT(" ",30)),151,30))),0)+IFERROR(VALUE(TRIM(MID(SUBSTITUTE(SUBSTITUTE(SUBSTITUTE(UPPER($P261)," ",""),"C",""),";",REPT(" ",30)),181,30))),0)+IFERROR(VALUE(TRIM(MID(SUBSTITUTE(SUBSTITUTE(SUBSTITUTE(UPPER($P261)," ",""),"C",""),";",REPT(" ",30)),211,30))),0)))))</f>
        <v/>
      </c>
      <c r="S261" s="26" t="n"/>
      <c r="T261" s="6" t="n"/>
      <c r="U261" s="13" t="n"/>
      <c r="V261" s="27">
        <f>IF($C261="","",IF($E261="Falta","-",MAX(0,MIN(10,5+IFERROR(VALUE(TRIM(MID(SUBSTITUTE(SUBSTITUTE(SUBSTITUTE(UPPER($T261)," ",""),"P",""),";",REPT(" ",30)),1,30))),0)+IFERROR(VALUE(TRIM(MID(SUBSTITUTE(SUBSTITUTE(SUBSTITUTE(UPPER($T261)," ",""),"P",""),";",REPT(" ",30)),31,30))),0)+IFERROR(VALUE(TRIM(MID(SUBSTITUTE(SUBSTITUTE(SUBSTITUTE(UPPER($T261)," ",""),"P",""),";",REPT(" ",30)),61,30))),0)+IFERROR(VALUE(TRIM(MID(SUBSTITUTE(SUBSTITUTE(SUBSTITUTE(UPPER($T261)," ",""),"P",""),";",REPT(" ",30)),91,30))),0)+IFERROR(VALUE(TRIM(MID(SUBSTITUTE(SUBSTITUTE(SUBSTITUTE(UPPER($T261)," ",""),"P",""),";",REPT(" ",30)),121,30))),0)+IFERROR(VALUE(TRIM(MID(SUBSTITUTE(SUBSTITUTE(SUBSTITUTE(UPPER($T261)," ",""),"P",""),";",REPT(" ",30)),151,30))),0)+IFERROR(VALUE(TRIM(MID(SUBSTITUTE(SUBSTITUTE(SUBSTITUTE(UPPER($T261)," ",""),"P",""),";",REPT(" ",30)),181,30))),0)+IFERROR(VALUE(TRIM(MID(SUBSTITUTE(SUBSTITUTE(SUBSTITUTE(UPPER($T261)," ",""),"P",""),";",REPT(" ",30)),211,30))),0)))))</f>
        <v/>
      </c>
      <c r="W261" s="26" t="n"/>
      <c r="X261" s="13" t="n"/>
    </row>
    <row r="262">
      <c r="A262" s="6">
        <f>IF($C262="","",52)</f>
        <v/>
      </c>
      <c r="B262" s="6">
        <f>IF($C262="","","4ª Sessão")</f>
        <v/>
      </c>
      <c r="C262" s="6">
        <f>IF(Preenchimento!$B$61="","",Preenchimento!$B$61)</f>
        <v/>
      </c>
      <c r="D262" s="6">
        <f>IF($C262="","",IF(Preenchimento!$C$61="","-",Preenchimento!$C$61))</f>
        <v/>
      </c>
      <c r="E262" s="6" t="n"/>
      <c r="F262" s="6" t="n"/>
      <c r="G262" s="26" t="n"/>
      <c r="H262" s="6" t="n"/>
      <c r="I262" s="13" t="n"/>
      <c r="J262" s="27">
        <f>IF($C262="","",IF($E262="Falta","-",MAX(0,MIN(10,8+IFERROR(VALUE(TRIM(MID(SUBSTITUTE(SUBSTITUTE(SUBSTITUTE(UPPER($H262)," ",""),"D",""),";",REPT(" ",30)),1,30))),0)+IFERROR(VALUE(TRIM(MID(SUBSTITUTE(SUBSTITUTE(SUBSTITUTE(UPPER($H262)," ",""),"D",""),";",REPT(" ",30)),31,30))),0)+IFERROR(VALUE(TRIM(MID(SUBSTITUTE(SUBSTITUTE(SUBSTITUTE(UPPER($H262)," ",""),"D",""),";",REPT(" ",30)),61,30))),0)+IFERROR(VALUE(TRIM(MID(SUBSTITUTE(SUBSTITUTE(SUBSTITUTE(UPPER($H262)," ",""),"D",""),";",REPT(" ",30)),91,30))),0)+IFERROR(VALUE(TRIM(MID(SUBSTITUTE(SUBSTITUTE(SUBSTITUTE(UPPER($H262)," ",""),"D",""),";",REPT(" ",30)),121,30))),0)+IFERROR(VALUE(TRIM(MID(SUBSTITUTE(SUBSTITUTE(SUBSTITUTE(UPPER($H262)," ",""),"D",""),";",REPT(" ",30)),151,30))),0)+IFERROR(VALUE(TRIM(MID(SUBSTITUTE(SUBSTITUTE(SUBSTITUTE(UPPER($H262)," ",""),"D",""),";",REPT(" ",30)),181,30))),0)+IFERROR(VALUE(TRIM(MID(SUBSTITUTE(SUBSTITUTE(SUBSTITUTE(UPPER($H262)," ",""),"D",""),";",REPT(" ",30)),211,30))),0)))))</f>
        <v/>
      </c>
      <c r="K262" s="26" t="n"/>
      <c r="L262" s="6" t="n"/>
      <c r="M262" s="13" t="n"/>
      <c r="N262" s="27">
        <f>IF($C262="","",IF($E262="Falta","-",MAX(0,MIN(10,8+IFERROR(VALUE(TRIM(MID(SUBSTITUTE(SUBSTITUTE(SUBSTITUTE(UPPER($L262)," ",""),"F",""),";",REPT(" ",30)),1,30))),0)+IFERROR(VALUE(TRIM(MID(SUBSTITUTE(SUBSTITUTE(SUBSTITUTE(UPPER($L262)," ",""),"F",""),";",REPT(" ",30)),31,30))),0)+IFERROR(VALUE(TRIM(MID(SUBSTITUTE(SUBSTITUTE(SUBSTITUTE(UPPER($L262)," ",""),"F",""),";",REPT(" ",30)),61,30))),0)+IFERROR(VALUE(TRIM(MID(SUBSTITUTE(SUBSTITUTE(SUBSTITUTE(UPPER($L262)," ",""),"F",""),";",REPT(" ",30)),91,30))),0)+IFERROR(VALUE(TRIM(MID(SUBSTITUTE(SUBSTITUTE(SUBSTITUTE(UPPER($L262)," ",""),"F",""),";",REPT(" ",30)),121,30))),0)+IFERROR(VALUE(TRIM(MID(SUBSTITUTE(SUBSTITUTE(SUBSTITUTE(UPPER($L262)," ",""),"F",""),";",REPT(" ",30)),151,30))),0)+IFERROR(VALUE(TRIM(MID(SUBSTITUTE(SUBSTITUTE(SUBSTITUTE(UPPER($L262)," ",""),"F",""),";",REPT(" ",30)),181,30))),0)+IFERROR(VALUE(TRIM(MID(SUBSTITUTE(SUBSTITUTE(SUBSTITUTE(UPPER($L262)," ",""),"F",""),";",REPT(" ",30)),211,30))),0)))))</f>
        <v/>
      </c>
      <c r="O262" s="26" t="n"/>
      <c r="P262" s="6" t="n"/>
      <c r="Q262" s="13" t="n"/>
      <c r="R262" s="27">
        <f>IF($C262="","",IF($E262="Falta","-",MAX(0,MIN(10,5+IFERROR(VALUE(TRIM(MID(SUBSTITUTE(SUBSTITUTE(SUBSTITUTE(UPPER($P262)," ",""),"C",""),";",REPT(" ",30)),1,30))),0)+IFERROR(VALUE(TRIM(MID(SUBSTITUTE(SUBSTITUTE(SUBSTITUTE(UPPER($P262)," ",""),"C",""),";",REPT(" ",30)),31,30))),0)+IFERROR(VALUE(TRIM(MID(SUBSTITUTE(SUBSTITUTE(SUBSTITUTE(UPPER($P262)," ",""),"C",""),";",REPT(" ",30)),61,30))),0)+IFERROR(VALUE(TRIM(MID(SUBSTITUTE(SUBSTITUTE(SUBSTITUTE(UPPER($P262)," ",""),"C",""),";",REPT(" ",30)),91,30))),0)+IFERROR(VALUE(TRIM(MID(SUBSTITUTE(SUBSTITUTE(SUBSTITUTE(UPPER($P262)," ",""),"C",""),";",REPT(" ",30)),121,30))),0)+IFERROR(VALUE(TRIM(MID(SUBSTITUTE(SUBSTITUTE(SUBSTITUTE(UPPER($P262)," ",""),"C",""),";",REPT(" ",30)),151,30))),0)+IFERROR(VALUE(TRIM(MID(SUBSTITUTE(SUBSTITUTE(SUBSTITUTE(UPPER($P262)," ",""),"C",""),";",REPT(" ",30)),181,30))),0)+IFERROR(VALUE(TRIM(MID(SUBSTITUTE(SUBSTITUTE(SUBSTITUTE(UPPER($P262)," ",""),"C",""),";",REPT(" ",30)),211,30))),0)))))</f>
        <v/>
      </c>
      <c r="S262" s="26" t="n"/>
      <c r="T262" s="6" t="n"/>
      <c r="U262" s="13" t="n"/>
      <c r="V262" s="27">
        <f>IF($C262="","",IF($E262="Falta","-",MAX(0,MIN(10,5+IFERROR(VALUE(TRIM(MID(SUBSTITUTE(SUBSTITUTE(SUBSTITUTE(UPPER($T262)," ",""),"P",""),";",REPT(" ",30)),1,30))),0)+IFERROR(VALUE(TRIM(MID(SUBSTITUTE(SUBSTITUTE(SUBSTITUTE(UPPER($T262)," ",""),"P",""),";",REPT(" ",30)),31,30))),0)+IFERROR(VALUE(TRIM(MID(SUBSTITUTE(SUBSTITUTE(SUBSTITUTE(UPPER($T262)," ",""),"P",""),";",REPT(" ",30)),61,30))),0)+IFERROR(VALUE(TRIM(MID(SUBSTITUTE(SUBSTITUTE(SUBSTITUTE(UPPER($T262)," ",""),"P",""),";",REPT(" ",30)),91,30))),0)+IFERROR(VALUE(TRIM(MID(SUBSTITUTE(SUBSTITUTE(SUBSTITUTE(UPPER($T262)," ",""),"P",""),";",REPT(" ",30)),121,30))),0)+IFERROR(VALUE(TRIM(MID(SUBSTITUTE(SUBSTITUTE(SUBSTITUTE(UPPER($T262)," ",""),"P",""),";",REPT(" ",30)),151,30))),0)+IFERROR(VALUE(TRIM(MID(SUBSTITUTE(SUBSTITUTE(SUBSTITUTE(UPPER($T262)," ",""),"P",""),";",REPT(" ",30)),181,30))),0)+IFERROR(VALUE(TRIM(MID(SUBSTITUTE(SUBSTITUTE(SUBSTITUTE(UPPER($T262)," ",""),"P",""),";",REPT(" ",30)),211,30))),0)))))</f>
        <v/>
      </c>
      <c r="W262" s="26" t="n"/>
      <c r="X262" s="13" t="n"/>
    </row>
    <row r="263">
      <c r="A263" s="6">
        <f>IF($C263="","",52)</f>
        <v/>
      </c>
      <c r="B263" s="6">
        <f>IF($C263="","","5ª Sessão")</f>
        <v/>
      </c>
      <c r="C263" s="6">
        <f>IF(Preenchimento!$B$61="","",Preenchimento!$B$61)</f>
        <v/>
      </c>
      <c r="D263" s="6">
        <f>IF($C263="","",IF(Preenchimento!$C$61="","-",Preenchimento!$C$61))</f>
        <v/>
      </c>
      <c r="E263" s="6" t="n"/>
      <c r="F263" s="6" t="n"/>
      <c r="G263" s="26" t="n"/>
      <c r="H263" s="6" t="n"/>
      <c r="I263" s="13" t="n"/>
      <c r="J263" s="27">
        <f>IF($C263="","",IF($E263="Falta","-",MAX(0,MIN(10,8+IFERROR(VALUE(TRIM(MID(SUBSTITUTE(SUBSTITUTE(SUBSTITUTE(UPPER($H263)," ",""),"D",""),";",REPT(" ",30)),1,30))),0)+IFERROR(VALUE(TRIM(MID(SUBSTITUTE(SUBSTITUTE(SUBSTITUTE(UPPER($H263)," ",""),"D",""),";",REPT(" ",30)),31,30))),0)+IFERROR(VALUE(TRIM(MID(SUBSTITUTE(SUBSTITUTE(SUBSTITUTE(UPPER($H263)," ",""),"D",""),";",REPT(" ",30)),61,30))),0)+IFERROR(VALUE(TRIM(MID(SUBSTITUTE(SUBSTITUTE(SUBSTITUTE(UPPER($H263)," ",""),"D",""),";",REPT(" ",30)),91,30))),0)+IFERROR(VALUE(TRIM(MID(SUBSTITUTE(SUBSTITUTE(SUBSTITUTE(UPPER($H263)," ",""),"D",""),";",REPT(" ",30)),121,30))),0)+IFERROR(VALUE(TRIM(MID(SUBSTITUTE(SUBSTITUTE(SUBSTITUTE(UPPER($H263)," ",""),"D",""),";",REPT(" ",30)),151,30))),0)+IFERROR(VALUE(TRIM(MID(SUBSTITUTE(SUBSTITUTE(SUBSTITUTE(UPPER($H263)," ",""),"D",""),";",REPT(" ",30)),181,30))),0)+IFERROR(VALUE(TRIM(MID(SUBSTITUTE(SUBSTITUTE(SUBSTITUTE(UPPER($H263)," ",""),"D",""),";",REPT(" ",30)),211,30))),0)))))</f>
        <v/>
      </c>
      <c r="K263" s="26" t="n"/>
      <c r="L263" s="6" t="n"/>
      <c r="M263" s="13" t="n"/>
      <c r="N263" s="27">
        <f>IF($C263="","",IF($E263="Falta","-",MAX(0,MIN(10,8+IFERROR(VALUE(TRIM(MID(SUBSTITUTE(SUBSTITUTE(SUBSTITUTE(UPPER($L263)," ",""),"F",""),";",REPT(" ",30)),1,30))),0)+IFERROR(VALUE(TRIM(MID(SUBSTITUTE(SUBSTITUTE(SUBSTITUTE(UPPER($L263)," ",""),"F",""),";",REPT(" ",30)),31,30))),0)+IFERROR(VALUE(TRIM(MID(SUBSTITUTE(SUBSTITUTE(SUBSTITUTE(UPPER($L263)," ",""),"F",""),";",REPT(" ",30)),61,30))),0)+IFERROR(VALUE(TRIM(MID(SUBSTITUTE(SUBSTITUTE(SUBSTITUTE(UPPER($L263)," ",""),"F",""),";",REPT(" ",30)),91,30))),0)+IFERROR(VALUE(TRIM(MID(SUBSTITUTE(SUBSTITUTE(SUBSTITUTE(UPPER($L263)," ",""),"F",""),";",REPT(" ",30)),121,30))),0)+IFERROR(VALUE(TRIM(MID(SUBSTITUTE(SUBSTITUTE(SUBSTITUTE(UPPER($L263)," ",""),"F",""),";",REPT(" ",30)),151,30))),0)+IFERROR(VALUE(TRIM(MID(SUBSTITUTE(SUBSTITUTE(SUBSTITUTE(UPPER($L263)," ",""),"F",""),";",REPT(" ",30)),181,30))),0)+IFERROR(VALUE(TRIM(MID(SUBSTITUTE(SUBSTITUTE(SUBSTITUTE(UPPER($L263)," ",""),"F",""),";",REPT(" ",30)),211,30))),0)))))</f>
        <v/>
      </c>
      <c r="O263" s="26" t="n"/>
      <c r="P263" s="6" t="n"/>
      <c r="Q263" s="13" t="n"/>
      <c r="R263" s="27">
        <f>IF($C263="","",IF($E263="Falta","-",MAX(0,MIN(10,5+IFERROR(VALUE(TRIM(MID(SUBSTITUTE(SUBSTITUTE(SUBSTITUTE(UPPER($P263)," ",""),"C",""),";",REPT(" ",30)),1,30))),0)+IFERROR(VALUE(TRIM(MID(SUBSTITUTE(SUBSTITUTE(SUBSTITUTE(UPPER($P263)," ",""),"C",""),";",REPT(" ",30)),31,30))),0)+IFERROR(VALUE(TRIM(MID(SUBSTITUTE(SUBSTITUTE(SUBSTITUTE(UPPER($P263)," ",""),"C",""),";",REPT(" ",30)),61,30))),0)+IFERROR(VALUE(TRIM(MID(SUBSTITUTE(SUBSTITUTE(SUBSTITUTE(UPPER($P263)," ",""),"C",""),";",REPT(" ",30)),91,30))),0)+IFERROR(VALUE(TRIM(MID(SUBSTITUTE(SUBSTITUTE(SUBSTITUTE(UPPER($P263)," ",""),"C",""),";",REPT(" ",30)),121,30))),0)+IFERROR(VALUE(TRIM(MID(SUBSTITUTE(SUBSTITUTE(SUBSTITUTE(UPPER($P263)," ",""),"C",""),";",REPT(" ",30)),151,30))),0)+IFERROR(VALUE(TRIM(MID(SUBSTITUTE(SUBSTITUTE(SUBSTITUTE(UPPER($P263)," ",""),"C",""),";",REPT(" ",30)),181,30))),0)+IFERROR(VALUE(TRIM(MID(SUBSTITUTE(SUBSTITUTE(SUBSTITUTE(UPPER($P263)," ",""),"C",""),";",REPT(" ",30)),211,30))),0)))))</f>
        <v/>
      </c>
      <c r="S263" s="26" t="n"/>
      <c r="T263" s="6" t="n"/>
      <c r="U263" s="13" t="n"/>
      <c r="V263" s="27">
        <f>IF($C263="","",IF($E263="Falta","-",MAX(0,MIN(10,5+IFERROR(VALUE(TRIM(MID(SUBSTITUTE(SUBSTITUTE(SUBSTITUTE(UPPER($T263)," ",""),"P",""),";",REPT(" ",30)),1,30))),0)+IFERROR(VALUE(TRIM(MID(SUBSTITUTE(SUBSTITUTE(SUBSTITUTE(UPPER($T263)," ",""),"P",""),";",REPT(" ",30)),31,30))),0)+IFERROR(VALUE(TRIM(MID(SUBSTITUTE(SUBSTITUTE(SUBSTITUTE(UPPER($T263)," ",""),"P",""),";",REPT(" ",30)),61,30))),0)+IFERROR(VALUE(TRIM(MID(SUBSTITUTE(SUBSTITUTE(SUBSTITUTE(UPPER($T263)," ",""),"P",""),";",REPT(" ",30)),91,30))),0)+IFERROR(VALUE(TRIM(MID(SUBSTITUTE(SUBSTITUTE(SUBSTITUTE(UPPER($T263)," ",""),"P",""),";",REPT(" ",30)),121,30))),0)+IFERROR(VALUE(TRIM(MID(SUBSTITUTE(SUBSTITUTE(SUBSTITUTE(UPPER($T263)," ",""),"P",""),";",REPT(" ",30)),151,30))),0)+IFERROR(VALUE(TRIM(MID(SUBSTITUTE(SUBSTITUTE(SUBSTITUTE(UPPER($T263)," ",""),"P",""),";",REPT(" ",30)),181,30))),0)+IFERROR(VALUE(TRIM(MID(SUBSTITUTE(SUBSTITUTE(SUBSTITUTE(UPPER($T263)," ",""),"P",""),";",REPT(" ",30)),211,30))),0)))))</f>
        <v/>
      </c>
      <c r="W263" s="26" t="n"/>
      <c r="X263" s="13" t="n"/>
    </row>
    <row r="264">
      <c r="A264" s="8">
        <f>IF($C264="","",53)</f>
        <v/>
      </c>
      <c r="B264" s="8">
        <f>IF($C264="","","1ª Sessão")</f>
        <v/>
      </c>
      <c r="C264" s="8">
        <f>IF(Preenchimento!$B$62="","",Preenchimento!$B$62)</f>
        <v/>
      </c>
      <c r="D264" s="8">
        <f>IF($C264="","",IF(Preenchimento!$C$62="","-",Preenchimento!$C$62))</f>
        <v/>
      </c>
      <c r="E264" s="8" t="n"/>
      <c r="F264" s="8" t="n"/>
      <c r="G264" s="24" t="n"/>
      <c r="H264" s="8" t="n"/>
      <c r="I264" s="14" t="n"/>
      <c r="J264" s="25">
        <f>IF($C264="","",IF($E264="Falta","-",MAX(0,MIN(10,8+IFERROR(VALUE(TRIM(MID(SUBSTITUTE(SUBSTITUTE(SUBSTITUTE(UPPER($H264)," ",""),"D",""),";",REPT(" ",30)),1,30))),0)+IFERROR(VALUE(TRIM(MID(SUBSTITUTE(SUBSTITUTE(SUBSTITUTE(UPPER($H264)," ",""),"D",""),";",REPT(" ",30)),31,30))),0)+IFERROR(VALUE(TRIM(MID(SUBSTITUTE(SUBSTITUTE(SUBSTITUTE(UPPER($H264)," ",""),"D",""),";",REPT(" ",30)),61,30))),0)+IFERROR(VALUE(TRIM(MID(SUBSTITUTE(SUBSTITUTE(SUBSTITUTE(UPPER($H264)," ",""),"D",""),";",REPT(" ",30)),91,30))),0)+IFERROR(VALUE(TRIM(MID(SUBSTITUTE(SUBSTITUTE(SUBSTITUTE(UPPER($H264)," ",""),"D",""),";",REPT(" ",30)),121,30))),0)+IFERROR(VALUE(TRIM(MID(SUBSTITUTE(SUBSTITUTE(SUBSTITUTE(UPPER($H264)," ",""),"D",""),";",REPT(" ",30)),151,30))),0)+IFERROR(VALUE(TRIM(MID(SUBSTITUTE(SUBSTITUTE(SUBSTITUTE(UPPER($H264)," ",""),"D",""),";",REPT(" ",30)),181,30))),0)+IFERROR(VALUE(TRIM(MID(SUBSTITUTE(SUBSTITUTE(SUBSTITUTE(UPPER($H264)," ",""),"D",""),";",REPT(" ",30)),211,30))),0)))))</f>
        <v/>
      </c>
      <c r="K264" s="24" t="n"/>
      <c r="L264" s="8" t="n"/>
      <c r="M264" s="14" t="n"/>
      <c r="N264" s="25">
        <f>IF($C264="","",IF($E264="Falta","-",MAX(0,MIN(10,8+IFERROR(VALUE(TRIM(MID(SUBSTITUTE(SUBSTITUTE(SUBSTITUTE(UPPER($L264)," ",""),"F",""),";",REPT(" ",30)),1,30))),0)+IFERROR(VALUE(TRIM(MID(SUBSTITUTE(SUBSTITUTE(SUBSTITUTE(UPPER($L264)," ",""),"F",""),";",REPT(" ",30)),31,30))),0)+IFERROR(VALUE(TRIM(MID(SUBSTITUTE(SUBSTITUTE(SUBSTITUTE(UPPER($L264)," ",""),"F",""),";",REPT(" ",30)),61,30))),0)+IFERROR(VALUE(TRIM(MID(SUBSTITUTE(SUBSTITUTE(SUBSTITUTE(UPPER($L264)," ",""),"F",""),";",REPT(" ",30)),91,30))),0)+IFERROR(VALUE(TRIM(MID(SUBSTITUTE(SUBSTITUTE(SUBSTITUTE(UPPER($L264)," ",""),"F",""),";",REPT(" ",30)),121,30))),0)+IFERROR(VALUE(TRIM(MID(SUBSTITUTE(SUBSTITUTE(SUBSTITUTE(UPPER($L264)," ",""),"F",""),";",REPT(" ",30)),151,30))),0)+IFERROR(VALUE(TRIM(MID(SUBSTITUTE(SUBSTITUTE(SUBSTITUTE(UPPER($L264)," ",""),"F",""),";",REPT(" ",30)),181,30))),0)+IFERROR(VALUE(TRIM(MID(SUBSTITUTE(SUBSTITUTE(SUBSTITUTE(UPPER($L264)," ",""),"F",""),";",REPT(" ",30)),211,30))),0)))))</f>
        <v/>
      </c>
      <c r="O264" s="24" t="n"/>
      <c r="P264" s="8" t="n"/>
      <c r="Q264" s="14" t="n"/>
      <c r="R264" s="25">
        <f>IF($C264="","",IF($E264="Falta","-",MAX(0,MIN(10,5+IFERROR(VALUE(TRIM(MID(SUBSTITUTE(SUBSTITUTE(SUBSTITUTE(UPPER($P264)," ",""),"C",""),";",REPT(" ",30)),1,30))),0)+IFERROR(VALUE(TRIM(MID(SUBSTITUTE(SUBSTITUTE(SUBSTITUTE(UPPER($P264)," ",""),"C",""),";",REPT(" ",30)),31,30))),0)+IFERROR(VALUE(TRIM(MID(SUBSTITUTE(SUBSTITUTE(SUBSTITUTE(UPPER($P264)," ",""),"C",""),";",REPT(" ",30)),61,30))),0)+IFERROR(VALUE(TRIM(MID(SUBSTITUTE(SUBSTITUTE(SUBSTITUTE(UPPER($P264)," ",""),"C",""),";",REPT(" ",30)),91,30))),0)+IFERROR(VALUE(TRIM(MID(SUBSTITUTE(SUBSTITUTE(SUBSTITUTE(UPPER($P264)," ",""),"C",""),";",REPT(" ",30)),121,30))),0)+IFERROR(VALUE(TRIM(MID(SUBSTITUTE(SUBSTITUTE(SUBSTITUTE(UPPER($P264)," ",""),"C",""),";",REPT(" ",30)),151,30))),0)+IFERROR(VALUE(TRIM(MID(SUBSTITUTE(SUBSTITUTE(SUBSTITUTE(UPPER($P264)," ",""),"C",""),";",REPT(" ",30)),181,30))),0)+IFERROR(VALUE(TRIM(MID(SUBSTITUTE(SUBSTITUTE(SUBSTITUTE(UPPER($P264)," ",""),"C",""),";",REPT(" ",30)),211,30))),0)))))</f>
        <v/>
      </c>
      <c r="S264" s="24" t="n"/>
      <c r="T264" s="8" t="n"/>
      <c r="U264" s="14" t="n"/>
      <c r="V264" s="25">
        <f>IF($C264="","",IF($E264="Falta","-",MAX(0,MIN(10,5+IFERROR(VALUE(TRIM(MID(SUBSTITUTE(SUBSTITUTE(SUBSTITUTE(UPPER($T264)," ",""),"P",""),";",REPT(" ",30)),1,30))),0)+IFERROR(VALUE(TRIM(MID(SUBSTITUTE(SUBSTITUTE(SUBSTITUTE(UPPER($T264)," ",""),"P",""),";",REPT(" ",30)),31,30))),0)+IFERROR(VALUE(TRIM(MID(SUBSTITUTE(SUBSTITUTE(SUBSTITUTE(UPPER($T264)," ",""),"P",""),";",REPT(" ",30)),61,30))),0)+IFERROR(VALUE(TRIM(MID(SUBSTITUTE(SUBSTITUTE(SUBSTITUTE(UPPER($T264)," ",""),"P",""),";",REPT(" ",30)),91,30))),0)+IFERROR(VALUE(TRIM(MID(SUBSTITUTE(SUBSTITUTE(SUBSTITUTE(UPPER($T264)," ",""),"P",""),";",REPT(" ",30)),121,30))),0)+IFERROR(VALUE(TRIM(MID(SUBSTITUTE(SUBSTITUTE(SUBSTITUTE(UPPER($T264)," ",""),"P",""),";",REPT(" ",30)),151,30))),0)+IFERROR(VALUE(TRIM(MID(SUBSTITUTE(SUBSTITUTE(SUBSTITUTE(UPPER($T264)," ",""),"P",""),";",REPT(" ",30)),181,30))),0)+IFERROR(VALUE(TRIM(MID(SUBSTITUTE(SUBSTITUTE(SUBSTITUTE(UPPER($T264)," ",""),"P",""),";",REPT(" ",30)),211,30))),0)))))</f>
        <v/>
      </c>
      <c r="W264" s="24" t="n"/>
      <c r="X264" s="14" t="n"/>
    </row>
    <row r="265">
      <c r="A265" s="8">
        <f>IF($C265="","",53)</f>
        <v/>
      </c>
      <c r="B265" s="8">
        <f>IF($C265="","","2ª Sessão")</f>
        <v/>
      </c>
      <c r="C265" s="8">
        <f>IF(Preenchimento!$B$62="","",Preenchimento!$B$62)</f>
        <v/>
      </c>
      <c r="D265" s="8">
        <f>IF($C265="","",IF(Preenchimento!$C$62="","-",Preenchimento!$C$62))</f>
        <v/>
      </c>
      <c r="E265" s="8" t="n"/>
      <c r="F265" s="8" t="n"/>
      <c r="G265" s="24" t="n"/>
      <c r="H265" s="8" t="n"/>
      <c r="I265" s="14" t="n"/>
      <c r="J265" s="25">
        <f>IF($C265="","",IF($E265="Falta","-",MAX(0,MIN(10,8+IFERROR(VALUE(TRIM(MID(SUBSTITUTE(SUBSTITUTE(SUBSTITUTE(UPPER($H265)," ",""),"D",""),";",REPT(" ",30)),1,30))),0)+IFERROR(VALUE(TRIM(MID(SUBSTITUTE(SUBSTITUTE(SUBSTITUTE(UPPER($H265)," ",""),"D",""),";",REPT(" ",30)),31,30))),0)+IFERROR(VALUE(TRIM(MID(SUBSTITUTE(SUBSTITUTE(SUBSTITUTE(UPPER($H265)," ",""),"D",""),";",REPT(" ",30)),61,30))),0)+IFERROR(VALUE(TRIM(MID(SUBSTITUTE(SUBSTITUTE(SUBSTITUTE(UPPER($H265)," ",""),"D",""),";",REPT(" ",30)),91,30))),0)+IFERROR(VALUE(TRIM(MID(SUBSTITUTE(SUBSTITUTE(SUBSTITUTE(UPPER($H265)," ",""),"D",""),";",REPT(" ",30)),121,30))),0)+IFERROR(VALUE(TRIM(MID(SUBSTITUTE(SUBSTITUTE(SUBSTITUTE(UPPER($H265)," ",""),"D",""),";",REPT(" ",30)),151,30))),0)+IFERROR(VALUE(TRIM(MID(SUBSTITUTE(SUBSTITUTE(SUBSTITUTE(UPPER($H265)," ",""),"D",""),";",REPT(" ",30)),181,30))),0)+IFERROR(VALUE(TRIM(MID(SUBSTITUTE(SUBSTITUTE(SUBSTITUTE(UPPER($H265)," ",""),"D",""),";",REPT(" ",30)),211,30))),0)))))</f>
        <v/>
      </c>
      <c r="K265" s="24" t="n"/>
      <c r="L265" s="8" t="n"/>
      <c r="M265" s="14" t="n"/>
      <c r="N265" s="25">
        <f>IF($C265="","",IF($E265="Falta","-",MAX(0,MIN(10,8+IFERROR(VALUE(TRIM(MID(SUBSTITUTE(SUBSTITUTE(SUBSTITUTE(UPPER($L265)," ",""),"F",""),";",REPT(" ",30)),1,30))),0)+IFERROR(VALUE(TRIM(MID(SUBSTITUTE(SUBSTITUTE(SUBSTITUTE(UPPER($L265)," ",""),"F",""),";",REPT(" ",30)),31,30))),0)+IFERROR(VALUE(TRIM(MID(SUBSTITUTE(SUBSTITUTE(SUBSTITUTE(UPPER($L265)," ",""),"F",""),";",REPT(" ",30)),61,30))),0)+IFERROR(VALUE(TRIM(MID(SUBSTITUTE(SUBSTITUTE(SUBSTITUTE(UPPER($L265)," ",""),"F",""),";",REPT(" ",30)),91,30))),0)+IFERROR(VALUE(TRIM(MID(SUBSTITUTE(SUBSTITUTE(SUBSTITUTE(UPPER($L265)," ",""),"F",""),";",REPT(" ",30)),121,30))),0)+IFERROR(VALUE(TRIM(MID(SUBSTITUTE(SUBSTITUTE(SUBSTITUTE(UPPER($L265)," ",""),"F",""),";",REPT(" ",30)),151,30))),0)+IFERROR(VALUE(TRIM(MID(SUBSTITUTE(SUBSTITUTE(SUBSTITUTE(UPPER($L265)," ",""),"F",""),";",REPT(" ",30)),181,30))),0)+IFERROR(VALUE(TRIM(MID(SUBSTITUTE(SUBSTITUTE(SUBSTITUTE(UPPER($L265)," ",""),"F",""),";",REPT(" ",30)),211,30))),0)))))</f>
        <v/>
      </c>
      <c r="O265" s="24" t="n"/>
      <c r="P265" s="8" t="n"/>
      <c r="Q265" s="14" t="n"/>
      <c r="R265" s="25">
        <f>IF($C265="","",IF($E265="Falta","-",MAX(0,MIN(10,5+IFERROR(VALUE(TRIM(MID(SUBSTITUTE(SUBSTITUTE(SUBSTITUTE(UPPER($P265)," ",""),"C",""),";",REPT(" ",30)),1,30))),0)+IFERROR(VALUE(TRIM(MID(SUBSTITUTE(SUBSTITUTE(SUBSTITUTE(UPPER($P265)," ",""),"C",""),";",REPT(" ",30)),31,30))),0)+IFERROR(VALUE(TRIM(MID(SUBSTITUTE(SUBSTITUTE(SUBSTITUTE(UPPER($P265)," ",""),"C",""),";",REPT(" ",30)),61,30))),0)+IFERROR(VALUE(TRIM(MID(SUBSTITUTE(SUBSTITUTE(SUBSTITUTE(UPPER($P265)," ",""),"C",""),";",REPT(" ",30)),91,30))),0)+IFERROR(VALUE(TRIM(MID(SUBSTITUTE(SUBSTITUTE(SUBSTITUTE(UPPER($P265)," ",""),"C",""),";",REPT(" ",30)),121,30))),0)+IFERROR(VALUE(TRIM(MID(SUBSTITUTE(SUBSTITUTE(SUBSTITUTE(UPPER($P265)," ",""),"C",""),";",REPT(" ",30)),151,30))),0)+IFERROR(VALUE(TRIM(MID(SUBSTITUTE(SUBSTITUTE(SUBSTITUTE(UPPER($P265)," ",""),"C",""),";",REPT(" ",30)),181,30))),0)+IFERROR(VALUE(TRIM(MID(SUBSTITUTE(SUBSTITUTE(SUBSTITUTE(UPPER($P265)," ",""),"C",""),";",REPT(" ",30)),211,30))),0)))))</f>
        <v/>
      </c>
      <c r="S265" s="24" t="n"/>
      <c r="T265" s="8" t="n"/>
      <c r="U265" s="14" t="n"/>
      <c r="V265" s="25">
        <f>IF($C265="","",IF($E265="Falta","-",MAX(0,MIN(10,5+IFERROR(VALUE(TRIM(MID(SUBSTITUTE(SUBSTITUTE(SUBSTITUTE(UPPER($T265)," ",""),"P",""),";",REPT(" ",30)),1,30))),0)+IFERROR(VALUE(TRIM(MID(SUBSTITUTE(SUBSTITUTE(SUBSTITUTE(UPPER($T265)," ",""),"P",""),";",REPT(" ",30)),31,30))),0)+IFERROR(VALUE(TRIM(MID(SUBSTITUTE(SUBSTITUTE(SUBSTITUTE(UPPER($T265)," ",""),"P",""),";",REPT(" ",30)),61,30))),0)+IFERROR(VALUE(TRIM(MID(SUBSTITUTE(SUBSTITUTE(SUBSTITUTE(UPPER($T265)," ",""),"P",""),";",REPT(" ",30)),91,30))),0)+IFERROR(VALUE(TRIM(MID(SUBSTITUTE(SUBSTITUTE(SUBSTITUTE(UPPER($T265)," ",""),"P",""),";",REPT(" ",30)),121,30))),0)+IFERROR(VALUE(TRIM(MID(SUBSTITUTE(SUBSTITUTE(SUBSTITUTE(UPPER($T265)," ",""),"P",""),";",REPT(" ",30)),151,30))),0)+IFERROR(VALUE(TRIM(MID(SUBSTITUTE(SUBSTITUTE(SUBSTITUTE(UPPER($T265)," ",""),"P",""),";",REPT(" ",30)),181,30))),0)+IFERROR(VALUE(TRIM(MID(SUBSTITUTE(SUBSTITUTE(SUBSTITUTE(UPPER($T265)," ",""),"P",""),";",REPT(" ",30)),211,30))),0)))))</f>
        <v/>
      </c>
      <c r="W265" s="24" t="n"/>
      <c r="X265" s="14" t="n"/>
    </row>
    <row r="266">
      <c r="A266" s="8">
        <f>IF($C266="","",53)</f>
        <v/>
      </c>
      <c r="B266" s="8">
        <f>IF($C266="","","3ª Sessão")</f>
        <v/>
      </c>
      <c r="C266" s="8">
        <f>IF(Preenchimento!$B$62="","",Preenchimento!$B$62)</f>
        <v/>
      </c>
      <c r="D266" s="8">
        <f>IF($C266="","",IF(Preenchimento!$C$62="","-",Preenchimento!$C$62))</f>
        <v/>
      </c>
      <c r="E266" s="8" t="n"/>
      <c r="F266" s="8" t="n"/>
      <c r="G266" s="24" t="n"/>
      <c r="H266" s="8" t="n"/>
      <c r="I266" s="14" t="n"/>
      <c r="J266" s="25">
        <f>IF($C266="","",IF($E266="Falta","-",MAX(0,MIN(10,8+IFERROR(VALUE(TRIM(MID(SUBSTITUTE(SUBSTITUTE(SUBSTITUTE(UPPER($H266)," ",""),"D",""),";",REPT(" ",30)),1,30))),0)+IFERROR(VALUE(TRIM(MID(SUBSTITUTE(SUBSTITUTE(SUBSTITUTE(UPPER($H266)," ",""),"D",""),";",REPT(" ",30)),31,30))),0)+IFERROR(VALUE(TRIM(MID(SUBSTITUTE(SUBSTITUTE(SUBSTITUTE(UPPER($H266)," ",""),"D",""),";",REPT(" ",30)),61,30))),0)+IFERROR(VALUE(TRIM(MID(SUBSTITUTE(SUBSTITUTE(SUBSTITUTE(UPPER($H266)," ",""),"D",""),";",REPT(" ",30)),91,30))),0)+IFERROR(VALUE(TRIM(MID(SUBSTITUTE(SUBSTITUTE(SUBSTITUTE(UPPER($H266)," ",""),"D",""),";",REPT(" ",30)),121,30))),0)+IFERROR(VALUE(TRIM(MID(SUBSTITUTE(SUBSTITUTE(SUBSTITUTE(UPPER($H266)," ",""),"D",""),";",REPT(" ",30)),151,30))),0)+IFERROR(VALUE(TRIM(MID(SUBSTITUTE(SUBSTITUTE(SUBSTITUTE(UPPER($H266)," ",""),"D",""),";",REPT(" ",30)),181,30))),0)+IFERROR(VALUE(TRIM(MID(SUBSTITUTE(SUBSTITUTE(SUBSTITUTE(UPPER($H266)," ",""),"D",""),";",REPT(" ",30)),211,30))),0)))))</f>
        <v/>
      </c>
      <c r="K266" s="24" t="n"/>
      <c r="L266" s="8" t="n"/>
      <c r="M266" s="14" t="n"/>
      <c r="N266" s="25">
        <f>IF($C266="","",IF($E266="Falta","-",MAX(0,MIN(10,8+IFERROR(VALUE(TRIM(MID(SUBSTITUTE(SUBSTITUTE(SUBSTITUTE(UPPER($L266)," ",""),"F",""),";",REPT(" ",30)),1,30))),0)+IFERROR(VALUE(TRIM(MID(SUBSTITUTE(SUBSTITUTE(SUBSTITUTE(UPPER($L266)," ",""),"F",""),";",REPT(" ",30)),31,30))),0)+IFERROR(VALUE(TRIM(MID(SUBSTITUTE(SUBSTITUTE(SUBSTITUTE(UPPER($L266)," ",""),"F",""),";",REPT(" ",30)),61,30))),0)+IFERROR(VALUE(TRIM(MID(SUBSTITUTE(SUBSTITUTE(SUBSTITUTE(UPPER($L266)," ",""),"F",""),";",REPT(" ",30)),91,30))),0)+IFERROR(VALUE(TRIM(MID(SUBSTITUTE(SUBSTITUTE(SUBSTITUTE(UPPER($L266)," ",""),"F",""),";",REPT(" ",30)),121,30))),0)+IFERROR(VALUE(TRIM(MID(SUBSTITUTE(SUBSTITUTE(SUBSTITUTE(UPPER($L266)," ",""),"F",""),";",REPT(" ",30)),151,30))),0)+IFERROR(VALUE(TRIM(MID(SUBSTITUTE(SUBSTITUTE(SUBSTITUTE(UPPER($L266)," ",""),"F",""),";",REPT(" ",30)),181,30))),0)+IFERROR(VALUE(TRIM(MID(SUBSTITUTE(SUBSTITUTE(SUBSTITUTE(UPPER($L266)," ",""),"F",""),";",REPT(" ",30)),211,30))),0)))))</f>
        <v/>
      </c>
      <c r="O266" s="24" t="n"/>
      <c r="P266" s="8" t="n"/>
      <c r="Q266" s="14" t="n"/>
      <c r="R266" s="25">
        <f>IF($C266="","",IF($E266="Falta","-",MAX(0,MIN(10,5+IFERROR(VALUE(TRIM(MID(SUBSTITUTE(SUBSTITUTE(SUBSTITUTE(UPPER($P266)," ",""),"C",""),";",REPT(" ",30)),1,30))),0)+IFERROR(VALUE(TRIM(MID(SUBSTITUTE(SUBSTITUTE(SUBSTITUTE(UPPER($P266)," ",""),"C",""),";",REPT(" ",30)),31,30))),0)+IFERROR(VALUE(TRIM(MID(SUBSTITUTE(SUBSTITUTE(SUBSTITUTE(UPPER($P266)," ",""),"C",""),";",REPT(" ",30)),61,30))),0)+IFERROR(VALUE(TRIM(MID(SUBSTITUTE(SUBSTITUTE(SUBSTITUTE(UPPER($P266)," ",""),"C",""),";",REPT(" ",30)),91,30))),0)+IFERROR(VALUE(TRIM(MID(SUBSTITUTE(SUBSTITUTE(SUBSTITUTE(UPPER($P266)," ",""),"C",""),";",REPT(" ",30)),121,30))),0)+IFERROR(VALUE(TRIM(MID(SUBSTITUTE(SUBSTITUTE(SUBSTITUTE(UPPER($P266)," ",""),"C",""),";",REPT(" ",30)),151,30))),0)+IFERROR(VALUE(TRIM(MID(SUBSTITUTE(SUBSTITUTE(SUBSTITUTE(UPPER($P266)," ",""),"C",""),";",REPT(" ",30)),181,30))),0)+IFERROR(VALUE(TRIM(MID(SUBSTITUTE(SUBSTITUTE(SUBSTITUTE(UPPER($P266)," ",""),"C",""),";",REPT(" ",30)),211,30))),0)))))</f>
        <v/>
      </c>
      <c r="S266" s="24" t="n"/>
      <c r="T266" s="8" t="n"/>
      <c r="U266" s="14" t="n"/>
      <c r="V266" s="25">
        <f>IF($C266="","",IF($E266="Falta","-",MAX(0,MIN(10,5+IFERROR(VALUE(TRIM(MID(SUBSTITUTE(SUBSTITUTE(SUBSTITUTE(UPPER($T266)," ",""),"P",""),";",REPT(" ",30)),1,30))),0)+IFERROR(VALUE(TRIM(MID(SUBSTITUTE(SUBSTITUTE(SUBSTITUTE(UPPER($T266)," ",""),"P",""),";",REPT(" ",30)),31,30))),0)+IFERROR(VALUE(TRIM(MID(SUBSTITUTE(SUBSTITUTE(SUBSTITUTE(UPPER($T266)," ",""),"P",""),";",REPT(" ",30)),61,30))),0)+IFERROR(VALUE(TRIM(MID(SUBSTITUTE(SUBSTITUTE(SUBSTITUTE(UPPER($T266)," ",""),"P",""),";",REPT(" ",30)),91,30))),0)+IFERROR(VALUE(TRIM(MID(SUBSTITUTE(SUBSTITUTE(SUBSTITUTE(UPPER($T266)," ",""),"P",""),";",REPT(" ",30)),121,30))),0)+IFERROR(VALUE(TRIM(MID(SUBSTITUTE(SUBSTITUTE(SUBSTITUTE(UPPER($T266)," ",""),"P",""),";",REPT(" ",30)),151,30))),0)+IFERROR(VALUE(TRIM(MID(SUBSTITUTE(SUBSTITUTE(SUBSTITUTE(UPPER($T266)," ",""),"P",""),";",REPT(" ",30)),181,30))),0)+IFERROR(VALUE(TRIM(MID(SUBSTITUTE(SUBSTITUTE(SUBSTITUTE(UPPER($T266)," ",""),"P",""),";",REPT(" ",30)),211,30))),0)))))</f>
        <v/>
      </c>
      <c r="W266" s="24" t="n"/>
      <c r="X266" s="14" t="n"/>
    </row>
    <row r="267">
      <c r="A267" s="8">
        <f>IF($C267="","",53)</f>
        <v/>
      </c>
      <c r="B267" s="8">
        <f>IF($C267="","","4ª Sessão")</f>
        <v/>
      </c>
      <c r="C267" s="8">
        <f>IF(Preenchimento!$B$62="","",Preenchimento!$B$62)</f>
        <v/>
      </c>
      <c r="D267" s="8">
        <f>IF($C267="","",IF(Preenchimento!$C$62="","-",Preenchimento!$C$62))</f>
        <v/>
      </c>
      <c r="E267" s="8" t="n"/>
      <c r="F267" s="8" t="n"/>
      <c r="G267" s="24" t="n"/>
      <c r="H267" s="8" t="n"/>
      <c r="I267" s="14" t="n"/>
      <c r="J267" s="25">
        <f>IF($C267="","",IF($E267="Falta","-",MAX(0,MIN(10,8+IFERROR(VALUE(TRIM(MID(SUBSTITUTE(SUBSTITUTE(SUBSTITUTE(UPPER($H267)," ",""),"D",""),";",REPT(" ",30)),1,30))),0)+IFERROR(VALUE(TRIM(MID(SUBSTITUTE(SUBSTITUTE(SUBSTITUTE(UPPER($H267)," ",""),"D",""),";",REPT(" ",30)),31,30))),0)+IFERROR(VALUE(TRIM(MID(SUBSTITUTE(SUBSTITUTE(SUBSTITUTE(UPPER($H267)," ",""),"D",""),";",REPT(" ",30)),61,30))),0)+IFERROR(VALUE(TRIM(MID(SUBSTITUTE(SUBSTITUTE(SUBSTITUTE(UPPER($H267)," ",""),"D",""),";",REPT(" ",30)),91,30))),0)+IFERROR(VALUE(TRIM(MID(SUBSTITUTE(SUBSTITUTE(SUBSTITUTE(UPPER($H267)," ",""),"D",""),";",REPT(" ",30)),121,30))),0)+IFERROR(VALUE(TRIM(MID(SUBSTITUTE(SUBSTITUTE(SUBSTITUTE(UPPER($H267)," ",""),"D",""),";",REPT(" ",30)),151,30))),0)+IFERROR(VALUE(TRIM(MID(SUBSTITUTE(SUBSTITUTE(SUBSTITUTE(UPPER($H267)," ",""),"D",""),";",REPT(" ",30)),181,30))),0)+IFERROR(VALUE(TRIM(MID(SUBSTITUTE(SUBSTITUTE(SUBSTITUTE(UPPER($H267)," ",""),"D",""),";",REPT(" ",30)),211,30))),0)))))</f>
        <v/>
      </c>
      <c r="K267" s="24" t="n"/>
      <c r="L267" s="8" t="n"/>
      <c r="M267" s="14" t="n"/>
      <c r="N267" s="25">
        <f>IF($C267="","",IF($E267="Falta","-",MAX(0,MIN(10,8+IFERROR(VALUE(TRIM(MID(SUBSTITUTE(SUBSTITUTE(SUBSTITUTE(UPPER($L267)," ",""),"F",""),";",REPT(" ",30)),1,30))),0)+IFERROR(VALUE(TRIM(MID(SUBSTITUTE(SUBSTITUTE(SUBSTITUTE(UPPER($L267)," ",""),"F",""),";",REPT(" ",30)),31,30))),0)+IFERROR(VALUE(TRIM(MID(SUBSTITUTE(SUBSTITUTE(SUBSTITUTE(UPPER($L267)," ",""),"F",""),";",REPT(" ",30)),61,30))),0)+IFERROR(VALUE(TRIM(MID(SUBSTITUTE(SUBSTITUTE(SUBSTITUTE(UPPER($L267)," ",""),"F",""),";",REPT(" ",30)),91,30))),0)+IFERROR(VALUE(TRIM(MID(SUBSTITUTE(SUBSTITUTE(SUBSTITUTE(UPPER($L267)," ",""),"F",""),";",REPT(" ",30)),121,30))),0)+IFERROR(VALUE(TRIM(MID(SUBSTITUTE(SUBSTITUTE(SUBSTITUTE(UPPER($L267)," ",""),"F",""),";",REPT(" ",30)),151,30))),0)+IFERROR(VALUE(TRIM(MID(SUBSTITUTE(SUBSTITUTE(SUBSTITUTE(UPPER($L267)," ",""),"F",""),";",REPT(" ",30)),181,30))),0)+IFERROR(VALUE(TRIM(MID(SUBSTITUTE(SUBSTITUTE(SUBSTITUTE(UPPER($L267)," ",""),"F",""),";",REPT(" ",30)),211,30))),0)))))</f>
        <v/>
      </c>
      <c r="O267" s="24" t="n"/>
      <c r="P267" s="8" t="n"/>
      <c r="Q267" s="14" t="n"/>
      <c r="R267" s="25">
        <f>IF($C267="","",IF($E267="Falta","-",MAX(0,MIN(10,5+IFERROR(VALUE(TRIM(MID(SUBSTITUTE(SUBSTITUTE(SUBSTITUTE(UPPER($P267)," ",""),"C",""),";",REPT(" ",30)),1,30))),0)+IFERROR(VALUE(TRIM(MID(SUBSTITUTE(SUBSTITUTE(SUBSTITUTE(UPPER($P267)," ",""),"C",""),";",REPT(" ",30)),31,30))),0)+IFERROR(VALUE(TRIM(MID(SUBSTITUTE(SUBSTITUTE(SUBSTITUTE(UPPER($P267)," ",""),"C",""),";",REPT(" ",30)),61,30))),0)+IFERROR(VALUE(TRIM(MID(SUBSTITUTE(SUBSTITUTE(SUBSTITUTE(UPPER($P267)," ",""),"C",""),";",REPT(" ",30)),91,30))),0)+IFERROR(VALUE(TRIM(MID(SUBSTITUTE(SUBSTITUTE(SUBSTITUTE(UPPER($P267)," ",""),"C",""),";",REPT(" ",30)),121,30))),0)+IFERROR(VALUE(TRIM(MID(SUBSTITUTE(SUBSTITUTE(SUBSTITUTE(UPPER($P267)," ",""),"C",""),";",REPT(" ",30)),151,30))),0)+IFERROR(VALUE(TRIM(MID(SUBSTITUTE(SUBSTITUTE(SUBSTITUTE(UPPER($P267)," ",""),"C",""),";",REPT(" ",30)),181,30))),0)+IFERROR(VALUE(TRIM(MID(SUBSTITUTE(SUBSTITUTE(SUBSTITUTE(UPPER($P267)," ",""),"C",""),";",REPT(" ",30)),211,30))),0)))))</f>
        <v/>
      </c>
      <c r="S267" s="24" t="n"/>
      <c r="T267" s="8" t="n"/>
      <c r="U267" s="14" t="n"/>
      <c r="V267" s="25">
        <f>IF($C267="","",IF($E267="Falta","-",MAX(0,MIN(10,5+IFERROR(VALUE(TRIM(MID(SUBSTITUTE(SUBSTITUTE(SUBSTITUTE(UPPER($T267)," ",""),"P",""),";",REPT(" ",30)),1,30))),0)+IFERROR(VALUE(TRIM(MID(SUBSTITUTE(SUBSTITUTE(SUBSTITUTE(UPPER($T267)," ",""),"P",""),";",REPT(" ",30)),31,30))),0)+IFERROR(VALUE(TRIM(MID(SUBSTITUTE(SUBSTITUTE(SUBSTITUTE(UPPER($T267)," ",""),"P",""),";",REPT(" ",30)),61,30))),0)+IFERROR(VALUE(TRIM(MID(SUBSTITUTE(SUBSTITUTE(SUBSTITUTE(UPPER($T267)," ",""),"P",""),";",REPT(" ",30)),91,30))),0)+IFERROR(VALUE(TRIM(MID(SUBSTITUTE(SUBSTITUTE(SUBSTITUTE(UPPER($T267)," ",""),"P",""),";",REPT(" ",30)),121,30))),0)+IFERROR(VALUE(TRIM(MID(SUBSTITUTE(SUBSTITUTE(SUBSTITUTE(UPPER($T267)," ",""),"P",""),";",REPT(" ",30)),151,30))),0)+IFERROR(VALUE(TRIM(MID(SUBSTITUTE(SUBSTITUTE(SUBSTITUTE(UPPER($T267)," ",""),"P",""),";",REPT(" ",30)),181,30))),0)+IFERROR(VALUE(TRIM(MID(SUBSTITUTE(SUBSTITUTE(SUBSTITUTE(UPPER($T267)," ",""),"P",""),";",REPT(" ",30)),211,30))),0)))))</f>
        <v/>
      </c>
      <c r="W267" s="24" t="n"/>
      <c r="X267" s="14" t="n"/>
    </row>
    <row r="268">
      <c r="A268" s="8">
        <f>IF($C268="","",53)</f>
        <v/>
      </c>
      <c r="B268" s="8">
        <f>IF($C268="","","5ª Sessão")</f>
        <v/>
      </c>
      <c r="C268" s="8">
        <f>IF(Preenchimento!$B$62="","",Preenchimento!$B$62)</f>
        <v/>
      </c>
      <c r="D268" s="8">
        <f>IF($C268="","",IF(Preenchimento!$C$62="","-",Preenchimento!$C$62))</f>
        <v/>
      </c>
      <c r="E268" s="8" t="n"/>
      <c r="F268" s="8" t="n"/>
      <c r="G268" s="24" t="n"/>
      <c r="H268" s="8" t="n"/>
      <c r="I268" s="14" t="n"/>
      <c r="J268" s="25">
        <f>IF($C268="","",IF($E268="Falta","-",MAX(0,MIN(10,8+IFERROR(VALUE(TRIM(MID(SUBSTITUTE(SUBSTITUTE(SUBSTITUTE(UPPER($H268)," ",""),"D",""),";",REPT(" ",30)),1,30))),0)+IFERROR(VALUE(TRIM(MID(SUBSTITUTE(SUBSTITUTE(SUBSTITUTE(UPPER($H268)," ",""),"D",""),";",REPT(" ",30)),31,30))),0)+IFERROR(VALUE(TRIM(MID(SUBSTITUTE(SUBSTITUTE(SUBSTITUTE(UPPER($H268)," ",""),"D",""),";",REPT(" ",30)),61,30))),0)+IFERROR(VALUE(TRIM(MID(SUBSTITUTE(SUBSTITUTE(SUBSTITUTE(UPPER($H268)," ",""),"D",""),";",REPT(" ",30)),91,30))),0)+IFERROR(VALUE(TRIM(MID(SUBSTITUTE(SUBSTITUTE(SUBSTITUTE(UPPER($H268)," ",""),"D",""),";",REPT(" ",30)),121,30))),0)+IFERROR(VALUE(TRIM(MID(SUBSTITUTE(SUBSTITUTE(SUBSTITUTE(UPPER($H268)," ",""),"D",""),";",REPT(" ",30)),151,30))),0)+IFERROR(VALUE(TRIM(MID(SUBSTITUTE(SUBSTITUTE(SUBSTITUTE(UPPER($H268)," ",""),"D",""),";",REPT(" ",30)),181,30))),0)+IFERROR(VALUE(TRIM(MID(SUBSTITUTE(SUBSTITUTE(SUBSTITUTE(UPPER($H268)," ",""),"D",""),";",REPT(" ",30)),211,30))),0)))))</f>
        <v/>
      </c>
      <c r="K268" s="24" t="n"/>
      <c r="L268" s="8" t="n"/>
      <c r="M268" s="14" t="n"/>
      <c r="N268" s="25">
        <f>IF($C268="","",IF($E268="Falta","-",MAX(0,MIN(10,8+IFERROR(VALUE(TRIM(MID(SUBSTITUTE(SUBSTITUTE(SUBSTITUTE(UPPER($L268)," ",""),"F",""),";",REPT(" ",30)),1,30))),0)+IFERROR(VALUE(TRIM(MID(SUBSTITUTE(SUBSTITUTE(SUBSTITUTE(UPPER($L268)," ",""),"F",""),";",REPT(" ",30)),31,30))),0)+IFERROR(VALUE(TRIM(MID(SUBSTITUTE(SUBSTITUTE(SUBSTITUTE(UPPER($L268)," ",""),"F",""),";",REPT(" ",30)),61,30))),0)+IFERROR(VALUE(TRIM(MID(SUBSTITUTE(SUBSTITUTE(SUBSTITUTE(UPPER($L268)," ",""),"F",""),";",REPT(" ",30)),91,30))),0)+IFERROR(VALUE(TRIM(MID(SUBSTITUTE(SUBSTITUTE(SUBSTITUTE(UPPER($L268)," ",""),"F",""),";",REPT(" ",30)),121,30))),0)+IFERROR(VALUE(TRIM(MID(SUBSTITUTE(SUBSTITUTE(SUBSTITUTE(UPPER($L268)," ",""),"F",""),";",REPT(" ",30)),151,30))),0)+IFERROR(VALUE(TRIM(MID(SUBSTITUTE(SUBSTITUTE(SUBSTITUTE(UPPER($L268)," ",""),"F",""),";",REPT(" ",30)),181,30))),0)+IFERROR(VALUE(TRIM(MID(SUBSTITUTE(SUBSTITUTE(SUBSTITUTE(UPPER($L268)," ",""),"F",""),";",REPT(" ",30)),211,30))),0)))))</f>
        <v/>
      </c>
      <c r="O268" s="24" t="n"/>
      <c r="P268" s="8" t="n"/>
      <c r="Q268" s="14" t="n"/>
      <c r="R268" s="25">
        <f>IF($C268="","",IF($E268="Falta","-",MAX(0,MIN(10,5+IFERROR(VALUE(TRIM(MID(SUBSTITUTE(SUBSTITUTE(SUBSTITUTE(UPPER($P268)," ",""),"C",""),";",REPT(" ",30)),1,30))),0)+IFERROR(VALUE(TRIM(MID(SUBSTITUTE(SUBSTITUTE(SUBSTITUTE(UPPER($P268)," ",""),"C",""),";",REPT(" ",30)),31,30))),0)+IFERROR(VALUE(TRIM(MID(SUBSTITUTE(SUBSTITUTE(SUBSTITUTE(UPPER($P268)," ",""),"C",""),";",REPT(" ",30)),61,30))),0)+IFERROR(VALUE(TRIM(MID(SUBSTITUTE(SUBSTITUTE(SUBSTITUTE(UPPER($P268)," ",""),"C",""),";",REPT(" ",30)),91,30))),0)+IFERROR(VALUE(TRIM(MID(SUBSTITUTE(SUBSTITUTE(SUBSTITUTE(UPPER($P268)," ",""),"C",""),";",REPT(" ",30)),121,30))),0)+IFERROR(VALUE(TRIM(MID(SUBSTITUTE(SUBSTITUTE(SUBSTITUTE(UPPER($P268)," ",""),"C",""),";",REPT(" ",30)),151,30))),0)+IFERROR(VALUE(TRIM(MID(SUBSTITUTE(SUBSTITUTE(SUBSTITUTE(UPPER($P268)," ",""),"C",""),";",REPT(" ",30)),181,30))),0)+IFERROR(VALUE(TRIM(MID(SUBSTITUTE(SUBSTITUTE(SUBSTITUTE(UPPER($P268)," ",""),"C",""),";",REPT(" ",30)),211,30))),0)))))</f>
        <v/>
      </c>
      <c r="S268" s="24" t="n"/>
      <c r="T268" s="8" t="n"/>
      <c r="U268" s="14" t="n"/>
      <c r="V268" s="25">
        <f>IF($C268="","",IF($E268="Falta","-",MAX(0,MIN(10,5+IFERROR(VALUE(TRIM(MID(SUBSTITUTE(SUBSTITUTE(SUBSTITUTE(UPPER($T268)," ",""),"P",""),";",REPT(" ",30)),1,30))),0)+IFERROR(VALUE(TRIM(MID(SUBSTITUTE(SUBSTITUTE(SUBSTITUTE(UPPER($T268)," ",""),"P",""),";",REPT(" ",30)),31,30))),0)+IFERROR(VALUE(TRIM(MID(SUBSTITUTE(SUBSTITUTE(SUBSTITUTE(UPPER($T268)," ",""),"P",""),";",REPT(" ",30)),61,30))),0)+IFERROR(VALUE(TRIM(MID(SUBSTITUTE(SUBSTITUTE(SUBSTITUTE(UPPER($T268)," ",""),"P",""),";",REPT(" ",30)),91,30))),0)+IFERROR(VALUE(TRIM(MID(SUBSTITUTE(SUBSTITUTE(SUBSTITUTE(UPPER($T268)," ",""),"P",""),";",REPT(" ",30)),121,30))),0)+IFERROR(VALUE(TRIM(MID(SUBSTITUTE(SUBSTITUTE(SUBSTITUTE(UPPER($T268)," ",""),"P",""),";",REPT(" ",30)),151,30))),0)+IFERROR(VALUE(TRIM(MID(SUBSTITUTE(SUBSTITUTE(SUBSTITUTE(UPPER($T268)," ",""),"P",""),";",REPT(" ",30)),181,30))),0)+IFERROR(VALUE(TRIM(MID(SUBSTITUTE(SUBSTITUTE(SUBSTITUTE(UPPER($T268)," ",""),"P",""),";",REPT(" ",30)),211,30))),0)))))</f>
        <v/>
      </c>
      <c r="W268" s="24" t="n"/>
      <c r="X268" s="14" t="n"/>
    </row>
    <row r="269">
      <c r="A269" s="6">
        <f>IF($C269="","",54)</f>
        <v/>
      </c>
      <c r="B269" s="6">
        <f>IF($C269="","","1ª Sessão")</f>
        <v/>
      </c>
      <c r="C269" s="6">
        <f>IF(Preenchimento!$B$63="","",Preenchimento!$B$63)</f>
        <v/>
      </c>
      <c r="D269" s="6">
        <f>IF($C269="","",IF(Preenchimento!$C$63="","-",Preenchimento!$C$63))</f>
        <v/>
      </c>
      <c r="E269" s="6" t="n"/>
      <c r="F269" s="6" t="n"/>
      <c r="G269" s="26" t="n"/>
      <c r="H269" s="6" t="n"/>
      <c r="I269" s="13" t="n"/>
      <c r="J269" s="27">
        <f>IF($C269="","",IF($E269="Falta","-",MAX(0,MIN(10,8+IFERROR(VALUE(TRIM(MID(SUBSTITUTE(SUBSTITUTE(SUBSTITUTE(UPPER($H269)," ",""),"D",""),";",REPT(" ",30)),1,30))),0)+IFERROR(VALUE(TRIM(MID(SUBSTITUTE(SUBSTITUTE(SUBSTITUTE(UPPER($H269)," ",""),"D",""),";",REPT(" ",30)),31,30))),0)+IFERROR(VALUE(TRIM(MID(SUBSTITUTE(SUBSTITUTE(SUBSTITUTE(UPPER($H269)," ",""),"D",""),";",REPT(" ",30)),61,30))),0)+IFERROR(VALUE(TRIM(MID(SUBSTITUTE(SUBSTITUTE(SUBSTITUTE(UPPER($H269)," ",""),"D",""),";",REPT(" ",30)),91,30))),0)+IFERROR(VALUE(TRIM(MID(SUBSTITUTE(SUBSTITUTE(SUBSTITUTE(UPPER($H269)," ",""),"D",""),";",REPT(" ",30)),121,30))),0)+IFERROR(VALUE(TRIM(MID(SUBSTITUTE(SUBSTITUTE(SUBSTITUTE(UPPER($H269)," ",""),"D",""),";",REPT(" ",30)),151,30))),0)+IFERROR(VALUE(TRIM(MID(SUBSTITUTE(SUBSTITUTE(SUBSTITUTE(UPPER($H269)," ",""),"D",""),";",REPT(" ",30)),181,30))),0)+IFERROR(VALUE(TRIM(MID(SUBSTITUTE(SUBSTITUTE(SUBSTITUTE(UPPER($H269)," ",""),"D",""),";",REPT(" ",30)),211,30))),0)))))</f>
        <v/>
      </c>
      <c r="K269" s="26" t="n"/>
      <c r="L269" s="6" t="n"/>
      <c r="M269" s="13" t="n"/>
      <c r="N269" s="27">
        <f>IF($C269="","",IF($E269="Falta","-",MAX(0,MIN(10,8+IFERROR(VALUE(TRIM(MID(SUBSTITUTE(SUBSTITUTE(SUBSTITUTE(UPPER($L269)," ",""),"F",""),";",REPT(" ",30)),1,30))),0)+IFERROR(VALUE(TRIM(MID(SUBSTITUTE(SUBSTITUTE(SUBSTITUTE(UPPER($L269)," ",""),"F",""),";",REPT(" ",30)),31,30))),0)+IFERROR(VALUE(TRIM(MID(SUBSTITUTE(SUBSTITUTE(SUBSTITUTE(UPPER($L269)," ",""),"F",""),";",REPT(" ",30)),61,30))),0)+IFERROR(VALUE(TRIM(MID(SUBSTITUTE(SUBSTITUTE(SUBSTITUTE(UPPER($L269)," ",""),"F",""),";",REPT(" ",30)),91,30))),0)+IFERROR(VALUE(TRIM(MID(SUBSTITUTE(SUBSTITUTE(SUBSTITUTE(UPPER($L269)," ",""),"F",""),";",REPT(" ",30)),121,30))),0)+IFERROR(VALUE(TRIM(MID(SUBSTITUTE(SUBSTITUTE(SUBSTITUTE(UPPER($L269)," ",""),"F",""),";",REPT(" ",30)),151,30))),0)+IFERROR(VALUE(TRIM(MID(SUBSTITUTE(SUBSTITUTE(SUBSTITUTE(UPPER($L269)," ",""),"F",""),";",REPT(" ",30)),181,30))),0)+IFERROR(VALUE(TRIM(MID(SUBSTITUTE(SUBSTITUTE(SUBSTITUTE(UPPER($L269)," ",""),"F",""),";",REPT(" ",30)),211,30))),0)))))</f>
        <v/>
      </c>
      <c r="O269" s="26" t="n"/>
      <c r="P269" s="6" t="n"/>
      <c r="Q269" s="13" t="n"/>
      <c r="R269" s="27">
        <f>IF($C269="","",IF($E269="Falta","-",MAX(0,MIN(10,5+IFERROR(VALUE(TRIM(MID(SUBSTITUTE(SUBSTITUTE(SUBSTITUTE(UPPER($P269)," ",""),"C",""),";",REPT(" ",30)),1,30))),0)+IFERROR(VALUE(TRIM(MID(SUBSTITUTE(SUBSTITUTE(SUBSTITUTE(UPPER($P269)," ",""),"C",""),";",REPT(" ",30)),31,30))),0)+IFERROR(VALUE(TRIM(MID(SUBSTITUTE(SUBSTITUTE(SUBSTITUTE(UPPER($P269)," ",""),"C",""),";",REPT(" ",30)),61,30))),0)+IFERROR(VALUE(TRIM(MID(SUBSTITUTE(SUBSTITUTE(SUBSTITUTE(UPPER($P269)," ",""),"C",""),";",REPT(" ",30)),91,30))),0)+IFERROR(VALUE(TRIM(MID(SUBSTITUTE(SUBSTITUTE(SUBSTITUTE(UPPER($P269)," ",""),"C",""),";",REPT(" ",30)),121,30))),0)+IFERROR(VALUE(TRIM(MID(SUBSTITUTE(SUBSTITUTE(SUBSTITUTE(UPPER($P269)," ",""),"C",""),";",REPT(" ",30)),151,30))),0)+IFERROR(VALUE(TRIM(MID(SUBSTITUTE(SUBSTITUTE(SUBSTITUTE(UPPER($P269)," ",""),"C",""),";",REPT(" ",30)),181,30))),0)+IFERROR(VALUE(TRIM(MID(SUBSTITUTE(SUBSTITUTE(SUBSTITUTE(UPPER($P269)," ",""),"C",""),";",REPT(" ",30)),211,30))),0)))))</f>
        <v/>
      </c>
      <c r="S269" s="26" t="n"/>
      <c r="T269" s="6" t="n"/>
      <c r="U269" s="13" t="n"/>
      <c r="V269" s="27">
        <f>IF($C269="","",IF($E269="Falta","-",MAX(0,MIN(10,5+IFERROR(VALUE(TRIM(MID(SUBSTITUTE(SUBSTITUTE(SUBSTITUTE(UPPER($T269)," ",""),"P",""),";",REPT(" ",30)),1,30))),0)+IFERROR(VALUE(TRIM(MID(SUBSTITUTE(SUBSTITUTE(SUBSTITUTE(UPPER($T269)," ",""),"P",""),";",REPT(" ",30)),31,30))),0)+IFERROR(VALUE(TRIM(MID(SUBSTITUTE(SUBSTITUTE(SUBSTITUTE(UPPER($T269)," ",""),"P",""),";",REPT(" ",30)),61,30))),0)+IFERROR(VALUE(TRIM(MID(SUBSTITUTE(SUBSTITUTE(SUBSTITUTE(UPPER($T269)," ",""),"P",""),";",REPT(" ",30)),91,30))),0)+IFERROR(VALUE(TRIM(MID(SUBSTITUTE(SUBSTITUTE(SUBSTITUTE(UPPER($T269)," ",""),"P",""),";",REPT(" ",30)),121,30))),0)+IFERROR(VALUE(TRIM(MID(SUBSTITUTE(SUBSTITUTE(SUBSTITUTE(UPPER($T269)," ",""),"P",""),";",REPT(" ",30)),151,30))),0)+IFERROR(VALUE(TRIM(MID(SUBSTITUTE(SUBSTITUTE(SUBSTITUTE(UPPER($T269)," ",""),"P",""),";",REPT(" ",30)),181,30))),0)+IFERROR(VALUE(TRIM(MID(SUBSTITUTE(SUBSTITUTE(SUBSTITUTE(UPPER($T269)," ",""),"P",""),";",REPT(" ",30)),211,30))),0)))))</f>
        <v/>
      </c>
      <c r="W269" s="26" t="n"/>
      <c r="X269" s="13" t="n"/>
    </row>
    <row r="270">
      <c r="A270" s="6">
        <f>IF($C270="","",54)</f>
        <v/>
      </c>
      <c r="B270" s="6">
        <f>IF($C270="","","2ª Sessão")</f>
        <v/>
      </c>
      <c r="C270" s="6">
        <f>IF(Preenchimento!$B$63="","",Preenchimento!$B$63)</f>
        <v/>
      </c>
      <c r="D270" s="6">
        <f>IF($C270="","",IF(Preenchimento!$C$63="","-",Preenchimento!$C$63))</f>
        <v/>
      </c>
      <c r="E270" s="6" t="n"/>
      <c r="F270" s="6" t="n"/>
      <c r="G270" s="26" t="n"/>
      <c r="H270" s="6" t="n"/>
      <c r="I270" s="13" t="n"/>
      <c r="J270" s="27">
        <f>IF($C270="","",IF($E270="Falta","-",MAX(0,MIN(10,8+IFERROR(VALUE(TRIM(MID(SUBSTITUTE(SUBSTITUTE(SUBSTITUTE(UPPER($H270)," ",""),"D",""),";",REPT(" ",30)),1,30))),0)+IFERROR(VALUE(TRIM(MID(SUBSTITUTE(SUBSTITUTE(SUBSTITUTE(UPPER($H270)," ",""),"D",""),";",REPT(" ",30)),31,30))),0)+IFERROR(VALUE(TRIM(MID(SUBSTITUTE(SUBSTITUTE(SUBSTITUTE(UPPER($H270)," ",""),"D",""),";",REPT(" ",30)),61,30))),0)+IFERROR(VALUE(TRIM(MID(SUBSTITUTE(SUBSTITUTE(SUBSTITUTE(UPPER($H270)," ",""),"D",""),";",REPT(" ",30)),91,30))),0)+IFERROR(VALUE(TRIM(MID(SUBSTITUTE(SUBSTITUTE(SUBSTITUTE(UPPER($H270)," ",""),"D",""),";",REPT(" ",30)),121,30))),0)+IFERROR(VALUE(TRIM(MID(SUBSTITUTE(SUBSTITUTE(SUBSTITUTE(UPPER($H270)," ",""),"D",""),";",REPT(" ",30)),151,30))),0)+IFERROR(VALUE(TRIM(MID(SUBSTITUTE(SUBSTITUTE(SUBSTITUTE(UPPER($H270)," ",""),"D",""),";",REPT(" ",30)),181,30))),0)+IFERROR(VALUE(TRIM(MID(SUBSTITUTE(SUBSTITUTE(SUBSTITUTE(UPPER($H270)," ",""),"D",""),";",REPT(" ",30)),211,30))),0)))))</f>
        <v/>
      </c>
      <c r="K270" s="26" t="n"/>
      <c r="L270" s="6" t="n"/>
      <c r="M270" s="13" t="n"/>
      <c r="N270" s="27">
        <f>IF($C270="","",IF($E270="Falta","-",MAX(0,MIN(10,8+IFERROR(VALUE(TRIM(MID(SUBSTITUTE(SUBSTITUTE(SUBSTITUTE(UPPER($L270)," ",""),"F",""),";",REPT(" ",30)),1,30))),0)+IFERROR(VALUE(TRIM(MID(SUBSTITUTE(SUBSTITUTE(SUBSTITUTE(UPPER($L270)," ",""),"F",""),";",REPT(" ",30)),31,30))),0)+IFERROR(VALUE(TRIM(MID(SUBSTITUTE(SUBSTITUTE(SUBSTITUTE(UPPER($L270)," ",""),"F",""),";",REPT(" ",30)),61,30))),0)+IFERROR(VALUE(TRIM(MID(SUBSTITUTE(SUBSTITUTE(SUBSTITUTE(UPPER($L270)," ",""),"F",""),";",REPT(" ",30)),91,30))),0)+IFERROR(VALUE(TRIM(MID(SUBSTITUTE(SUBSTITUTE(SUBSTITUTE(UPPER($L270)," ",""),"F",""),";",REPT(" ",30)),121,30))),0)+IFERROR(VALUE(TRIM(MID(SUBSTITUTE(SUBSTITUTE(SUBSTITUTE(UPPER($L270)," ",""),"F",""),";",REPT(" ",30)),151,30))),0)+IFERROR(VALUE(TRIM(MID(SUBSTITUTE(SUBSTITUTE(SUBSTITUTE(UPPER($L270)," ",""),"F",""),";",REPT(" ",30)),181,30))),0)+IFERROR(VALUE(TRIM(MID(SUBSTITUTE(SUBSTITUTE(SUBSTITUTE(UPPER($L270)," ",""),"F",""),";",REPT(" ",30)),211,30))),0)))))</f>
        <v/>
      </c>
      <c r="O270" s="26" t="n"/>
      <c r="P270" s="6" t="n"/>
      <c r="Q270" s="13" t="n"/>
      <c r="R270" s="27">
        <f>IF($C270="","",IF($E270="Falta","-",MAX(0,MIN(10,5+IFERROR(VALUE(TRIM(MID(SUBSTITUTE(SUBSTITUTE(SUBSTITUTE(UPPER($P270)," ",""),"C",""),";",REPT(" ",30)),1,30))),0)+IFERROR(VALUE(TRIM(MID(SUBSTITUTE(SUBSTITUTE(SUBSTITUTE(UPPER($P270)," ",""),"C",""),";",REPT(" ",30)),31,30))),0)+IFERROR(VALUE(TRIM(MID(SUBSTITUTE(SUBSTITUTE(SUBSTITUTE(UPPER($P270)," ",""),"C",""),";",REPT(" ",30)),61,30))),0)+IFERROR(VALUE(TRIM(MID(SUBSTITUTE(SUBSTITUTE(SUBSTITUTE(UPPER($P270)," ",""),"C",""),";",REPT(" ",30)),91,30))),0)+IFERROR(VALUE(TRIM(MID(SUBSTITUTE(SUBSTITUTE(SUBSTITUTE(UPPER($P270)," ",""),"C",""),";",REPT(" ",30)),121,30))),0)+IFERROR(VALUE(TRIM(MID(SUBSTITUTE(SUBSTITUTE(SUBSTITUTE(UPPER($P270)," ",""),"C",""),";",REPT(" ",30)),151,30))),0)+IFERROR(VALUE(TRIM(MID(SUBSTITUTE(SUBSTITUTE(SUBSTITUTE(UPPER($P270)," ",""),"C",""),";",REPT(" ",30)),181,30))),0)+IFERROR(VALUE(TRIM(MID(SUBSTITUTE(SUBSTITUTE(SUBSTITUTE(UPPER($P270)," ",""),"C",""),";",REPT(" ",30)),211,30))),0)))))</f>
        <v/>
      </c>
      <c r="S270" s="26" t="n"/>
      <c r="T270" s="6" t="n"/>
      <c r="U270" s="13" t="n"/>
      <c r="V270" s="27">
        <f>IF($C270="","",IF($E270="Falta","-",MAX(0,MIN(10,5+IFERROR(VALUE(TRIM(MID(SUBSTITUTE(SUBSTITUTE(SUBSTITUTE(UPPER($T270)," ",""),"P",""),";",REPT(" ",30)),1,30))),0)+IFERROR(VALUE(TRIM(MID(SUBSTITUTE(SUBSTITUTE(SUBSTITUTE(UPPER($T270)," ",""),"P",""),";",REPT(" ",30)),31,30))),0)+IFERROR(VALUE(TRIM(MID(SUBSTITUTE(SUBSTITUTE(SUBSTITUTE(UPPER($T270)," ",""),"P",""),";",REPT(" ",30)),61,30))),0)+IFERROR(VALUE(TRIM(MID(SUBSTITUTE(SUBSTITUTE(SUBSTITUTE(UPPER($T270)," ",""),"P",""),";",REPT(" ",30)),91,30))),0)+IFERROR(VALUE(TRIM(MID(SUBSTITUTE(SUBSTITUTE(SUBSTITUTE(UPPER($T270)," ",""),"P",""),";",REPT(" ",30)),121,30))),0)+IFERROR(VALUE(TRIM(MID(SUBSTITUTE(SUBSTITUTE(SUBSTITUTE(UPPER($T270)," ",""),"P",""),";",REPT(" ",30)),151,30))),0)+IFERROR(VALUE(TRIM(MID(SUBSTITUTE(SUBSTITUTE(SUBSTITUTE(UPPER($T270)," ",""),"P",""),";",REPT(" ",30)),181,30))),0)+IFERROR(VALUE(TRIM(MID(SUBSTITUTE(SUBSTITUTE(SUBSTITUTE(UPPER($T270)," ",""),"P",""),";",REPT(" ",30)),211,30))),0)))))</f>
        <v/>
      </c>
      <c r="W270" s="26" t="n"/>
      <c r="X270" s="13" t="n"/>
    </row>
    <row r="271">
      <c r="A271" s="6">
        <f>IF($C271="","",54)</f>
        <v/>
      </c>
      <c r="B271" s="6">
        <f>IF($C271="","","3ª Sessão")</f>
        <v/>
      </c>
      <c r="C271" s="6">
        <f>IF(Preenchimento!$B$63="","",Preenchimento!$B$63)</f>
        <v/>
      </c>
      <c r="D271" s="6">
        <f>IF($C271="","",IF(Preenchimento!$C$63="","-",Preenchimento!$C$63))</f>
        <v/>
      </c>
      <c r="E271" s="6" t="n"/>
      <c r="F271" s="6" t="n"/>
      <c r="G271" s="26" t="n"/>
      <c r="H271" s="6" t="n"/>
      <c r="I271" s="13" t="n"/>
      <c r="J271" s="27">
        <f>IF($C271="","",IF($E271="Falta","-",MAX(0,MIN(10,8+IFERROR(VALUE(TRIM(MID(SUBSTITUTE(SUBSTITUTE(SUBSTITUTE(UPPER($H271)," ",""),"D",""),";",REPT(" ",30)),1,30))),0)+IFERROR(VALUE(TRIM(MID(SUBSTITUTE(SUBSTITUTE(SUBSTITUTE(UPPER($H271)," ",""),"D",""),";",REPT(" ",30)),31,30))),0)+IFERROR(VALUE(TRIM(MID(SUBSTITUTE(SUBSTITUTE(SUBSTITUTE(UPPER($H271)," ",""),"D",""),";",REPT(" ",30)),61,30))),0)+IFERROR(VALUE(TRIM(MID(SUBSTITUTE(SUBSTITUTE(SUBSTITUTE(UPPER($H271)," ",""),"D",""),";",REPT(" ",30)),91,30))),0)+IFERROR(VALUE(TRIM(MID(SUBSTITUTE(SUBSTITUTE(SUBSTITUTE(UPPER($H271)," ",""),"D",""),";",REPT(" ",30)),121,30))),0)+IFERROR(VALUE(TRIM(MID(SUBSTITUTE(SUBSTITUTE(SUBSTITUTE(UPPER($H271)," ",""),"D",""),";",REPT(" ",30)),151,30))),0)+IFERROR(VALUE(TRIM(MID(SUBSTITUTE(SUBSTITUTE(SUBSTITUTE(UPPER($H271)," ",""),"D",""),";",REPT(" ",30)),181,30))),0)+IFERROR(VALUE(TRIM(MID(SUBSTITUTE(SUBSTITUTE(SUBSTITUTE(UPPER($H271)," ",""),"D",""),";",REPT(" ",30)),211,30))),0)))))</f>
        <v/>
      </c>
      <c r="K271" s="26" t="n"/>
      <c r="L271" s="6" t="n"/>
      <c r="M271" s="13" t="n"/>
      <c r="N271" s="27">
        <f>IF($C271="","",IF($E271="Falta","-",MAX(0,MIN(10,8+IFERROR(VALUE(TRIM(MID(SUBSTITUTE(SUBSTITUTE(SUBSTITUTE(UPPER($L271)," ",""),"F",""),";",REPT(" ",30)),1,30))),0)+IFERROR(VALUE(TRIM(MID(SUBSTITUTE(SUBSTITUTE(SUBSTITUTE(UPPER($L271)," ",""),"F",""),";",REPT(" ",30)),31,30))),0)+IFERROR(VALUE(TRIM(MID(SUBSTITUTE(SUBSTITUTE(SUBSTITUTE(UPPER($L271)," ",""),"F",""),";",REPT(" ",30)),61,30))),0)+IFERROR(VALUE(TRIM(MID(SUBSTITUTE(SUBSTITUTE(SUBSTITUTE(UPPER($L271)," ",""),"F",""),";",REPT(" ",30)),91,30))),0)+IFERROR(VALUE(TRIM(MID(SUBSTITUTE(SUBSTITUTE(SUBSTITUTE(UPPER($L271)," ",""),"F",""),";",REPT(" ",30)),121,30))),0)+IFERROR(VALUE(TRIM(MID(SUBSTITUTE(SUBSTITUTE(SUBSTITUTE(UPPER($L271)," ",""),"F",""),";",REPT(" ",30)),151,30))),0)+IFERROR(VALUE(TRIM(MID(SUBSTITUTE(SUBSTITUTE(SUBSTITUTE(UPPER($L271)," ",""),"F",""),";",REPT(" ",30)),181,30))),0)+IFERROR(VALUE(TRIM(MID(SUBSTITUTE(SUBSTITUTE(SUBSTITUTE(UPPER($L271)," ",""),"F",""),";",REPT(" ",30)),211,30))),0)))))</f>
        <v/>
      </c>
      <c r="O271" s="26" t="n"/>
      <c r="P271" s="6" t="n"/>
      <c r="Q271" s="13" t="n"/>
      <c r="R271" s="27">
        <f>IF($C271="","",IF($E271="Falta","-",MAX(0,MIN(10,5+IFERROR(VALUE(TRIM(MID(SUBSTITUTE(SUBSTITUTE(SUBSTITUTE(UPPER($P271)," ",""),"C",""),";",REPT(" ",30)),1,30))),0)+IFERROR(VALUE(TRIM(MID(SUBSTITUTE(SUBSTITUTE(SUBSTITUTE(UPPER($P271)," ",""),"C",""),";",REPT(" ",30)),31,30))),0)+IFERROR(VALUE(TRIM(MID(SUBSTITUTE(SUBSTITUTE(SUBSTITUTE(UPPER($P271)," ",""),"C",""),";",REPT(" ",30)),61,30))),0)+IFERROR(VALUE(TRIM(MID(SUBSTITUTE(SUBSTITUTE(SUBSTITUTE(UPPER($P271)," ",""),"C",""),";",REPT(" ",30)),91,30))),0)+IFERROR(VALUE(TRIM(MID(SUBSTITUTE(SUBSTITUTE(SUBSTITUTE(UPPER($P271)," ",""),"C",""),";",REPT(" ",30)),121,30))),0)+IFERROR(VALUE(TRIM(MID(SUBSTITUTE(SUBSTITUTE(SUBSTITUTE(UPPER($P271)," ",""),"C",""),";",REPT(" ",30)),151,30))),0)+IFERROR(VALUE(TRIM(MID(SUBSTITUTE(SUBSTITUTE(SUBSTITUTE(UPPER($P271)," ",""),"C",""),";",REPT(" ",30)),181,30))),0)+IFERROR(VALUE(TRIM(MID(SUBSTITUTE(SUBSTITUTE(SUBSTITUTE(UPPER($P271)," ",""),"C",""),";",REPT(" ",30)),211,30))),0)))))</f>
        <v/>
      </c>
      <c r="S271" s="26" t="n"/>
      <c r="T271" s="6" t="n"/>
      <c r="U271" s="13" t="n"/>
      <c r="V271" s="27">
        <f>IF($C271="","",IF($E271="Falta","-",MAX(0,MIN(10,5+IFERROR(VALUE(TRIM(MID(SUBSTITUTE(SUBSTITUTE(SUBSTITUTE(UPPER($T271)," ",""),"P",""),";",REPT(" ",30)),1,30))),0)+IFERROR(VALUE(TRIM(MID(SUBSTITUTE(SUBSTITUTE(SUBSTITUTE(UPPER($T271)," ",""),"P",""),";",REPT(" ",30)),31,30))),0)+IFERROR(VALUE(TRIM(MID(SUBSTITUTE(SUBSTITUTE(SUBSTITUTE(UPPER($T271)," ",""),"P",""),";",REPT(" ",30)),61,30))),0)+IFERROR(VALUE(TRIM(MID(SUBSTITUTE(SUBSTITUTE(SUBSTITUTE(UPPER($T271)," ",""),"P",""),";",REPT(" ",30)),91,30))),0)+IFERROR(VALUE(TRIM(MID(SUBSTITUTE(SUBSTITUTE(SUBSTITUTE(UPPER($T271)," ",""),"P",""),";",REPT(" ",30)),121,30))),0)+IFERROR(VALUE(TRIM(MID(SUBSTITUTE(SUBSTITUTE(SUBSTITUTE(UPPER($T271)," ",""),"P",""),";",REPT(" ",30)),151,30))),0)+IFERROR(VALUE(TRIM(MID(SUBSTITUTE(SUBSTITUTE(SUBSTITUTE(UPPER($T271)," ",""),"P",""),";",REPT(" ",30)),181,30))),0)+IFERROR(VALUE(TRIM(MID(SUBSTITUTE(SUBSTITUTE(SUBSTITUTE(UPPER($T271)," ",""),"P",""),";",REPT(" ",30)),211,30))),0)))))</f>
        <v/>
      </c>
      <c r="W271" s="26" t="n"/>
      <c r="X271" s="13" t="n"/>
    </row>
    <row r="272">
      <c r="A272" s="6">
        <f>IF($C272="","",54)</f>
        <v/>
      </c>
      <c r="B272" s="6">
        <f>IF($C272="","","4ª Sessão")</f>
        <v/>
      </c>
      <c r="C272" s="6">
        <f>IF(Preenchimento!$B$63="","",Preenchimento!$B$63)</f>
        <v/>
      </c>
      <c r="D272" s="6">
        <f>IF($C272="","",IF(Preenchimento!$C$63="","-",Preenchimento!$C$63))</f>
        <v/>
      </c>
      <c r="E272" s="6" t="n"/>
      <c r="F272" s="6" t="n"/>
      <c r="G272" s="26" t="n"/>
      <c r="H272" s="6" t="n"/>
      <c r="I272" s="13" t="n"/>
      <c r="J272" s="27">
        <f>IF($C272="","",IF($E272="Falta","-",MAX(0,MIN(10,8+IFERROR(VALUE(TRIM(MID(SUBSTITUTE(SUBSTITUTE(SUBSTITUTE(UPPER($H272)," ",""),"D",""),";",REPT(" ",30)),1,30))),0)+IFERROR(VALUE(TRIM(MID(SUBSTITUTE(SUBSTITUTE(SUBSTITUTE(UPPER($H272)," ",""),"D",""),";",REPT(" ",30)),31,30))),0)+IFERROR(VALUE(TRIM(MID(SUBSTITUTE(SUBSTITUTE(SUBSTITUTE(UPPER($H272)," ",""),"D",""),";",REPT(" ",30)),61,30))),0)+IFERROR(VALUE(TRIM(MID(SUBSTITUTE(SUBSTITUTE(SUBSTITUTE(UPPER($H272)," ",""),"D",""),";",REPT(" ",30)),91,30))),0)+IFERROR(VALUE(TRIM(MID(SUBSTITUTE(SUBSTITUTE(SUBSTITUTE(UPPER($H272)," ",""),"D",""),";",REPT(" ",30)),121,30))),0)+IFERROR(VALUE(TRIM(MID(SUBSTITUTE(SUBSTITUTE(SUBSTITUTE(UPPER($H272)," ",""),"D",""),";",REPT(" ",30)),151,30))),0)+IFERROR(VALUE(TRIM(MID(SUBSTITUTE(SUBSTITUTE(SUBSTITUTE(UPPER($H272)," ",""),"D",""),";",REPT(" ",30)),181,30))),0)+IFERROR(VALUE(TRIM(MID(SUBSTITUTE(SUBSTITUTE(SUBSTITUTE(UPPER($H272)," ",""),"D",""),";",REPT(" ",30)),211,30))),0)))))</f>
        <v/>
      </c>
      <c r="K272" s="26" t="n"/>
      <c r="L272" s="6" t="n"/>
      <c r="M272" s="13" t="n"/>
      <c r="N272" s="27">
        <f>IF($C272="","",IF($E272="Falta","-",MAX(0,MIN(10,8+IFERROR(VALUE(TRIM(MID(SUBSTITUTE(SUBSTITUTE(SUBSTITUTE(UPPER($L272)," ",""),"F",""),";",REPT(" ",30)),1,30))),0)+IFERROR(VALUE(TRIM(MID(SUBSTITUTE(SUBSTITUTE(SUBSTITUTE(UPPER($L272)," ",""),"F",""),";",REPT(" ",30)),31,30))),0)+IFERROR(VALUE(TRIM(MID(SUBSTITUTE(SUBSTITUTE(SUBSTITUTE(UPPER($L272)," ",""),"F",""),";",REPT(" ",30)),61,30))),0)+IFERROR(VALUE(TRIM(MID(SUBSTITUTE(SUBSTITUTE(SUBSTITUTE(UPPER($L272)," ",""),"F",""),";",REPT(" ",30)),91,30))),0)+IFERROR(VALUE(TRIM(MID(SUBSTITUTE(SUBSTITUTE(SUBSTITUTE(UPPER($L272)," ",""),"F",""),";",REPT(" ",30)),121,30))),0)+IFERROR(VALUE(TRIM(MID(SUBSTITUTE(SUBSTITUTE(SUBSTITUTE(UPPER($L272)," ",""),"F",""),";",REPT(" ",30)),151,30))),0)+IFERROR(VALUE(TRIM(MID(SUBSTITUTE(SUBSTITUTE(SUBSTITUTE(UPPER($L272)," ",""),"F",""),";",REPT(" ",30)),181,30))),0)+IFERROR(VALUE(TRIM(MID(SUBSTITUTE(SUBSTITUTE(SUBSTITUTE(UPPER($L272)," ",""),"F",""),";",REPT(" ",30)),211,30))),0)))))</f>
        <v/>
      </c>
      <c r="O272" s="26" t="n"/>
      <c r="P272" s="6" t="n"/>
      <c r="Q272" s="13" t="n"/>
      <c r="R272" s="27">
        <f>IF($C272="","",IF($E272="Falta","-",MAX(0,MIN(10,5+IFERROR(VALUE(TRIM(MID(SUBSTITUTE(SUBSTITUTE(SUBSTITUTE(UPPER($P272)," ",""),"C",""),";",REPT(" ",30)),1,30))),0)+IFERROR(VALUE(TRIM(MID(SUBSTITUTE(SUBSTITUTE(SUBSTITUTE(UPPER($P272)," ",""),"C",""),";",REPT(" ",30)),31,30))),0)+IFERROR(VALUE(TRIM(MID(SUBSTITUTE(SUBSTITUTE(SUBSTITUTE(UPPER($P272)," ",""),"C",""),";",REPT(" ",30)),61,30))),0)+IFERROR(VALUE(TRIM(MID(SUBSTITUTE(SUBSTITUTE(SUBSTITUTE(UPPER($P272)," ",""),"C",""),";",REPT(" ",30)),91,30))),0)+IFERROR(VALUE(TRIM(MID(SUBSTITUTE(SUBSTITUTE(SUBSTITUTE(UPPER($P272)," ",""),"C",""),";",REPT(" ",30)),121,30))),0)+IFERROR(VALUE(TRIM(MID(SUBSTITUTE(SUBSTITUTE(SUBSTITUTE(UPPER($P272)," ",""),"C",""),";",REPT(" ",30)),151,30))),0)+IFERROR(VALUE(TRIM(MID(SUBSTITUTE(SUBSTITUTE(SUBSTITUTE(UPPER($P272)," ",""),"C",""),";",REPT(" ",30)),181,30))),0)+IFERROR(VALUE(TRIM(MID(SUBSTITUTE(SUBSTITUTE(SUBSTITUTE(UPPER($P272)," ",""),"C",""),";",REPT(" ",30)),211,30))),0)))))</f>
        <v/>
      </c>
      <c r="S272" s="26" t="n"/>
      <c r="T272" s="6" t="n"/>
      <c r="U272" s="13" t="n"/>
      <c r="V272" s="27">
        <f>IF($C272="","",IF($E272="Falta","-",MAX(0,MIN(10,5+IFERROR(VALUE(TRIM(MID(SUBSTITUTE(SUBSTITUTE(SUBSTITUTE(UPPER($T272)," ",""),"P",""),";",REPT(" ",30)),1,30))),0)+IFERROR(VALUE(TRIM(MID(SUBSTITUTE(SUBSTITUTE(SUBSTITUTE(UPPER($T272)," ",""),"P",""),";",REPT(" ",30)),31,30))),0)+IFERROR(VALUE(TRIM(MID(SUBSTITUTE(SUBSTITUTE(SUBSTITUTE(UPPER($T272)," ",""),"P",""),";",REPT(" ",30)),61,30))),0)+IFERROR(VALUE(TRIM(MID(SUBSTITUTE(SUBSTITUTE(SUBSTITUTE(UPPER($T272)," ",""),"P",""),";",REPT(" ",30)),91,30))),0)+IFERROR(VALUE(TRIM(MID(SUBSTITUTE(SUBSTITUTE(SUBSTITUTE(UPPER($T272)," ",""),"P",""),";",REPT(" ",30)),121,30))),0)+IFERROR(VALUE(TRIM(MID(SUBSTITUTE(SUBSTITUTE(SUBSTITUTE(UPPER($T272)," ",""),"P",""),";",REPT(" ",30)),151,30))),0)+IFERROR(VALUE(TRIM(MID(SUBSTITUTE(SUBSTITUTE(SUBSTITUTE(UPPER($T272)," ",""),"P",""),";",REPT(" ",30)),181,30))),0)+IFERROR(VALUE(TRIM(MID(SUBSTITUTE(SUBSTITUTE(SUBSTITUTE(UPPER($T272)," ",""),"P",""),";",REPT(" ",30)),211,30))),0)))))</f>
        <v/>
      </c>
      <c r="W272" s="26" t="n"/>
      <c r="X272" s="13" t="n"/>
    </row>
    <row r="273">
      <c r="A273" s="6">
        <f>IF($C273="","",54)</f>
        <v/>
      </c>
      <c r="B273" s="6">
        <f>IF($C273="","","5ª Sessão")</f>
        <v/>
      </c>
      <c r="C273" s="6">
        <f>IF(Preenchimento!$B$63="","",Preenchimento!$B$63)</f>
        <v/>
      </c>
      <c r="D273" s="6">
        <f>IF($C273="","",IF(Preenchimento!$C$63="","-",Preenchimento!$C$63))</f>
        <v/>
      </c>
      <c r="E273" s="6" t="n"/>
      <c r="F273" s="6" t="n"/>
      <c r="G273" s="26" t="n"/>
      <c r="H273" s="6" t="n"/>
      <c r="I273" s="13" t="n"/>
      <c r="J273" s="27">
        <f>IF($C273="","",IF($E273="Falta","-",MAX(0,MIN(10,8+IFERROR(VALUE(TRIM(MID(SUBSTITUTE(SUBSTITUTE(SUBSTITUTE(UPPER($H273)," ",""),"D",""),";",REPT(" ",30)),1,30))),0)+IFERROR(VALUE(TRIM(MID(SUBSTITUTE(SUBSTITUTE(SUBSTITUTE(UPPER($H273)," ",""),"D",""),";",REPT(" ",30)),31,30))),0)+IFERROR(VALUE(TRIM(MID(SUBSTITUTE(SUBSTITUTE(SUBSTITUTE(UPPER($H273)," ",""),"D",""),";",REPT(" ",30)),61,30))),0)+IFERROR(VALUE(TRIM(MID(SUBSTITUTE(SUBSTITUTE(SUBSTITUTE(UPPER($H273)," ",""),"D",""),";",REPT(" ",30)),91,30))),0)+IFERROR(VALUE(TRIM(MID(SUBSTITUTE(SUBSTITUTE(SUBSTITUTE(UPPER($H273)," ",""),"D",""),";",REPT(" ",30)),121,30))),0)+IFERROR(VALUE(TRIM(MID(SUBSTITUTE(SUBSTITUTE(SUBSTITUTE(UPPER($H273)," ",""),"D",""),";",REPT(" ",30)),151,30))),0)+IFERROR(VALUE(TRIM(MID(SUBSTITUTE(SUBSTITUTE(SUBSTITUTE(UPPER($H273)," ",""),"D",""),";",REPT(" ",30)),181,30))),0)+IFERROR(VALUE(TRIM(MID(SUBSTITUTE(SUBSTITUTE(SUBSTITUTE(UPPER($H273)," ",""),"D",""),";",REPT(" ",30)),211,30))),0)))))</f>
        <v/>
      </c>
      <c r="K273" s="26" t="n"/>
      <c r="L273" s="6" t="n"/>
      <c r="M273" s="13" t="n"/>
      <c r="N273" s="27">
        <f>IF($C273="","",IF($E273="Falta","-",MAX(0,MIN(10,8+IFERROR(VALUE(TRIM(MID(SUBSTITUTE(SUBSTITUTE(SUBSTITUTE(UPPER($L273)," ",""),"F",""),";",REPT(" ",30)),1,30))),0)+IFERROR(VALUE(TRIM(MID(SUBSTITUTE(SUBSTITUTE(SUBSTITUTE(UPPER($L273)," ",""),"F",""),";",REPT(" ",30)),31,30))),0)+IFERROR(VALUE(TRIM(MID(SUBSTITUTE(SUBSTITUTE(SUBSTITUTE(UPPER($L273)," ",""),"F",""),";",REPT(" ",30)),61,30))),0)+IFERROR(VALUE(TRIM(MID(SUBSTITUTE(SUBSTITUTE(SUBSTITUTE(UPPER($L273)," ",""),"F",""),";",REPT(" ",30)),91,30))),0)+IFERROR(VALUE(TRIM(MID(SUBSTITUTE(SUBSTITUTE(SUBSTITUTE(UPPER($L273)," ",""),"F",""),";",REPT(" ",30)),121,30))),0)+IFERROR(VALUE(TRIM(MID(SUBSTITUTE(SUBSTITUTE(SUBSTITUTE(UPPER($L273)," ",""),"F",""),";",REPT(" ",30)),151,30))),0)+IFERROR(VALUE(TRIM(MID(SUBSTITUTE(SUBSTITUTE(SUBSTITUTE(UPPER($L273)," ",""),"F",""),";",REPT(" ",30)),181,30))),0)+IFERROR(VALUE(TRIM(MID(SUBSTITUTE(SUBSTITUTE(SUBSTITUTE(UPPER($L273)," ",""),"F",""),";",REPT(" ",30)),211,30))),0)))))</f>
        <v/>
      </c>
      <c r="O273" s="26" t="n"/>
      <c r="P273" s="6" t="n"/>
      <c r="Q273" s="13" t="n"/>
      <c r="R273" s="27">
        <f>IF($C273="","",IF($E273="Falta","-",MAX(0,MIN(10,5+IFERROR(VALUE(TRIM(MID(SUBSTITUTE(SUBSTITUTE(SUBSTITUTE(UPPER($P273)," ",""),"C",""),";",REPT(" ",30)),1,30))),0)+IFERROR(VALUE(TRIM(MID(SUBSTITUTE(SUBSTITUTE(SUBSTITUTE(UPPER($P273)," ",""),"C",""),";",REPT(" ",30)),31,30))),0)+IFERROR(VALUE(TRIM(MID(SUBSTITUTE(SUBSTITUTE(SUBSTITUTE(UPPER($P273)," ",""),"C",""),";",REPT(" ",30)),61,30))),0)+IFERROR(VALUE(TRIM(MID(SUBSTITUTE(SUBSTITUTE(SUBSTITUTE(UPPER($P273)," ",""),"C",""),";",REPT(" ",30)),91,30))),0)+IFERROR(VALUE(TRIM(MID(SUBSTITUTE(SUBSTITUTE(SUBSTITUTE(UPPER($P273)," ",""),"C",""),";",REPT(" ",30)),121,30))),0)+IFERROR(VALUE(TRIM(MID(SUBSTITUTE(SUBSTITUTE(SUBSTITUTE(UPPER($P273)," ",""),"C",""),";",REPT(" ",30)),151,30))),0)+IFERROR(VALUE(TRIM(MID(SUBSTITUTE(SUBSTITUTE(SUBSTITUTE(UPPER($P273)," ",""),"C",""),";",REPT(" ",30)),181,30))),0)+IFERROR(VALUE(TRIM(MID(SUBSTITUTE(SUBSTITUTE(SUBSTITUTE(UPPER($P273)," ",""),"C",""),";",REPT(" ",30)),211,30))),0)))))</f>
        <v/>
      </c>
      <c r="S273" s="26" t="n"/>
      <c r="T273" s="6" t="n"/>
      <c r="U273" s="13" t="n"/>
      <c r="V273" s="27">
        <f>IF($C273="","",IF($E273="Falta","-",MAX(0,MIN(10,5+IFERROR(VALUE(TRIM(MID(SUBSTITUTE(SUBSTITUTE(SUBSTITUTE(UPPER($T273)," ",""),"P",""),";",REPT(" ",30)),1,30))),0)+IFERROR(VALUE(TRIM(MID(SUBSTITUTE(SUBSTITUTE(SUBSTITUTE(UPPER($T273)," ",""),"P",""),";",REPT(" ",30)),31,30))),0)+IFERROR(VALUE(TRIM(MID(SUBSTITUTE(SUBSTITUTE(SUBSTITUTE(UPPER($T273)," ",""),"P",""),";",REPT(" ",30)),61,30))),0)+IFERROR(VALUE(TRIM(MID(SUBSTITUTE(SUBSTITUTE(SUBSTITUTE(UPPER($T273)," ",""),"P",""),";",REPT(" ",30)),91,30))),0)+IFERROR(VALUE(TRIM(MID(SUBSTITUTE(SUBSTITUTE(SUBSTITUTE(UPPER($T273)," ",""),"P",""),";",REPT(" ",30)),121,30))),0)+IFERROR(VALUE(TRIM(MID(SUBSTITUTE(SUBSTITUTE(SUBSTITUTE(UPPER($T273)," ",""),"P",""),";",REPT(" ",30)),151,30))),0)+IFERROR(VALUE(TRIM(MID(SUBSTITUTE(SUBSTITUTE(SUBSTITUTE(UPPER($T273)," ",""),"P",""),";",REPT(" ",30)),181,30))),0)+IFERROR(VALUE(TRIM(MID(SUBSTITUTE(SUBSTITUTE(SUBSTITUTE(UPPER($T273)," ",""),"P",""),";",REPT(" ",30)),211,30))),0)))))</f>
        <v/>
      </c>
      <c r="W273" s="26" t="n"/>
      <c r="X273" s="13" t="n"/>
    </row>
    <row r="274">
      <c r="A274" s="8">
        <f>IF($C274="","",55)</f>
        <v/>
      </c>
      <c r="B274" s="8">
        <f>IF($C274="","","1ª Sessão")</f>
        <v/>
      </c>
      <c r="C274" s="8">
        <f>IF(Preenchimento!$B$64="","",Preenchimento!$B$64)</f>
        <v/>
      </c>
      <c r="D274" s="8">
        <f>IF($C274="","",IF(Preenchimento!$C$64="","-",Preenchimento!$C$64))</f>
        <v/>
      </c>
      <c r="E274" s="8" t="n"/>
      <c r="F274" s="8" t="n"/>
      <c r="G274" s="24" t="n"/>
      <c r="H274" s="8" t="n"/>
      <c r="I274" s="14" t="n"/>
      <c r="J274" s="25">
        <f>IF($C274="","",IF($E274="Falta","-",MAX(0,MIN(10,8+IFERROR(VALUE(TRIM(MID(SUBSTITUTE(SUBSTITUTE(SUBSTITUTE(UPPER($H274)," ",""),"D",""),";",REPT(" ",30)),1,30))),0)+IFERROR(VALUE(TRIM(MID(SUBSTITUTE(SUBSTITUTE(SUBSTITUTE(UPPER($H274)," ",""),"D",""),";",REPT(" ",30)),31,30))),0)+IFERROR(VALUE(TRIM(MID(SUBSTITUTE(SUBSTITUTE(SUBSTITUTE(UPPER($H274)," ",""),"D",""),";",REPT(" ",30)),61,30))),0)+IFERROR(VALUE(TRIM(MID(SUBSTITUTE(SUBSTITUTE(SUBSTITUTE(UPPER($H274)," ",""),"D",""),";",REPT(" ",30)),91,30))),0)+IFERROR(VALUE(TRIM(MID(SUBSTITUTE(SUBSTITUTE(SUBSTITUTE(UPPER($H274)," ",""),"D",""),";",REPT(" ",30)),121,30))),0)+IFERROR(VALUE(TRIM(MID(SUBSTITUTE(SUBSTITUTE(SUBSTITUTE(UPPER($H274)," ",""),"D",""),";",REPT(" ",30)),151,30))),0)+IFERROR(VALUE(TRIM(MID(SUBSTITUTE(SUBSTITUTE(SUBSTITUTE(UPPER($H274)," ",""),"D",""),";",REPT(" ",30)),181,30))),0)+IFERROR(VALUE(TRIM(MID(SUBSTITUTE(SUBSTITUTE(SUBSTITUTE(UPPER($H274)," ",""),"D",""),";",REPT(" ",30)),211,30))),0)))))</f>
        <v/>
      </c>
      <c r="K274" s="24" t="n"/>
      <c r="L274" s="8" t="n"/>
      <c r="M274" s="14" t="n"/>
      <c r="N274" s="25">
        <f>IF($C274="","",IF($E274="Falta","-",MAX(0,MIN(10,8+IFERROR(VALUE(TRIM(MID(SUBSTITUTE(SUBSTITUTE(SUBSTITUTE(UPPER($L274)," ",""),"F",""),";",REPT(" ",30)),1,30))),0)+IFERROR(VALUE(TRIM(MID(SUBSTITUTE(SUBSTITUTE(SUBSTITUTE(UPPER($L274)," ",""),"F",""),";",REPT(" ",30)),31,30))),0)+IFERROR(VALUE(TRIM(MID(SUBSTITUTE(SUBSTITUTE(SUBSTITUTE(UPPER($L274)," ",""),"F",""),";",REPT(" ",30)),61,30))),0)+IFERROR(VALUE(TRIM(MID(SUBSTITUTE(SUBSTITUTE(SUBSTITUTE(UPPER($L274)," ",""),"F",""),";",REPT(" ",30)),91,30))),0)+IFERROR(VALUE(TRIM(MID(SUBSTITUTE(SUBSTITUTE(SUBSTITUTE(UPPER($L274)," ",""),"F",""),";",REPT(" ",30)),121,30))),0)+IFERROR(VALUE(TRIM(MID(SUBSTITUTE(SUBSTITUTE(SUBSTITUTE(UPPER($L274)," ",""),"F",""),";",REPT(" ",30)),151,30))),0)+IFERROR(VALUE(TRIM(MID(SUBSTITUTE(SUBSTITUTE(SUBSTITUTE(UPPER($L274)," ",""),"F",""),";",REPT(" ",30)),181,30))),0)+IFERROR(VALUE(TRIM(MID(SUBSTITUTE(SUBSTITUTE(SUBSTITUTE(UPPER($L274)," ",""),"F",""),";",REPT(" ",30)),211,30))),0)))))</f>
        <v/>
      </c>
      <c r="O274" s="24" t="n"/>
      <c r="P274" s="8" t="n"/>
      <c r="Q274" s="14" t="n"/>
      <c r="R274" s="25">
        <f>IF($C274="","",IF($E274="Falta","-",MAX(0,MIN(10,5+IFERROR(VALUE(TRIM(MID(SUBSTITUTE(SUBSTITUTE(SUBSTITUTE(UPPER($P274)," ",""),"C",""),";",REPT(" ",30)),1,30))),0)+IFERROR(VALUE(TRIM(MID(SUBSTITUTE(SUBSTITUTE(SUBSTITUTE(UPPER($P274)," ",""),"C",""),";",REPT(" ",30)),31,30))),0)+IFERROR(VALUE(TRIM(MID(SUBSTITUTE(SUBSTITUTE(SUBSTITUTE(UPPER($P274)," ",""),"C",""),";",REPT(" ",30)),61,30))),0)+IFERROR(VALUE(TRIM(MID(SUBSTITUTE(SUBSTITUTE(SUBSTITUTE(UPPER($P274)," ",""),"C",""),";",REPT(" ",30)),91,30))),0)+IFERROR(VALUE(TRIM(MID(SUBSTITUTE(SUBSTITUTE(SUBSTITUTE(UPPER($P274)," ",""),"C",""),";",REPT(" ",30)),121,30))),0)+IFERROR(VALUE(TRIM(MID(SUBSTITUTE(SUBSTITUTE(SUBSTITUTE(UPPER($P274)," ",""),"C",""),";",REPT(" ",30)),151,30))),0)+IFERROR(VALUE(TRIM(MID(SUBSTITUTE(SUBSTITUTE(SUBSTITUTE(UPPER($P274)," ",""),"C",""),";",REPT(" ",30)),181,30))),0)+IFERROR(VALUE(TRIM(MID(SUBSTITUTE(SUBSTITUTE(SUBSTITUTE(UPPER($P274)," ",""),"C",""),";",REPT(" ",30)),211,30))),0)))))</f>
        <v/>
      </c>
      <c r="S274" s="24" t="n"/>
      <c r="T274" s="8" t="n"/>
      <c r="U274" s="14" t="n"/>
      <c r="V274" s="25">
        <f>IF($C274="","",IF($E274="Falta","-",MAX(0,MIN(10,5+IFERROR(VALUE(TRIM(MID(SUBSTITUTE(SUBSTITUTE(SUBSTITUTE(UPPER($T274)," ",""),"P",""),";",REPT(" ",30)),1,30))),0)+IFERROR(VALUE(TRIM(MID(SUBSTITUTE(SUBSTITUTE(SUBSTITUTE(UPPER($T274)," ",""),"P",""),";",REPT(" ",30)),31,30))),0)+IFERROR(VALUE(TRIM(MID(SUBSTITUTE(SUBSTITUTE(SUBSTITUTE(UPPER($T274)," ",""),"P",""),";",REPT(" ",30)),61,30))),0)+IFERROR(VALUE(TRIM(MID(SUBSTITUTE(SUBSTITUTE(SUBSTITUTE(UPPER($T274)," ",""),"P",""),";",REPT(" ",30)),91,30))),0)+IFERROR(VALUE(TRIM(MID(SUBSTITUTE(SUBSTITUTE(SUBSTITUTE(UPPER($T274)," ",""),"P",""),";",REPT(" ",30)),121,30))),0)+IFERROR(VALUE(TRIM(MID(SUBSTITUTE(SUBSTITUTE(SUBSTITUTE(UPPER($T274)," ",""),"P",""),";",REPT(" ",30)),151,30))),0)+IFERROR(VALUE(TRIM(MID(SUBSTITUTE(SUBSTITUTE(SUBSTITUTE(UPPER($T274)," ",""),"P",""),";",REPT(" ",30)),181,30))),0)+IFERROR(VALUE(TRIM(MID(SUBSTITUTE(SUBSTITUTE(SUBSTITUTE(UPPER($T274)," ",""),"P",""),";",REPT(" ",30)),211,30))),0)))))</f>
        <v/>
      </c>
      <c r="W274" s="24" t="n"/>
      <c r="X274" s="14" t="n"/>
    </row>
    <row r="275">
      <c r="A275" s="8">
        <f>IF($C275="","",55)</f>
        <v/>
      </c>
      <c r="B275" s="8">
        <f>IF($C275="","","2ª Sessão")</f>
        <v/>
      </c>
      <c r="C275" s="8">
        <f>IF(Preenchimento!$B$64="","",Preenchimento!$B$64)</f>
        <v/>
      </c>
      <c r="D275" s="8">
        <f>IF($C275="","",IF(Preenchimento!$C$64="","-",Preenchimento!$C$64))</f>
        <v/>
      </c>
      <c r="E275" s="8" t="n"/>
      <c r="F275" s="8" t="n"/>
      <c r="G275" s="24" t="n"/>
      <c r="H275" s="8" t="n"/>
      <c r="I275" s="14" t="n"/>
      <c r="J275" s="25">
        <f>IF($C275="","",IF($E275="Falta","-",MAX(0,MIN(10,8+IFERROR(VALUE(TRIM(MID(SUBSTITUTE(SUBSTITUTE(SUBSTITUTE(UPPER($H275)," ",""),"D",""),";",REPT(" ",30)),1,30))),0)+IFERROR(VALUE(TRIM(MID(SUBSTITUTE(SUBSTITUTE(SUBSTITUTE(UPPER($H275)," ",""),"D",""),";",REPT(" ",30)),31,30))),0)+IFERROR(VALUE(TRIM(MID(SUBSTITUTE(SUBSTITUTE(SUBSTITUTE(UPPER($H275)," ",""),"D",""),";",REPT(" ",30)),61,30))),0)+IFERROR(VALUE(TRIM(MID(SUBSTITUTE(SUBSTITUTE(SUBSTITUTE(UPPER($H275)," ",""),"D",""),";",REPT(" ",30)),91,30))),0)+IFERROR(VALUE(TRIM(MID(SUBSTITUTE(SUBSTITUTE(SUBSTITUTE(UPPER($H275)," ",""),"D",""),";",REPT(" ",30)),121,30))),0)+IFERROR(VALUE(TRIM(MID(SUBSTITUTE(SUBSTITUTE(SUBSTITUTE(UPPER($H275)," ",""),"D",""),";",REPT(" ",30)),151,30))),0)+IFERROR(VALUE(TRIM(MID(SUBSTITUTE(SUBSTITUTE(SUBSTITUTE(UPPER($H275)," ",""),"D",""),";",REPT(" ",30)),181,30))),0)+IFERROR(VALUE(TRIM(MID(SUBSTITUTE(SUBSTITUTE(SUBSTITUTE(UPPER($H275)," ",""),"D",""),";",REPT(" ",30)),211,30))),0)))))</f>
        <v/>
      </c>
      <c r="K275" s="24" t="n"/>
      <c r="L275" s="8" t="n"/>
      <c r="M275" s="14" t="n"/>
      <c r="N275" s="25">
        <f>IF($C275="","",IF($E275="Falta","-",MAX(0,MIN(10,8+IFERROR(VALUE(TRIM(MID(SUBSTITUTE(SUBSTITUTE(SUBSTITUTE(UPPER($L275)," ",""),"F",""),";",REPT(" ",30)),1,30))),0)+IFERROR(VALUE(TRIM(MID(SUBSTITUTE(SUBSTITUTE(SUBSTITUTE(UPPER($L275)," ",""),"F",""),";",REPT(" ",30)),31,30))),0)+IFERROR(VALUE(TRIM(MID(SUBSTITUTE(SUBSTITUTE(SUBSTITUTE(UPPER($L275)," ",""),"F",""),";",REPT(" ",30)),61,30))),0)+IFERROR(VALUE(TRIM(MID(SUBSTITUTE(SUBSTITUTE(SUBSTITUTE(UPPER($L275)," ",""),"F",""),";",REPT(" ",30)),91,30))),0)+IFERROR(VALUE(TRIM(MID(SUBSTITUTE(SUBSTITUTE(SUBSTITUTE(UPPER($L275)," ",""),"F",""),";",REPT(" ",30)),121,30))),0)+IFERROR(VALUE(TRIM(MID(SUBSTITUTE(SUBSTITUTE(SUBSTITUTE(UPPER($L275)," ",""),"F",""),";",REPT(" ",30)),151,30))),0)+IFERROR(VALUE(TRIM(MID(SUBSTITUTE(SUBSTITUTE(SUBSTITUTE(UPPER($L275)," ",""),"F",""),";",REPT(" ",30)),181,30))),0)+IFERROR(VALUE(TRIM(MID(SUBSTITUTE(SUBSTITUTE(SUBSTITUTE(UPPER($L275)," ",""),"F",""),";",REPT(" ",30)),211,30))),0)))))</f>
        <v/>
      </c>
      <c r="O275" s="24" t="n"/>
      <c r="P275" s="8" t="n"/>
      <c r="Q275" s="14" t="n"/>
      <c r="R275" s="25">
        <f>IF($C275="","",IF($E275="Falta","-",MAX(0,MIN(10,5+IFERROR(VALUE(TRIM(MID(SUBSTITUTE(SUBSTITUTE(SUBSTITUTE(UPPER($P275)," ",""),"C",""),";",REPT(" ",30)),1,30))),0)+IFERROR(VALUE(TRIM(MID(SUBSTITUTE(SUBSTITUTE(SUBSTITUTE(UPPER($P275)," ",""),"C",""),";",REPT(" ",30)),31,30))),0)+IFERROR(VALUE(TRIM(MID(SUBSTITUTE(SUBSTITUTE(SUBSTITUTE(UPPER($P275)," ",""),"C",""),";",REPT(" ",30)),61,30))),0)+IFERROR(VALUE(TRIM(MID(SUBSTITUTE(SUBSTITUTE(SUBSTITUTE(UPPER($P275)," ",""),"C",""),";",REPT(" ",30)),91,30))),0)+IFERROR(VALUE(TRIM(MID(SUBSTITUTE(SUBSTITUTE(SUBSTITUTE(UPPER($P275)," ",""),"C",""),";",REPT(" ",30)),121,30))),0)+IFERROR(VALUE(TRIM(MID(SUBSTITUTE(SUBSTITUTE(SUBSTITUTE(UPPER($P275)," ",""),"C",""),";",REPT(" ",30)),151,30))),0)+IFERROR(VALUE(TRIM(MID(SUBSTITUTE(SUBSTITUTE(SUBSTITUTE(UPPER($P275)," ",""),"C",""),";",REPT(" ",30)),181,30))),0)+IFERROR(VALUE(TRIM(MID(SUBSTITUTE(SUBSTITUTE(SUBSTITUTE(UPPER($P275)," ",""),"C",""),";",REPT(" ",30)),211,30))),0)))))</f>
        <v/>
      </c>
      <c r="S275" s="24" t="n"/>
      <c r="T275" s="8" t="n"/>
      <c r="U275" s="14" t="n"/>
      <c r="V275" s="25">
        <f>IF($C275="","",IF($E275="Falta","-",MAX(0,MIN(10,5+IFERROR(VALUE(TRIM(MID(SUBSTITUTE(SUBSTITUTE(SUBSTITUTE(UPPER($T275)," ",""),"P",""),";",REPT(" ",30)),1,30))),0)+IFERROR(VALUE(TRIM(MID(SUBSTITUTE(SUBSTITUTE(SUBSTITUTE(UPPER($T275)," ",""),"P",""),";",REPT(" ",30)),31,30))),0)+IFERROR(VALUE(TRIM(MID(SUBSTITUTE(SUBSTITUTE(SUBSTITUTE(UPPER($T275)," ",""),"P",""),";",REPT(" ",30)),61,30))),0)+IFERROR(VALUE(TRIM(MID(SUBSTITUTE(SUBSTITUTE(SUBSTITUTE(UPPER($T275)," ",""),"P",""),";",REPT(" ",30)),91,30))),0)+IFERROR(VALUE(TRIM(MID(SUBSTITUTE(SUBSTITUTE(SUBSTITUTE(UPPER($T275)," ",""),"P",""),";",REPT(" ",30)),121,30))),0)+IFERROR(VALUE(TRIM(MID(SUBSTITUTE(SUBSTITUTE(SUBSTITUTE(UPPER($T275)," ",""),"P",""),";",REPT(" ",30)),151,30))),0)+IFERROR(VALUE(TRIM(MID(SUBSTITUTE(SUBSTITUTE(SUBSTITUTE(UPPER($T275)," ",""),"P",""),";",REPT(" ",30)),181,30))),0)+IFERROR(VALUE(TRIM(MID(SUBSTITUTE(SUBSTITUTE(SUBSTITUTE(UPPER($T275)," ",""),"P",""),";",REPT(" ",30)),211,30))),0)))))</f>
        <v/>
      </c>
      <c r="W275" s="24" t="n"/>
      <c r="X275" s="14" t="n"/>
    </row>
    <row r="276">
      <c r="A276" s="8">
        <f>IF($C276="","",55)</f>
        <v/>
      </c>
      <c r="B276" s="8">
        <f>IF($C276="","","3ª Sessão")</f>
        <v/>
      </c>
      <c r="C276" s="8">
        <f>IF(Preenchimento!$B$64="","",Preenchimento!$B$64)</f>
        <v/>
      </c>
      <c r="D276" s="8">
        <f>IF($C276="","",IF(Preenchimento!$C$64="","-",Preenchimento!$C$64))</f>
        <v/>
      </c>
      <c r="E276" s="8" t="n"/>
      <c r="F276" s="8" t="n"/>
      <c r="G276" s="24" t="n"/>
      <c r="H276" s="8" t="n"/>
      <c r="I276" s="14" t="n"/>
      <c r="J276" s="25">
        <f>IF($C276="","",IF($E276="Falta","-",MAX(0,MIN(10,8+IFERROR(VALUE(TRIM(MID(SUBSTITUTE(SUBSTITUTE(SUBSTITUTE(UPPER($H276)," ",""),"D",""),";",REPT(" ",30)),1,30))),0)+IFERROR(VALUE(TRIM(MID(SUBSTITUTE(SUBSTITUTE(SUBSTITUTE(UPPER($H276)," ",""),"D",""),";",REPT(" ",30)),31,30))),0)+IFERROR(VALUE(TRIM(MID(SUBSTITUTE(SUBSTITUTE(SUBSTITUTE(UPPER($H276)," ",""),"D",""),";",REPT(" ",30)),61,30))),0)+IFERROR(VALUE(TRIM(MID(SUBSTITUTE(SUBSTITUTE(SUBSTITUTE(UPPER($H276)," ",""),"D",""),";",REPT(" ",30)),91,30))),0)+IFERROR(VALUE(TRIM(MID(SUBSTITUTE(SUBSTITUTE(SUBSTITUTE(UPPER($H276)," ",""),"D",""),";",REPT(" ",30)),121,30))),0)+IFERROR(VALUE(TRIM(MID(SUBSTITUTE(SUBSTITUTE(SUBSTITUTE(UPPER($H276)," ",""),"D",""),";",REPT(" ",30)),151,30))),0)+IFERROR(VALUE(TRIM(MID(SUBSTITUTE(SUBSTITUTE(SUBSTITUTE(UPPER($H276)," ",""),"D",""),";",REPT(" ",30)),181,30))),0)+IFERROR(VALUE(TRIM(MID(SUBSTITUTE(SUBSTITUTE(SUBSTITUTE(UPPER($H276)," ",""),"D",""),";",REPT(" ",30)),211,30))),0)))))</f>
        <v/>
      </c>
      <c r="K276" s="24" t="n"/>
      <c r="L276" s="8" t="n"/>
      <c r="M276" s="14" t="n"/>
      <c r="N276" s="25">
        <f>IF($C276="","",IF($E276="Falta","-",MAX(0,MIN(10,8+IFERROR(VALUE(TRIM(MID(SUBSTITUTE(SUBSTITUTE(SUBSTITUTE(UPPER($L276)," ",""),"F",""),";",REPT(" ",30)),1,30))),0)+IFERROR(VALUE(TRIM(MID(SUBSTITUTE(SUBSTITUTE(SUBSTITUTE(UPPER($L276)," ",""),"F",""),";",REPT(" ",30)),31,30))),0)+IFERROR(VALUE(TRIM(MID(SUBSTITUTE(SUBSTITUTE(SUBSTITUTE(UPPER($L276)," ",""),"F",""),";",REPT(" ",30)),61,30))),0)+IFERROR(VALUE(TRIM(MID(SUBSTITUTE(SUBSTITUTE(SUBSTITUTE(UPPER($L276)," ",""),"F",""),";",REPT(" ",30)),91,30))),0)+IFERROR(VALUE(TRIM(MID(SUBSTITUTE(SUBSTITUTE(SUBSTITUTE(UPPER($L276)," ",""),"F",""),";",REPT(" ",30)),121,30))),0)+IFERROR(VALUE(TRIM(MID(SUBSTITUTE(SUBSTITUTE(SUBSTITUTE(UPPER($L276)," ",""),"F",""),";",REPT(" ",30)),151,30))),0)+IFERROR(VALUE(TRIM(MID(SUBSTITUTE(SUBSTITUTE(SUBSTITUTE(UPPER($L276)," ",""),"F",""),";",REPT(" ",30)),181,30))),0)+IFERROR(VALUE(TRIM(MID(SUBSTITUTE(SUBSTITUTE(SUBSTITUTE(UPPER($L276)," ",""),"F",""),";",REPT(" ",30)),211,30))),0)))))</f>
        <v/>
      </c>
      <c r="O276" s="24" t="n"/>
      <c r="P276" s="8" t="n"/>
      <c r="Q276" s="14" t="n"/>
      <c r="R276" s="25">
        <f>IF($C276="","",IF($E276="Falta","-",MAX(0,MIN(10,5+IFERROR(VALUE(TRIM(MID(SUBSTITUTE(SUBSTITUTE(SUBSTITUTE(UPPER($P276)," ",""),"C",""),";",REPT(" ",30)),1,30))),0)+IFERROR(VALUE(TRIM(MID(SUBSTITUTE(SUBSTITUTE(SUBSTITUTE(UPPER($P276)," ",""),"C",""),";",REPT(" ",30)),31,30))),0)+IFERROR(VALUE(TRIM(MID(SUBSTITUTE(SUBSTITUTE(SUBSTITUTE(UPPER($P276)," ",""),"C",""),";",REPT(" ",30)),61,30))),0)+IFERROR(VALUE(TRIM(MID(SUBSTITUTE(SUBSTITUTE(SUBSTITUTE(UPPER($P276)," ",""),"C",""),";",REPT(" ",30)),91,30))),0)+IFERROR(VALUE(TRIM(MID(SUBSTITUTE(SUBSTITUTE(SUBSTITUTE(UPPER($P276)," ",""),"C",""),";",REPT(" ",30)),121,30))),0)+IFERROR(VALUE(TRIM(MID(SUBSTITUTE(SUBSTITUTE(SUBSTITUTE(UPPER($P276)," ",""),"C",""),";",REPT(" ",30)),151,30))),0)+IFERROR(VALUE(TRIM(MID(SUBSTITUTE(SUBSTITUTE(SUBSTITUTE(UPPER($P276)," ",""),"C",""),";",REPT(" ",30)),181,30))),0)+IFERROR(VALUE(TRIM(MID(SUBSTITUTE(SUBSTITUTE(SUBSTITUTE(UPPER($P276)," ",""),"C",""),";",REPT(" ",30)),211,30))),0)))))</f>
        <v/>
      </c>
      <c r="S276" s="24" t="n"/>
      <c r="T276" s="8" t="n"/>
      <c r="U276" s="14" t="n"/>
      <c r="V276" s="25">
        <f>IF($C276="","",IF($E276="Falta","-",MAX(0,MIN(10,5+IFERROR(VALUE(TRIM(MID(SUBSTITUTE(SUBSTITUTE(SUBSTITUTE(UPPER($T276)," ",""),"P",""),";",REPT(" ",30)),1,30))),0)+IFERROR(VALUE(TRIM(MID(SUBSTITUTE(SUBSTITUTE(SUBSTITUTE(UPPER($T276)," ",""),"P",""),";",REPT(" ",30)),31,30))),0)+IFERROR(VALUE(TRIM(MID(SUBSTITUTE(SUBSTITUTE(SUBSTITUTE(UPPER($T276)," ",""),"P",""),";",REPT(" ",30)),61,30))),0)+IFERROR(VALUE(TRIM(MID(SUBSTITUTE(SUBSTITUTE(SUBSTITUTE(UPPER($T276)," ",""),"P",""),";",REPT(" ",30)),91,30))),0)+IFERROR(VALUE(TRIM(MID(SUBSTITUTE(SUBSTITUTE(SUBSTITUTE(UPPER($T276)," ",""),"P",""),";",REPT(" ",30)),121,30))),0)+IFERROR(VALUE(TRIM(MID(SUBSTITUTE(SUBSTITUTE(SUBSTITUTE(UPPER($T276)," ",""),"P",""),";",REPT(" ",30)),151,30))),0)+IFERROR(VALUE(TRIM(MID(SUBSTITUTE(SUBSTITUTE(SUBSTITUTE(UPPER($T276)," ",""),"P",""),";",REPT(" ",30)),181,30))),0)+IFERROR(VALUE(TRIM(MID(SUBSTITUTE(SUBSTITUTE(SUBSTITUTE(UPPER($T276)," ",""),"P",""),";",REPT(" ",30)),211,30))),0)))))</f>
        <v/>
      </c>
      <c r="W276" s="24" t="n"/>
      <c r="X276" s="14" t="n"/>
    </row>
    <row r="277">
      <c r="A277" s="8">
        <f>IF($C277="","",55)</f>
        <v/>
      </c>
      <c r="B277" s="8">
        <f>IF($C277="","","4ª Sessão")</f>
        <v/>
      </c>
      <c r="C277" s="8">
        <f>IF(Preenchimento!$B$64="","",Preenchimento!$B$64)</f>
        <v/>
      </c>
      <c r="D277" s="8">
        <f>IF($C277="","",IF(Preenchimento!$C$64="","-",Preenchimento!$C$64))</f>
        <v/>
      </c>
      <c r="E277" s="8" t="n"/>
      <c r="F277" s="8" t="n"/>
      <c r="G277" s="24" t="n"/>
      <c r="H277" s="8" t="n"/>
      <c r="I277" s="14" t="n"/>
      <c r="J277" s="25">
        <f>IF($C277="","",IF($E277="Falta","-",MAX(0,MIN(10,8+IFERROR(VALUE(TRIM(MID(SUBSTITUTE(SUBSTITUTE(SUBSTITUTE(UPPER($H277)," ",""),"D",""),";",REPT(" ",30)),1,30))),0)+IFERROR(VALUE(TRIM(MID(SUBSTITUTE(SUBSTITUTE(SUBSTITUTE(UPPER($H277)," ",""),"D",""),";",REPT(" ",30)),31,30))),0)+IFERROR(VALUE(TRIM(MID(SUBSTITUTE(SUBSTITUTE(SUBSTITUTE(UPPER($H277)," ",""),"D",""),";",REPT(" ",30)),61,30))),0)+IFERROR(VALUE(TRIM(MID(SUBSTITUTE(SUBSTITUTE(SUBSTITUTE(UPPER($H277)," ",""),"D",""),";",REPT(" ",30)),91,30))),0)+IFERROR(VALUE(TRIM(MID(SUBSTITUTE(SUBSTITUTE(SUBSTITUTE(UPPER($H277)," ",""),"D",""),";",REPT(" ",30)),121,30))),0)+IFERROR(VALUE(TRIM(MID(SUBSTITUTE(SUBSTITUTE(SUBSTITUTE(UPPER($H277)," ",""),"D",""),";",REPT(" ",30)),151,30))),0)+IFERROR(VALUE(TRIM(MID(SUBSTITUTE(SUBSTITUTE(SUBSTITUTE(UPPER($H277)," ",""),"D",""),";",REPT(" ",30)),181,30))),0)+IFERROR(VALUE(TRIM(MID(SUBSTITUTE(SUBSTITUTE(SUBSTITUTE(UPPER($H277)," ",""),"D",""),";",REPT(" ",30)),211,30))),0)))))</f>
        <v/>
      </c>
      <c r="K277" s="24" t="n"/>
      <c r="L277" s="8" t="n"/>
      <c r="M277" s="14" t="n"/>
      <c r="N277" s="25">
        <f>IF($C277="","",IF($E277="Falta","-",MAX(0,MIN(10,8+IFERROR(VALUE(TRIM(MID(SUBSTITUTE(SUBSTITUTE(SUBSTITUTE(UPPER($L277)," ",""),"F",""),";",REPT(" ",30)),1,30))),0)+IFERROR(VALUE(TRIM(MID(SUBSTITUTE(SUBSTITUTE(SUBSTITUTE(UPPER($L277)," ",""),"F",""),";",REPT(" ",30)),31,30))),0)+IFERROR(VALUE(TRIM(MID(SUBSTITUTE(SUBSTITUTE(SUBSTITUTE(UPPER($L277)," ",""),"F",""),";",REPT(" ",30)),61,30))),0)+IFERROR(VALUE(TRIM(MID(SUBSTITUTE(SUBSTITUTE(SUBSTITUTE(UPPER($L277)," ",""),"F",""),";",REPT(" ",30)),91,30))),0)+IFERROR(VALUE(TRIM(MID(SUBSTITUTE(SUBSTITUTE(SUBSTITUTE(UPPER($L277)," ",""),"F",""),";",REPT(" ",30)),121,30))),0)+IFERROR(VALUE(TRIM(MID(SUBSTITUTE(SUBSTITUTE(SUBSTITUTE(UPPER($L277)," ",""),"F",""),";",REPT(" ",30)),151,30))),0)+IFERROR(VALUE(TRIM(MID(SUBSTITUTE(SUBSTITUTE(SUBSTITUTE(UPPER($L277)," ",""),"F",""),";",REPT(" ",30)),181,30))),0)+IFERROR(VALUE(TRIM(MID(SUBSTITUTE(SUBSTITUTE(SUBSTITUTE(UPPER($L277)," ",""),"F",""),";",REPT(" ",30)),211,30))),0)))))</f>
        <v/>
      </c>
      <c r="O277" s="24" t="n"/>
      <c r="P277" s="8" t="n"/>
      <c r="Q277" s="14" t="n"/>
      <c r="R277" s="25">
        <f>IF($C277="","",IF($E277="Falta","-",MAX(0,MIN(10,5+IFERROR(VALUE(TRIM(MID(SUBSTITUTE(SUBSTITUTE(SUBSTITUTE(UPPER($P277)," ",""),"C",""),";",REPT(" ",30)),1,30))),0)+IFERROR(VALUE(TRIM(MID(SUBSTITUTE(SUBSTITUTE(SUBSTITUTE(UPPER($P277)," ",""),"C",""),";",REPT(" ",30)),31,30))),0)+IFERROR(VALUE(TRIM(MID(SUBSTITUTE(SUBSTITUTE(SUBSTITUTE(UPPER($P277)," ",""),"C",""),";",REPT(" ",30)),61,30))),0)+IFERROR(VALUE(TRIM(MID(SUBSTITUTE(SUBSTITUTE(SUBSTITUTE(UPPER($P277)," ",""),"C",""),";",REPT(" ",30)),91,30))),0)+IFERROR(VALUE(TRIM(MID(SUBSTITUTE(SUBSTITUTE(SUBSTITUTE(UPPER($P277)," ",""),"C",""),";",REPT(" ",30)),121,30))),0)+IFERROR(VALUE(TRIM(MID(SUBSTITUTE(SUBSTITUTE(SUBSTITUTE(UPPER($P277)," ",""),"C",""),";",REPT(" ",30)),151,30))),0)+IFERROR(VALUE(TRIM(MID(SUBSTITUTE(SUBSTITUTE(SUBSTITUTE(UPPER($P277)," ",""),"C",""),";",REPT(" ",30)),181,30))),0)+IFERROR(VALUE(TRIM(MID(SUBSTITUTE(SUBSTITUTE(SUBSTITUTE(UPPER($P277)," ",""),"C",""),";",REPT(" ",30)),211,30))),0)))))</f>
        <v/>
      </c>
      <c r="S277" s="24" t="n"/>
      <c r="T277" s="8" t="n"/>
      <c r="U277" s="14" t="n"/>
      <c r="V277" s="25">
        <f>IF($C277="","",IF($E277="Falta","-",MAX(0,MIN(10,5+IFERROR(VALUE(TRIM(MID(SUBSTITUTE(SUBSTITUTE(SUBSTITUTE(UPPER($T277)," ",""),"P",""),";",REPT(" ",30)),1,30))),0)+IFERROR(VALUE(TRIM(MID(SUBSTITUTE(SUBSTITUTE(SUBSTITUTE(UPPER($T277)," ",""),"P",""),";",REPT(" ",30)),31,30))),0)+IFERROR(VALUE(TRIM(MID(SUBSTITUTE(SUBSTITUTE(SUBSTITUTE(UPPER($T277)," ",""),"P",""),";",REPT(" ",30)),61,30))),0)+IFERROR(VALUE(TRIM(MID(SUBSTITUTE(SUBSTITUTE(SUBSTITUTE(UPPER($T277)," ",""),"P",""),";",REPT(" ",30)),91,30))),0)+IFERROR(VALUE(TRIM(MID(SUBSTITUTE(SUBSTITUTE(SUBSTITUTE(UPPER($T277)," ",""),"P",""),";",REPT(" ",30)),121,30))),0)+IFERROR(VALUE(TRIM(MID(SUBSTITUTE(SUBSTITUTE(SUBSTITUTE(UPPER($T277)," ",""),"P",""),";",REPT(" ",30)),151,30))),0)+IFERROR(VALUE(TRIM(MID(SUBSTITUTE(SUBSTITUTE(SUBSTITUTE(UPPER($T277)," ",""),"P",""),";",REPT(" ",30)),181,30))),0)+IFERROR(VALUE(TRIM(MID(SUBSTITUTE(SUBSTITUTE(SUBSTITUTE(UPPER($T277)," ",""),"P",""),";",REPT(" ",30)),211,30))),0)))))</f>
        <v/>
      </c>
      <c r="W277" s="24" t="n"/>
      <c r="X277" s="14" t="n"/>
    </row>
    <row r="278">
      <c r="A278" s="8">
        <f>IF($C278="","",55)</f>
        <v/>
      </c>
      <c r="B278" s="8">
        <f>IF($C278="","","5ª Sessão")</f>
        <v/>
      </c>
      <c r="C278" s="8">
        <f>IF(Preenchimento!$B$64="","",Preenchimento!$B$64)</f>
        <v/>
      </c>
      <c r="D278" s="8">
        <f>IF($C278="","",IF(Preenchimento!$C$64="","-",Preenchimento!$C$64))</f>
        <v/>
      </c>
      <c r="E278" s="8" t="n"/>
      <c r="F278" s="8" t="n"/>
      <c r="G278" s="24" t="n"/>
      <c r="H278" s="8" t="n"/>
      <c r="I278" s="14" t="n"/>
      <c r="J278" s="25">
        <f>IF($C278="","",IF($E278="Falta","-",MAX(0,MIN(10,8+IFERROR(VALUE(TRIM(MID(SUBSTITUTE(SUBSTITUTE(SUBSTITUTE(UPPER($H278)," ",""),"D",""),";",REPT(" ",30)),1,30))),0)+IFERROR(VALUE(TRIM(MID(SUBSTITUTE(SUBSTITUTE(SUBSTITUTE(UPPER($H278)," ",""),"D",""),";",REPT(" ",30)),31,30))),0)+IFERROR(VALUE(TRIM(MID(SUBSTITUTE(SUBSTITUTE(SUBSTITUTE(UPPER($H278)," ",""),"D",""),";",REPT(" ",30)),61,30))),0)+IFERROR(VALUE(TRIM(MID(SUBSTITUTE(SUBSTITUTE(SUBSTITUTE(UPPER($H278)," ",""),"D",""),";",REPT(" ",30)),91,30))),0)+IFERROR(VALUE(TRIM(MID(SUBSTITUTE(SUBSTITUTE(SUBSTITUTE(UPPER($H278)," ",""),"D",""),";",REPT(" ",30)),121,30))),0)+IFERROR(VALUE(TRIM(MID(SUBSTITUTE(SUBSTITUTE(SUBSTITUTE(UPPER($H278)," ",""),"D",""),";",REPT(" ",30)),151,30))),0)+IFERROR(VALUE(TRIM(MID(SUBSTITUTE(SUBSTITUTE(SUBSTITUTE(UPPER($H278)," ",""),"D",""),";",REPT(" ",30)),181,30))),0)+IFERROR(VALUE(TRIM(MID(SUBSTITUTE(SUBSTITUTE(SUBSTITUTE(UPPER($H278)," ",""),"D",""),";",REPT(" ",30)),211,30))),0)))))</f>
        <v/>
      </c>
      <c r="K278" s="24" t="n"/>
      <c r="L278" s="8" t="n"/>
      <c r="M278" s="14" t="n"/>
      <c r="N278" s="25">
        <f>IF($C278="","",IF($E278="Falta","-",MAX(0,MIN(10,8+IFERROR(VALUE(TRIM(MID(SUBSTITUTE(SUBSTITUTE(SUBSTITUTE(UPPER($L278)," ",""),"F",""),";",REPT(" ",30)),1,30))),0)+IFERROR(VALUE(TRIM(MID(SUBSTITUTE(SUBSTITUTE(SUBSTITUTE(UPPER($L278)," ",""),"F",""),";",REPT(" ",30)),31,30))),0)+IFERROR(VALUE(TRIM(MID(SUBSTITUTE(SUBSTITUTE(SUBSTITUTE(UPPER($L278)," ",""),"F",""),";",REPT(" ",30)),61,30))),0)+IFERROR(VALUE(TRIM(MID(SUBSTITUTE(SUBSTITUTE(SUBSTITUTE(UPPER($L278)," ",""),"F",""),";",REPT(" ",30)),91,30))),0)+IFERROR(VALUE(TRIM(MID(SUBSTITUTE(SUBSTITUTE(SUBSTITUTE(UPPER($L278)," ",""),"F",""),";",REPT(" ",30)),121,30))),0)+IFERROR(VALUE(TRIM(MID(SUBSTITUTE(SUBSTITUTE(SUBSTITUTE(UPPER($L278)," ",""),"F",""),";",REPT(" ",30)),151,30))),0)+IFERROR(VALUE(TRIM(MID(SUBSTITUTE(SUBSTITUTE(SUBSTITUTE(UPPER($L278)," ",""),"F",""),";",REPT(" ",30)),181,30))),0)+IFERROR(VALUE(TRIM(MID(SUBSTITUTE(SUBSTITUTE(SUBSTITUTE(UPPER($L278)," ",""),"F",""),";",REPT(" ",30)),211,30))),0)))))</f>
        <v/>
      </c>
      <c r="O278" s="24" t="n"/>
      <c r="P278" s="8" t="n"/>
      <c r="Q278" s="14" t="n"/>
      <c r="R278" s="25">
        <f>IF($C278="","",IF($E278="Falta","-",MAX(0,MIN(10,5+IFERROR(VALUE(TRIM(MID(SUBSTITUTE(SUBSTITUTE(SUBSTITUTE(UPPER($P278)," ",""),"C",""),";",REPT(" ",30)),1,30))),0)+IFERROR(VALUE(TRIM(MID(SUBSTITUTE(SUBSTITUTE(SUBSTITUTE(UPPER($P278)," ",""),"C",""),";",REPT(" ",30)),31,30))),0)+IFERROR(VALUE(TRIM(MID(SUBSTITUTE(SUBSTITUTE(SUBSTITUTE(UPPER($P278)," ",""),"C",""),";",REPT(" ",30)),61,30))),0)+IFERROR(VALUE(TRIM(MID(SUBSTITUTE(SUBSTITUTE(SUBSTITUTE(UPPER($P278)," ",""),"C",""),";",REPT(" ",30)),91,30))),0)+IFERROR(VALUE(TRIM(MID(SUBSTITUTE(SUBSTITUTE(SUBSTITUTE(UPPER($P278)," ",""),"C",""),";",REPT(" ",30)),121,30))),0)+IFERROR(VALUE(TRIM(MID(SUBSTITUTE(SUBSTITUTE(SUBSTITUTE(UPPER($P278)," ",""),"C",""),";",REPT(" ",30)),151,30))),0)+IFERROR(VALUE(TRIM(MID(SUBSTITUTE(SUBSTITUTE(SUBSTITUTE(UPPER($P278)," ",""),"C",""),";",REPT(" ",30)),181,30))),0)+IFERROR(VALUE(TRIM(MID(SUBSTITUTE(SUBSTITUTE(SUBSTITUTE(UPPER($P278)," ",""),"C",""),";",REPT(" ",30)),211,30))),0)))))</f>
        <v/>
      </c>
      <c r="S278" s="24" t="n"/>
      <c r="T278" s="8" t="n"/>
      <c r="U278" s="14" t="n"/>
      <c r="V278" s="25">
        <f>IF($C278="","",IF($E278="Falta","-",MAX(0,MIN(10,5+IFERROR(VALUE(TRIM(MID(SUBSTITUTE(SUBSTITUTE(SUBSTITUTE(UPPER($T278)," ",""),"P",""),";",REPT(" ",30)),1,30))),0)+IFERROR(VALUE(TRIM(MID(SUBSTITUTE(SUBSTITUTE(SUBSTITUTE(UPPER($T278)," ",""),"P",""),";",REPT(" ",30)),31,30))),0)+IFERROR(VALUE(TRIM(MID(SUBSTITUTE(SUBSTITUTE(SUBSTITUTE(UPPER($T278)," ",""),"P",""),";",REPT(" ",30)),61,30))),0)+IFERROR(VALUE(TRIM(MID(SUBSTITUTE(SUBSTITUTE(SUBSTITUTE(UPPER($T278)," ",""),"P",""),";",REPT(" ",30)),91,30))),0)+IFERROR(VALUE(TRIM(MID(SUBSTITUTE(SUBSTITUTE(SUBSTITUTE(UPPER($T278)," ",""),"P",""),";",REPT(" ",30)),121,30))),0)+IFERROR(VALUE(TRIM(MID(SUBSTITUTE(SUBSTITUTE(SUBSTITUTE(UPPER($T278)," ",""),"P",""),";",REPT(" ",30)),151,30))),0)+IFERROR(VALUE(TRIM(MID(SUBSTITUTE(SUBSTITUTE(SUBSTITUTE(UPPER($T278)," ",""),"P",""),";",REPT(" ",30)),181,30))),0)+IFERROR(VALUE(TRIM(MID(SUBSTITUTE(SUBSTITUTE(SUBSTITUTE(UPPER($T278)," ",""),"P",""),";",REPT(" ",30)),211,30))),0)))))</f>
        <v/>
      </c>
      <c r="W278" s="24" t="n"/>
      <c r="X278" s="14" t="n"/>
    </row>
    <row r="279">
      <c r="A279" s="6">
        <f>IF($C279="","",56)</f>
        <v/>
      </c>
      <c r="B279" s="6">
        <f>IF($C279="","","1ª Sessão")</f>
        <v/>
      </c>
      <c r="C279" s="6">
        <f>IF(Preenchimento!$B$65="","",Preenchimento!$B$65)</f>
        <v/>
      </c>
      <c r="D279" s="6">
        <f>IF($C279="","",IF(Preenchimento!$C$65="","-",Preenchimento!$C$65))</f>
        <v/>
      </c>
      <c r="E279" s="6" t="n"/>
      <c r="F279" s="6" t="n"/>
      <c r="G279" s="26" t="n"/>
      <c r="H279" s="6" t="n"/>
      <c r="I279" s="13" t="n"/>
      <c r="J279" s="27">
        <f>IF($C279="","",IF($E279="Falta","-",MAX(0,MIN(10,8+IFERROR(VALUE(TRIM(MID(SUBSTITUTE(SUBSTITUTE(SUBSTITUTE(UPPER($H279)," ",""),"D",""),";",REPT(" ",30)),1,30))),0)+IFERROR(VALUE(TRIM(MID(SUBSTITUTE(SUBSTITUTE(SUBSTITUTE(UPPER($H279)," ",""),"D",""),";",REPT(" ",30)),31,30))),0)+IFERROR(VALUE(TRIM(MID(SUBSTITUTE(SUBSTITUTE(SUBSTITUTE(UPPER($H279)," ",""),"D",""),";",REPT(" ",30)),61,30))),0)+IFERROR(VALUE(TRIM(MID(SUBSTITUTE(SUBSTITUTE(SUBSTITUTE(UPPER($H279)," ",""),"D",""),";",REPT(" ",30)),91,30))),0)+IFERROR(VALUE(TRIM(MID(SUBSTITUTE(SUBSTITUTE(SUBSTITUTE(UPPER($H279)," ",""),"D",""),";",REPT(" ",30)),121,30))),0)+IFERROR(VALUE(TRIM(MID(SUBSTITUTE(SUBSTITUTE(SUBSTITUTE(UPPER($H279)," ",""),"D",""),";",REPT(" ",30)),151,30))),0)+IFERROR(VALUE(TRIM(MID(SUBSTITUTE(SUBSTITUTE(SUBSTITUTE(UPPER($H279)," ",""),"D",""),";",REPT(" ",30)),181,30))),0)+IFERROR(VALUE(TRIM(MID(SUBSTITUTE(SUBSTITUTE(SUBSTITUTE(UPPER($H279)," ",""),"D",""),";",REPT(" ",30)),211,30))),0)))))</f>
        <v/>
      </c>
      <c r="K279" s="26" t="n"/>
      <c r="L279" s="6" t="n"/>
      <c r="M279" s="13" t="n"/>
      <c r="N279" s="27">
        <f>IF($C279="","",IF($E279="Falta","-",MAX(0,MIN(10,8+IFERROR(VALUE(TRIM(MID(SUBSTITUTE(SUBSTITUTE(SUBSTITUTE(UPPER($L279)," ",""),"F",""),";",REPT(" ",30)),1,30))),0)+IFERROR(VALUE(TRIM(MID(SUBSTITUTE(SUBSTITUTE(SUBSTITUTE(UPPER($L279)," ",""),"F",""),";",REPT(" ",30)),31,30))),0)+IFERROR(VALUE(TRIM(MID(SUBSTITUTE(SUBSTITUTE(SUBSTITUTE(UPPER($L279)," ",""),"F",""),";",REPT(" ",30)),61,30))),0)+IFERROR(VALUE(TRIM(MID(SUBSTITUTE(SUBSTITUTE(SUBSTITUTE(UPPER($L279)," ",""),"F",""),";",REPT(" ",30)),91,30))),0)+IFERROR(VALUE(TRIM(MID(SUBSTITUTE(SUBSTITUTE(SUBSTITUTE(UPPER($L279)," ",""),"F",""),";",REPT(" ",30)),121,30))),0)+IFERROR(VALUE(TRIM(MID(SUBSTITUTE(SUBSTITUTE(SUBSTITUTE(UPPER($L279)," ",""),"F",""),";",REPT(" ",30)),151,30))),0)+IFERROR(VALUE(TRIM(MID(SUBSTITUTE(SUBSTITUTE(SUBSTITUTE(UPPER($L279)," ",""),"F",""),";",REPT(" ",30)),181,30))),0)+IFERROR(VALUE(TRIM(MID(SUBSTITUTE(SUBSTITUTE(SUBSTITUTE(UPPER($L279)," ",""),"F",""),";",REPT(" ",30)),211,30))),0)))))</f>
        <v/>
      </c>
      <c r="O279" s="26" t="n"/>
      <c r="P279" s="6" t="n"/>
      <c r="Q279" s="13" t="n"/>
      <c r="R279" s="27">
        <f>IF($C279="","",IF($E279="Falta","-",MAX(0,MIN(10,5+IFERROR(VALUE(TRIM(MID(SUBSTITUTE(SUBSTITUTE(SUBSTITUTE(UPPER($P279)," ",""),"C",""),";",REPT(" ",30)),1,30))),0)+IFERROR(VALUE(TRIM(MID(SUBSTITUTE(SUBSTITUTE(SUBSTITUTE(UPPER($P279)," ",""),"C",""),";",REPT(" ",30)),31,30))),0)+IFERROR(VALUE(TRIM(MID(SUBSTITUTE(SUBSTITUTE(SUBSTITUTE(UPPER($P279)," ",""),"C",""),";",REPT(" ",30)),61,30))),0)+IFERROR(VALUE(TRIM(MID(SUBSTITUTE(SUBSTITUTE(SUBSTITUTE(UPPER($P279)," ",""),"C",""),";",REPT(" ",30)),91,30))),0)+IFERROR(VALUE(TRIM(MID(SUBSTITUTE(SUBSTITUTE(SUBSTITUTE(UPPER($P279)," ",""),"C",""),";",REPT(" ",30)),121,30))),0)+IFERROR(VALUE(TRIM(MID(SUBSTITUTE(SUBSTITUTE(SUBSTITUTE(UPPER($P279)," ",""),"C",""),";",REPT(" ",30)),151,30))),0)+IFERROR(VALUE(TRIM(MID(SUBSTITUTE(SUBSTITUTE(SUBSTITUTE(UPPER($P279)," ",""),"C",""),";",REPT(" ",30)),181,30))),0)+IFERROR(VALUE(TRIM(MID(SUBSTITUTE(SUBSTITUTE(SUBSTITUTE(UPPER($P279)," ",""),"C",""),";",REPT(" ",30)),211,30))),0)))))</f>
        <v/>
      </c>
      <c r="S279" s="26" t="n"/>
      <c r="T279" s="6" t="n"/>
      <c r="U279" s="13" t="n"/>
      <c r="V279" s="27">
        <f>IF($C279="","",IF($E279="Falta","-",MAX(0,MIN(10,5+IFERROR(VALUE(TRIM(MID(SUBSTITUTE(SUBSTITUTE(SUBSTITUTE(UPPER($T279)," ",""),"P",""),";",REPT(" ",30)),1,30))),0)+IFERROR(VALUE(TRIM(MID(SUBSTITUTE(SUBSTITUTE(SUBSTITUTE(UPPER($T279)," ",""),"P",""),";",REPT(" ",30)),31,30))),0)+IFERROR(VALUE(TRIM(MID(SUBSTITUTE(SUBSTITUTE(SUBSTITUTE(UPPER($T279)," ",""),"P",""),";",REPT(" ",30)),61,30))),0)+IFERROR(VALUE(TRIM(MID(SUBSTITUTE(SUBSTITUTE(SUBSTITUTE(UPPER($T279)," ",""),"P",""),";",REPT(" ",30)),91,30))),0)+IFERROR(VALUE(TRIM(MID(SUBSTITUTE(SUBSTITUTE(SUBSTITUTE(UPPER($T279)," ",""),"P",""),";",REPT(" ",30)),121,30))),0)+IFERROR(VALUE(TRIM(MID(SUBSTITUTE(SUBSTITUTE(SUBSTITUTE(UPPER($T279)," ",""),"P",""),";",REPT(" ",30)),151,30))),0)+IFERROR(VALUE(TRIM(MID(SUBSTITUTE(SUBSTITUTE(SUBSTITUTE(UPPER($T279)," ",""),"P",""),";",REPT(" ",30)),181,30))),0)+IFERROR(VALUE(TRIM(MID(SUBSTITUTE(SUBSTITUTE(SUBSTITUTE(UPPER($T279)," ",""),"P",""),";",REPT(" ",30)),211,30))),0)))))</f>
        <v/>
      </c>
      <c r="W279" s="26" t="n"/>
      <c r="X279" s="13" t="n"/>
    </row>
    <row r="280">
      <c r="A280" s="6">
        <f>IF($C280="","",56)</f>
        <v/>
      </c>
      <c r="B280" s="6">
        <f>IF($C280="","","2ª Sessão")</f>
        <v/>
      </c>
      <c r="C280" s="6">
        <f>IF(Preenchimento!$B$65="","",Preenchimento!$B$65)</f>
        <v/>
      </c>
      <c r="D280" s="6">
        <f>IF($C280="","",IF(Preenchimento!$C$65="","-",Preenchimento!$C$65))</f>
        <v/>
      </c>
      <c r="E280" s="6" t="n"/>
      <c r="F280" s="6" t="n"/>
      <c r="G280" s="26" t="n"/>
      <c r="H280" s="6" t="n"/>
      <c r="I280" s="13" t="n"/>
      <c r="J280" s="27">
        <f>IF($C280="","",IF($E280="Falta","-",MAX(0,MIN(10,8+IFERROR(VALUE(TRIM(MID(SUBSTITUTE(SUBSTITUTE(SUBSTITUTE(UPPER($H280)," ",""),"D",""),";",REPT(" ",30)),1,30))),0)+IFERROR(VALUE(TRIM(MID(SUBSTITUTE(SUBSTITUTE(SUBSTITUTE(UPPER($H280)," ",""),"D",""),";",REPT(" ",30)),31,30))),0)+IFERROR(VALUE(TRIM(MID(SUBSTITUTE(SUBSTITUTE(SUBSTITUTE(UPPER($H280)," ",""),"D",""),";",REPT(" ",30)),61,30))),0)+IFERROR(VALUE(TRIM(MID(SUBSTITUTE(SUBSTITUTE(SUBSTITUTE(UPPER($H280)," ",""),"D",""),";",REPT(" ",30)),91,30))),0)+IFERROR(VALUE(TRIM(MID(SUBSTITUTE(SUBSTITUTE(SUBSTITUTE(UPPER($H280)," ",""),"D",""),";",REPT(" ",30)),121,30))),0)+IFERROR(VALUE(TRIM(MID(SUBSTITUTE(SUBSTITUTE(SUBSTITUTE(UPPER($H280)," ",""),"D",""),";",REPT(" ",30)),151,30))),0)+IFERROR(VALUE(TRIM(MID(SUBSTITUTE(SUBSTITUTE(SUBSTITUTE(UPPER($H280)," ",""),"D",""),";",REPT(" ",30)),181,30))),0)+IFERROR(VALUE(TRIM(MID(SUBSTITUTE(SUBSTITUTE(SUBSTITUTE(UPPER($H280)," ",""),"D",""),";",REPT(" ",30)),211,30))),0)))))</f>
        <v/>
      </c>
      <c r="K280" s="26" t="n"/>
      <c r="L280" s="6" t="n"/>
      <c r="M280" s="13" t="n"/>
      <c r="N280" s="27">
        <f>IF($C280="","",IF($E280="Falta","-",MAX(0,MIN(10,8+IFERROR(VALUE(TRIM(MID(SUBSTITUTE(SUBSTITUTE(SUBSTITUTE(UPPER($L280)," ",""),"F",""),";",REPT(" ",30)),1,30))),0)+IFERROR(VALUE(TRIM(MID(SUBSTITUTE(SUBSTITUTE(SUBSTITUTE(UPPER($L280)," ",""),"F",""),";",REPT(" ",30)),31,30))),0)+IFERROR(VALUE(TRIM(MID(SUBSTITUTE(SUBSTITUTE(SUBSTITUTE(UPPER($L280)," ",""),"F",""),";",REPT(" ",30)),61,30))),0)+IFERROR(VALUE(TRIM(MID(SUBSTITUTE(SUBSTITUTE(SUBSTITUTE(UPPER($L280)," ",""),"F",""),";",REPT(" ",30)),91,30))),0)+IFERROR(VALUE(TRIM(MID(SUBSTITUTE(SUBSTITUTE(SUBSTITUTE(UPPER($L280)," ",""),"F",""),";",REPT(" ",30)),121,30))),0)+IFERROR(VALUE(TRIM(MID(SUBSTITUTE(SUBSTITUTE(SUBSTITUTE(UPPER($L280)," ",""),"F",""),";",REPT(" ",30)),151,30))),0)+IFERROR(VALUE(TRIM(MID(SUBSTITUTE(SUBSTITUTE(SUBSTITUTE(UPPER($L280)," ",""),"F",""),";",REPT(" ",30)),181,30))),0)+IFERROR(VALUE(TRIM(MID(SUBSTITUTE(SUBSTITUTE(SUBSTITUTE(UPPER($L280)," ",""),"F",""),";",REPT(" ",30)),211,30))),0)))))</f>
        <v/>
      </c>
      <c r="O280" s="26" t="n"/>
      <c r="P280" s="6" t="n"/>
      <c r="Q280" s="13" t="n"/>
      <c r="R280" s="27">
        <f>IF($C280="","",IF($E280="Falta","-",MAX(0,MIN(10,5+IFERROR(VALUE(TRIM(MID(SUBSTITUTE(SUBSTITUTE(SUBSTITUTE(UPPER($P280)," ",""),"C",""),";",REPT(" ",30)),1,30))),0)+IFERROR(VALUE(TRIM(MID(SUBSTITUTE(SUBSTITUTE(SUBSTITUTE(UPPER($P280)," ",""),"C",""),";",REPT(" ",30)),31,30))),0)+IFERROR(VALUE(TRIM(MID(SUBSTITUTE(SUBSTITUTE(SUBSTITUTE(UPPER($P280)," ",""),"C",""),";",REPT(" ",30)),61,30))),0)+IFERROR(VALUE(TRIM(MID(SUBSTITUTE(SUBSTITUTE(SUBSTITUTE(UPPER($P280)," ",""),"C",""),";",REPT(" ",30)),91,30))),0)+IFERROR(VALUE(TRIM(MID(SUBSTITUTE(SUBSTITUTE(SUBSTITUTE(UPPER($P280)," ",""),"C",""),";",REPT(" ",30)),121,30))),0)+IFERROR(VALUE(TRIM(MID(SUBSTITUTE(SUBSTITUTE(SUBSTITUTE(UPPER($P280)," ",""),"C",""),";",REPT(" ",30)),151,30))),0)+IFERROR(VALUE(TRIM(MID(SUBSTITUTE(SUBSTITUTE(SUBSTITUTE(UPPER($P280)," ",""),"C",""),";",REPT(" ",30)),181,30))),0)+IFERROR(VALUE(TRIM(MID(SUBSTITUTE(SUBSTITUTE(SUBSTITUTE(UPPER($P280)," ",""),"C",""),";",REPT(" ",30)),211,30))),0)))))</f>
        <v/>
      </c>
      <c r="S280" s="26" t="n"/>
      <c r="T280" s="6" t="n"/>
      <c r="U280" s="13" t="n"/>
      <c r="V280" s="27">
        <f>IF($C280="","",IF($E280="Falta","-",MAX(0,MIN(10,5+IFERROR(VALUE(TRIM(MID(SUBSTITUTE(SUBSTITUTE(SUBSTITUTE(UPPER($T280)," ",""),"P",""),";",REPT(" ",30)),1,30))),0)+IFERROR(VALUE(TRIM(MID(SUBSTITUTE(SUBSTITUTE(SUBSTITUTE(UPPER($T280)," ",""),"P",""),";",REPT(" ",30)),31,30))),0)+IFERROR(VALUE(TRIM(MID(SUBSTITUTE(SUBSTITUTE(SUBSTITUTE(UPPER($T280)," ",""),"P",""),";",REPT(" ",30)),61,30))),0)+IFERROR(VALUE(TRIM(MID(SUBSTITUTE(SUBSTITUTE(SUBSTITUTE(UPPER($T280)," ",""),"P",""),";",REPT(" ",30)),91,30))),0)+IFERROR(VALUE(TRIM(MID(SUBSTITUTE(SUBSTITUTE(SUBSTITUTE(UPPER($T280)," ",""),"P",""),";",REPT(" ",30)),121,30))),0)+IFERROR(VALUE(TRIM(MID(SUBSTITUTE(SUBSTITUTE(SUBSTITUTE(UPPER($T280)," ",""),"P",""),";",REPT(" ",30)),151,30))),0)+IFERROR(VALUE(TRIM(MID(SUBSTITUTE(SUBSTITUTE(SUBSTITUTE(UPPER($T280)," ",""),"P",""),";",REPT(" ",30)),181,30))),0)+IFERROR(VALUE(TRIM(MID(SUBSTITUTE(SUBSTITUTE(SUBSTITUTE(UPPER($T280)," ",""),"P",""),";",REPT(" ",30)),211,30))),0)))))</f>
        <v/>
      </c>
      <c r="W280" s="26" t="n"/>
      <c r="X280" s="13" t="n"/>
    </row>
    <row r="281">
      <c r="A281" s="6">
        <f>IF($C281="","",56)</f>
        <v/>
      </c>
      <c r="B281" s="6">
        <f>IF($C281="","","3ª Sessão")</f>
        <v/>
      </c>
      <c r="C281" s="6">
        <f>IF(Preenchimento!$B$65="","",Preenchimento!$B$65)</f>
        <v/>
      </c>
      <c r="D281" s="6">
        <f>IF($C281="","",IF(Preenchimento!$C$65="","-",Preenchimento!$C$65))</f>
        <v/>
      </c>
      <c r="E281" s="6" t="n"/>
      <c r="F281" s="6" t="n"/>
      <c r="G281" s="26" t="n"/>
      <c r="H281" s="6" t="n"/>
      <c r="I281" s="13" t="n"/>
      <c r="J281" s="27">
        <f>IF($C281="","",IF($E281="Falta","-",MAX(0,MIN(10,8+IFERROR(VALUE(TRIM(MID(SUBSTITUTE(SUBSTITUTE(SUBSTITUTE(UPPER($H281)," ",""),"D",""),";",REPT(" ",30)),1,30))),0)+IFERROR(VALUE(TRIM(MID(SUBSTITUTE(SUBSTITUTE(SUBSTITUTE(UPPER($H281)," ",""),"D",""),";",REPT(" ",30)),31,30))),0)+IFERROR(VALUE(TRIM(MID(SUBSTITUTE(SUBSTITUTE(SUBSTITUTE(UPPER($H281)," ",""),"D",""),";",REPT(" ",30)),61,30))),0)+IFERROR(VALUE(TRIM(MID(SUBSTITUTE(SUBSTITUTE(SUBSTITUTE(UPPER($H281)," ",""),"D",""),";",REPT(" ",30)),91,30))),0)+IFERROR(VALUE(TRIM(MID(SUBSTITUTE(SUBSTITUTE(SUBSTITUTE(UPPER($H281)," ",""),"D",""),";",REPT(" ",30)),121,30))),0)+IFERROR(VALUE(TRIM(MID(SUBSTITUTE(SUBSTITUTE(SUBSTITUTE(UPPER($H281)," ",""),"D",""),";",REPT(" ",30)),151,30))),0)+IFERROR(VALUE(TRIM(MID(SUBSTITUTE(SUBSTITUTE(SUBSTITUTE(UPPER($H281)," ",""),"D",""),";",REPT(" ",30)),181,30))),0)+IFERROR(VALUE(TRIM(MID(SUBSTITUTE(SUBSTITUTE(SUBSTITUTE(UPPER($H281)," ",""),"D",""),";",REPT(" ",30)),211,30))),0)))))</f>
        <v/>
      </c>
      <c r="K281" s="26" t="n"/>
      <c r="L281" s="6" t="n"/>
      <c r="M281" s="13" t="n"/>
      <c r="N281" s="27">
        <f>IF($C281="","",IF($E281="Falta","-",MAX(0,MIN(10,8+IFERROR(VALUE(TRIM(MID(SUBSTITUTE(SUBSTITUTE(SUBSTITUTE(UPPER($L281)," ",""),"F",""),";",REPT(" ",30)),1,30))),0)+IFERROR(VALUE(TRIM(MID(SUBSTITUTE(SUBSTITUTE(SUBSTITUTE(UPPER($L281)," ",""),"F",""),";",REPT(" ",30)),31,30))),0)+IFERROR(VALUE(TRIM(MID(SUBSTITUTE(SUBSTITUTE(SUBSTITUTE(UPPER($L281)," ",""),"F",""),";",REPT(" ",30)),61,30))),0)+IFERROR(VALUE(TRIM(MID(SUBSTITUTE(SUBSTITUTE(SUBSTITUTE(UPPER($L281)," ",""),"F",""),";",REPT(" ",30)),91,30))),0)+IFERROR(VALUE(TRIM(MID(SUBSTITUTE(SUBSTITUTE(SUBSTITUTE(UPPER($L281)," ",""),"F",""),";",REPT(" ",30)),121,30))),0)+IFERROR(VALUE(TRIM(MID(SUBSTITUTE(SUBSTITUTE(SUBSTITUTE(UPPER($L281)," ",""),"F",""),";",REPT(" ",30)),151,30))),0)+IFERROR(VALUE(TRIM(MID(SUBSTITUTE(SUBSTITUTE(SUBSTITUTE(UPPER($L281)," ",""),"F",""),";",REPT(" ",30)),181,30))),0)+IFERROR(VALUE(TRIM(MID(SUBSTITUTE(SUBSTITUTE(SUBSTITUTE(UPPER($L281)," ",""),"F",""),";",REPT(" ",30)),211,30))),0)))))</f>
        <v/>
      </c>
      <c r="O281" s="26" t="n"/>
      <c r="P281" s="6" t="n"/>
      <c r="Q281" s="13" t="n"/>
      <c r="R281" s="27">
        <f>IF($C281="","",IF($E281="Falta","-",MAX(0,MIN(10,5+IFERROR(VALUE(TRIM(MID(SUBSTITUTE(SUBSTITUTE(SUBSTITUTE(UPPER($P281)," ",""),"C",""),";",REPT(" ",30)),1,30))),0)+IFERROR(VALUE(TRIM(MID(SUBSTITUTE(SUBSTITUTE(SUBSTITUTE(UPPER($P281)," ",""),"C",""),";",REPT(" ",30)),31,30))),0)+IFERROR(VALUE(TRIM(MID(SUBSTITUTE(SUBSTITUTE(SUBSTITUTE(UPPER($P281)," ",""),"C",""),";",REPT(" ",30)),61,30))),0)+IFERROR(VALUE(TRIM(MID(SUBSTITUTE(SUBSTITUTE(SUBSTITUTE(UPPER($P281)," ",""),"C",""),";",REPT(" ",30)),91,30))),0)+IFERROR(VALUE(TRIM(MID(SUBSTITUTE(SUBSTITUTE(SUBSTITUTE(UPPER($P281)," ",""),"C",""),";",REPT(" ",30)),121,30))),0)+IFERROR(VALUE(TRIM(MID(SUBSTITUTE(SUBSTITUTE(SUBSTITUTE(UPPER($P281)," ",""),"C",""),";",REPT(" ",30)),151,30))),0)+IFERROR(VALUE(TRIM(MID(SUBSTITUTE(SUBSTITUTE(SUBSTITUTE(UPPER($P281)," ",""),"C",""),";",REPT(" ",30)),181,30))),0)+IFERROR(VALUE(TRIM(MID(SUBSTITUTE(SUBSTITUTE(SUBSTITUTE(UPPER($P281)," ",""),"C",""),";",REPT(" ",30)),211,30))),0)))))</f>
        <v/>
      </c>
      <c r="S281" s="26" t="n"/>
      <c r="T281" s="6" t="n"/>
      <c r="U281" s="13" t="n"/>
      <c r="V281" s="27">
        <f>IF($C281="","",IF($E281="Falta","-",MAX(0,MIN(10,5+IFERROR(VALUE(TRIM(MID(SUBSTITUTE(SUBSTITUTE(SUBSTITUTE(UPPER($T281)," ",""),"P",""),";",REPT(" ",30)),1,30))),0)+IFERROR(VALUE(TRIM(MID(SUBSTITUTE(SUBSTITUTE(SUBSTITUTE(UPPER($T281)," ",""),"P",""),";",REPT(" ",30)),31,30))),0)+IFERROR(VALUE(TRIM(MID(SUBSTITUTE(SUBSTITUTE(SUBSTITUTE(UPPER($T281)," ",""),"P",""),";",REPT(" ",30)),61,30))),0)+IFERROR(VALUE(TRIM(MID(SUBSTITUTE(SUBSTITUTE(SUBSTITUTE(UPPER($T281)," ",""),"P",""),";",REPT(" ",30)),91,30))),0)+IFERROR(VALUE(TRIM(MID(SUBSTITUTE(SUBSTITUTE(SUBSTITUTE(UPPER($T281)," ",""),"P",""),";",REPT(" ",30)),121,30))),0)+IFERROR(VALUE(TRIM(MID(SUBSTITUTE(SUBSTITUTE(SUBSTITUTE(UPPER($T281)," ",""),"P",""),";",REPT(" ",30)),151,30))),0)+IFERROR(VALUE(TRIM(MID(SUBSTITUTE(SUBSTITUTE(SUBSTITUTE(UPPER($T281)," ",""),"P",""),";",REPT(" ",30)),181,30))),0)+IFERROR(VALUE(TRIM(MID(SUBSTITUTE(SUBSTITUTE(SUBSTITUTE(UPPER($T281)," ",""),"P",""),";",REPT(" ",30)),211,30))),0)))))</f>
        <v/>
      </c>
      <c r="W281" s="26" t="n"/>
      <c r="X281" s="13" t="n"/>
    </row>
    <row r="282">
      <c r="A282" s="6">
        <f>IF($C282="","",56)</f>
        <v/>
      </c>
      <c r="B282" s="6">
        <f>IF($C282="","","4ª Sessão")</f>
        <v/>
      </c>
      <c r="C282" s="6">
        <f>IF(Preenchimento!$B$65="","",Preenchimento!$B$65)</f>
        <v/>
      </c>
      <c r="D282" s="6">
        <f>IF($C282="","",IF(Preenchimento!$C$65="","-",Preenchimento!$C$65))</f>
        <v/>
      </c>
      <c r="E282" s="6" t="n"/>
      <c r="F282" s="6" t="n"/>
      <c r="G282" s="26" t="n"/>
      <c r="H282" s="6" t="n"/>
      <c r="I282" s="13" t="n"/>
      <c r="J282" s="27">
        <f>IF($C282="","",IF($E282="Falta","-",MAX(0,MIN(10,8+IFERROR(VALUE(TRIM(MID(SUBSTITUTE(SUBSTITUTE(SUBSTITUTE(UPPER($H282)," ",""),"D",""),";",REPT(" ",30)),1,30))),0)+IFERROR(VALUE(TRIM(MID(SUBSTITUTE(SUBSTITUTE(SUBSTITUTE(UPPER($H282)," ",""),"D",""),";",REPT(" ",30)),31,30))),0)+IFERROR(VALUE(TRIM(MID(SUBSTITUTE(SUBSTITUTE(SUBSTITUTE(UPPER($H282)," ",""),"D",""),";",REPT(" ",30)),61,30))),0)+IFERROR(VALUE(TRIM(MID(SUBSTITUTE(SUBSTITUTE(SUBSTITUTE(UPPER($H282)," ",""),"D",""),";",REPT(" ",30)),91,30))),0)+IFERROR(VALUE(TRIM(MID(SUBSTITUTE(SUBSTITUTE(SUBSTITUTE(UPPER($H282)," ",""),"D",""),";",REPT(" ",30)),121,30))),0)+IFERROR(VALUE(TRIM(MID(SUBSTITUTE(SUBSTITUTE(SUBSTITUTE(UPPER($H282)," ",""),"D",""),";",REPT(" ",30)),151,30))),0)+IFERROR(VALUE(TRIM(MID(SUBSTITUTE(SUBSTITUTE(SUBSTITUTE(UPPER($H282)," ",""),"D",""),";",REPT(" ",30)),181,30))),0)+IFERROR(VALUE(TRIM(MID(SUBSTITUTE(SUBSTITUTE(SUBSTITUTE(UPPER($H282)," ",""),"D",""),";",REPT(" ",30)),211,30))),0)))))</f>
        <v/>
      </c>
      <c r="K282" s="26" t="n"/>
      <c r="L282" s="6" t="n"/>
      <c r="M282" s="13" t="n"/>
      <c r="N282" s="27">
        <f>IF($C282="","",IF($E282="Falta","-",MAX(0,MIN(10,8+IFERROR(VALUE(TRIM(MID(SUBSTITUTE(SUBSTITUTE(SUBSTITUTE(UPPER($L282)," ",""),"F",""),";",REPT(" ",30)),1,30))),0)+IFERROR(VALUE(TRIM(MID(SUBSTITUTE(SUBSTITUTE(SUBSTITUTE(UPPER($L282)," ",""),"F",""),";",REPT(" ",30)),31,30))),0)+IFERROR(VALUE(TRIM(MID(SUBSTITUTE(SUBSTITUTE(SUBSTITUTE(UPPER($L282)," ",""),"F",""),";",REPT(" ",30)),61,30))),0)+IFERROR(VALUE(TRIM(MID(SUBSTITUTE(SUBSTITUTE(SUBSTITUTE(UPPER($L282)," ",""),"F",""),";",REPT(" ",30)),91,30))),0)+IFERROR(VALUE(TRIM(MID(SUBSTITUTE(SUBSTITUTE(SUBSTITUTE(UPPER($L282)," ",""),"F",""),";",REPT(" ",30)),121,30))),0)+IFERROR(VALUE(TRIM(MID(SUBSTITUTE(SUBSTITUTE(SUBSTITUTE(UPPER($L282)," ",""),"F",""),";",REPT(" ",30)),151,30))),0)+IFERROR(VALUE(TRIM(MID(SUBSTITUTE(SUBSTITUTE(SUBSTITUTE(UPPER($L282)," ",""),"F",""),";",REPT(" ",30)),181,30))),0)+IFERROR(VALUE(TRIM(MID(SUBSTITUTE(SUBSTITUTE(SUBSTITUTE(UPPER($L282)," ",""),"F",""),";",REPT(" ",30)),211,30))),0)))))</f>
        <v/>
      </c>
      <c r="O282" s="26" t="n"/>
      <c r="P282" s="6" t="n"/>
      <c r="Q282" s="13" t="n"/>
      <c r="R282" s="27">
        <f>IF($C282="","",IF($E282="Falta","-",MAX(0,MIN(10,5+IFERROR(VALUE(TRIM(MID(SUBSTITUTE(SUBSTITUTE(SUBSTITUTE(UPPER($P282)," ",""),"C",""),";",REPT(" ",30)),1,30))),0)+IFERROR(VALUE(TRIM(MID(SUBSTITUTE(SUBSTITUTE(SUBSTITUTE(UPPER($P282)," ",""),"C",""),";",REPT(" ",30)),31,30))),0)+IFERROR(VALUE(TRIM(MID(SUBSTITUTE(SUBSTITUTE(SUBSTITUTE(UPPER($P282)," ",""),"C",""),";",REPT(" ",30)),61,30))),0)+IFERROR(VALUE(TRIM(MID(SUBSTITUTE(SUBSTITUTE(SUBSTITUTE(UPPER($P282)," ",""),"C",""),";",REPT(" ",30)),91,30))),0)+IFERROR(VALUE(TRIM(MID(SUBSTITUTE(SUBSTITUTE(SUBSTITUTE(UPPER($P282)," ",""),"C",""),";",REPT(" ",30)),121,30))),0)+IFERROR(VALUE(TRIM(MID(SUBSTITUTE(SUBSTITUTE(SUBSTITUTE(UPPER($P282)," ",""),"C",""),";",REPT(" ",30)),151,30))),0)+IFERROR(VALUE(TRIM(MID(SUBSTITUTE(SUBSTITUTE(SUBSTITUTE(UPPER($P282)," ",""),"C",""),";",REPT(" ",30)),181,30))),0)+IFERROR(VALUE(TRIM(MID(SUBSTITUTE(SUBSTITUTE(SUBSTITUTE(UPPER($P282)," ",""),"C",""),";",REPT(" ",30)),211,30))),0)))))</f>
        <v/>
      </c>
      <c r="S282" s="26" t="n"/>
      <c r="T282" s="6" t="n"/>
      <c r="U282" s="13" t="n"/>
      <c r="V282" s="27">
        <f>IF($C282="","",IF($E282="Falta","-",MAX(0,MIN(10,5+IFERROR(VALUE(TRIM(MID(SUBSTITUTE(SUBSTITUTE(SUBSTITUTE(UPPER($T282)," ",""),"P",""),";",REPT(" ",30)),1,30))),0)+IFERROR(VALUE(TRIM(MID(SUBSTITUTE(SUBSTITUTE(SUBSTITUTE(UPPER($T282)," ",""),"P",""),";",REPT(" ",30)),31,30))),0)+IFERROR(VALUE(TRIM(MID(SUBSTITUTE(SUBSTITUTE(SUBSTITUTE(UPPER($T282)," ",""),"P",""),";",REPT(" ",30)),61,30))),0)+IFERROR(VALUE(TRIM(MID(SUBSTITUTE(SUBSTITUTE(SUBSTITUTE(UPPER($T282)," ",""),"P",""),";",REPT(" ",30)),91,30))),0)+IFERROR(VALUE(TRIM(MID(SUBSTITUTE(SUBSTITUTE(SUBSTITUTE(UPPER($T282)," ",""),"P",""),";",REPT(" ",30)),121,30))),0)+IFERROR(VALUE(TRIM(MID(SUBSTITUTE(SUBSTITUTE(SUBSTITUTE(UPPER($T282)," ",""),"P",""),";",REPT(" ",30)),151,30))),0)+IFERROR(VALUE(TRIM(MID(SUBSTITUTE(SUBSTITUTE(SUBSTITUTE(UPPER($T282)," ",""),"P",""),";",REPT(" ",30)),181,30))),0)+IFERROR(VALUE(TRIM(MID(SUBSTITUTE(SUBSTITUTE(SUBSTITUTE(UPPER($T282)," ",""),"P",""),";",REPT(" ",30)),211,30))),0)))))</f>
        <v/>
      </c>
      <c r="W282" s="26" t="n"/>
      <c r="X282" s="13" t="n"/>
    </row>
    <row r="283">
      <c r="A283" s="6">
        <f>IF($C283="","",56)</f>
        <v/>
      </c>
      <c r="B283" s="6">
        <f>IF($C283="","","5ª Sessão")</f>
        <v/>
      </c>
      <c r="C283" s="6">
        <f>IF(Preenchimento!$B$65="","",Preenchimento!$B$65)</f>
        <v/>
      </c>
      <c r="D283" s="6">
        <f>IF($C283="","",IF(Preenchimento!$C$65="","-",Preenchimento!$C$65))</f>
        <v/>
      </c>
      <c r="E283" s="6" t="n"/>
      <c r="F283" s="6" t="n"/>
      <c r="G283" s="26" t="n"/>
      <c r="H283" s="6" t="n"/>
      <c r="I283" s="13" t="n"/>
      <c r="J283" s="27">
        <f>IF($C283="","",IF($E283="Falta","-",MAX(0,MIN(10,8+IFERROR(VALUE(TRIM(MID(SUBSTITUTE(SUBSTITUTE(SUBSTITUTE(UPPER($H283)," ",""),"D",""),";",REPT(" ",30)),1,30))),0)+IFERROR(VALUE(TRIM(MID(SUBSTITUTE(SUBSTITUTE(SUBSTITUTE(UPPER($H283)," ",""),"D",""),";",REPT(" ",30)),31,30))),0)+IFERROR(VALUE(TRIM(MID(SUBSTITUTE(SUBSTITUTE(SUBSTITUTE(UPPER($H283)," ",""),"D",""),";",REPT(" ",30)),61,30))),0)+IFERROR(VALUE(TRIM(MID(SUBSTITUTE(SUBSTITUTE(SUBSTITUTE(UPPER($H283)," ",""),"D",""),";",REPT(" ",30)),91,30))),0)+IFERROR(VALUE(TRIM(MID(SUBSTITUTE(SUBSTITUTE(SUBSTITUTE(UPPER($H283)," ",""),"D",""),";",REPT(" ",30)),121,30))),0)+IFERROR(VALUE(TRIM(MID(SUBSTITUTE(SUBSTITUTE(SUBSTITUTE(UPPER($H283)," ",""),"D",""),";",REPT(" ",30)),151,30))),0)+IFERROR(VALUE(TRIM(MID(SUBSTITUTE(SUBSTITUTE(SUBSTITUTE(UPPER($H283)," ",""),"D",""),";",REPT(" ",30)),181,30))),0)+IFERROR(VALUE(TRIM(MID(SUBSTITUTE(SUBSTITUTE(SUBSTITUTE(UPPER($H283)," ",""),"D",""),";",REPT(" ",30)),211,30))),0)))))</f>
        <v/>
      </c>
      <c r="K283" s="26" t="n"/>
      <c r="L283" s="6" t="n"/>
      <c r="M283" s="13" t="n"/>
      <c r="N283" s="27">
        <f>IF($C283="","",IF($E283="Falta","-",MAX(0,MIN(10,8+IFERROR(VALUE(TRIM(MID(SUBSTITUTE(SUBSTITUTE(SUBSTITUTE(UPPER($L283)," ",""),"F",""),";",REPT(" ",30)),1,30))),0)+IFERROR(VALUE(TRIM(MID(SUBSTITUTE(SUBSTITUTE(SUBSTITUTE(UPPER($L283)," ",""),"F",""),";",REPT(" ",30)),31,30))),0)+IFERROR(VALUE(TRIM(MID(SUBSTITUTE(SUBSTITUTE(SUBSTITUTE(UPPER($L283)," ",""),"F",""),";",REPT(" ",30)),61,30))),0)+IFERROR(VALUE(TRIM(MID(SUBSTITUTE(SUBSTITUTE(SUBSTITUTE(UPPER($L283)," ",""),"F",""),";",REPT(" ",30)),91,30))),0)+IFERROR(VALUE(TRIM(MID(SUBSTITUTE(SUBSTITUTE(SUBSTITUTE(UPPER($L283)," ",""),"F",""),";",REPT(" ",30)),121,30))),0)+IFERROR(VALUE(TRIM(MID(SUBSTITUTE(SUBSTITUTE(SUBSTITUTE(UPPER($L283)," ",""),"F",""),";",REPT(" ",30)),151,30))),0)+IFERROR(VALUE(TRIM(MID(SUBSTITUTE(SUBSTITUTE(SUBSTITUTE(UPPER($L283)," ",""),"F",""),";",REPT(" ",30)),181,30))),0)+IFERROR(VALUE(TRIM(MID(SUBSTITUTE(SUBSTITUTE(SUBSTITUTE(UPPER($L283)," ",""),"F",""),";",REPT(" ",30)),211,30))),0)))))</f>
        <v/>
      </c>
      <c r="O283" s="26" t="n"/>
      <c r="P283" s="6" t="n"/>
      <c r="Q283" s="13" t="n"/>
      <c r="R283" s="27">
        <f>IF($C283="","",IF($E283="Falta","-",MAX(0,MIN(10,5+IFERROR(VALUE(TRIM(MID(SUBSTITUTE(SUBSTITUTE(SUBSTITUTE(UPPER($P283)," ",""),"C",""),";",REPT(" ",30)),1,30))),0)+IFERROR(VALUE(TRIM(MID(SUBSTITUTE(SUBSTITUTE(SUBSTITUTE(UPPER($P283)," ",""),"C",""),";",REPT(" ",30)),31,30))),0)+IFERROR(VALUE(TRIM(MID(SUBSTITUTE(SUBSTITUTE(SUBSTITUTE(UPPER($P283)," ",""),"C",""),";",REPT(" ",30)),61,30))),0)+IFERROR(VALUE(TRIM(MID(SUBSTITUTE(SUBSTITUTE(SUBSTITUTE(UPPER($P283)," ",""),"C",""),";",REPT(" ",30)),91,30))),0)+IFERROR(VALUE(TRIM(MID(SUBSTITUTE(SUBSTITUTE(SUBSTITUTE(UPPER($P283)," ",""),"C",""),";",REPT(" ",30)),121,30))),0)+IFERROR(VALUE(TRIM(MID(SUBSTITUTE(SUBSTITUTE(SUBSTITUTE(UPPER($P283)," ",""),"C",""),";",REPT(" ",30)),151,30))),0)+IFERROR(VALUE(TRIM(MID(SUBSTITUTE(SUBSTITUTE(SUBSTITUTE(UPPER($P283)," ",""),"C",""),";",REPT(" ",30)),181,30))),0)+IFERROR(VALUE(TRIM(MID(SUBSTITUTE(SUBSTITUTE(SUBSTITUTE(UPPER($P283)," ",""),"C",""),";",REPT(" ",30)),211,30))),0)))))</f>
        <v/>
      </c>
      <c r="S283" s="26" t="n"/>
      <c r="T283" s="6" t="n"/>
      <c r="U283" s="13" t="n"/>
      <c r="V283" s="27">
        <f>IF($C283="","",IF($E283="Falta","-",MAX(0,MIN(10,5+IFERROR(VALUE(TRIM(MID(SUBSTITUTE(SUBSTITUTE(SUBSTITUTE(UPPER($T283)," ",""),"P",""),";",REPT(" ",30)),1,30))),0)+IFERROR(VALUE(TRIM(MID(SUBSTITUTE(SUBSTITUTE(SUBSTITUTE(UPPER($T283)," ",""),"P",""),";",REPT(" ",30)),31,30))),0)+IFERROR(VALUE(TRIM(MID(SUBSTITUTE(SUBSTITUTE(SUBSTITUTE(UPPER($T283)," ",""),"P",""),";",REPT(" ",30)),61,30))),0)+IFERROR(VALUE(TRIM(MID(SUBSTITUTE(SUBSTITUTE(SUBSTITUTE(UPPER($T283)," ",""),"P",""),";",REPT(" ",30)),91,30))),0)+IFERROR(VALUE(TRIM(MID(SUBSTITUTE(SUBSTITUTE(SUBSTITUTE(UPPER($T283)," ",""),"P",""),";",REPT(" ",30)),121,30))),0)+IFERROR(VALUE(TRIM(MID(SUBSTITUTE(SUBSTITUTE(SUBSTITUTE(UPPER($T283)," ",""),"P",""),";",REPT(" ",30)),151,30))),0)+IFERROR(VALUE(TRIM(MID(SUBSTITUTE(SUBSTITUTE(SUBSTITUTE(UPPER($T283)," ",""),"P",""),";",REPT(" ",30)),181,30))),0)+IFERROR(VALUE(TRIM(MID(SUBSTITUTE(SUBSTITUTE(SUBSTITUTE(UPPER($T283)," ",""),"P",""),";",REPT(" ",30)),211,30))),0)))))</f>
        <v/>
      </c>
      <c r="W283" s="26" t="n"/>
      <c r="X283" s="13" t="n"/>
    </row>
    <row r="284">
      <c r="A284" s="8">
        <f>IF($C284="","",57)</f>
        <v/>
      </c>
      <c r="B284" s="8">
        <f>IF($C284="","","1ª Sessão")</f>
        <v/>
      </c>
      <c r="C284" s="8">
        <f>IF(Preenchimento!$B$66="","",Preenchimento!$B$66)</f>
        <v/>
      </c>
      <c r="D284" s="8">
        <f>IF($C284="","",IF(Preenchimento!$C$66="","-",Preenchimento!$C$66))</f>
        <v/>
      </c>
      <c r="E284" s="8" t="n"/>
      <c r="F284" s="8" t="n"/>
      <c r="G284" s="24" t="n"/>
      <c r="H284" s="8" t="n"/>
      <c r="I284" s="14" t="n"/>
      <c r="J284" s="25">
        <f>IF($C284="","",IF($E284="Falta","-",MAX(0,MIN(10,8+IFERROR(VALUE(TRIM(MID(SUBSTITUTE(SUBSTITUTE(SUBSTITUTE(UPPER($H284)," ",""),"D",""),";",REPT(" ",30)),1,30))),0)+IFERROR(VALUE(TRIM(MID(SUBSTITUTE(SUBSTITUTE(SUBSTITUTE(UPPER($H284)," ",""),"D",""),";",REPT(" ",30)),31,30))),0)+IFERROR(VALUE(TRIM(MID(SUBSTITUTE(SUBSTITUTE(SUBSTITUTE(UPPER($H284)," ",""),"D",""),";",REPT(" ",30)),61,30))),0)+IFERROR(VALUE(TRIM(MID(SUBSTITUTE(SUBSTITUTE(SUBSTITUTE(UPPER($H284)," ",""),"D",""),";",REPT(" ",30)),91,30))),0)+IFERROR(VALUE(TRIM(MID(SUBSTITUTE(SUBSTITUTE(SUBSTITUTE(UPPER($H284)," ",""),"D",""),";",REPT(" ",30)),121,30))),0)+IFERROR(VALUE(TRIM(MID(SUBSTITUTE(SUBSTITUTE(SUBSTITUTE(UPPER($H284)," ",""),"D",""),";",REPT(" ",30)),151,30))),0)+IFERROR(VALUE(TRIM(MID(SUBSTITUTE(SUBSTITUTE(SUBSTITUTE(UPPER($H284)," ",""),"D",""),";",REPT(" ",30)),181,30))),0)+IFERROR(VALUE(TRIM(MID(SUBSTITUTE(SUBSTITUTE(SUBSTITUTE(UPPER($H284)," ",""),"D",""),";",REPT(" ",30)),211,30))),0)))))</f>
        <v/>
      </c>
      <c r="K284" s="24" t="n"/>
      <c r="L284" s="8" t="n"/>
      <c r="M284" s="14" t="n"/>
      <c r="N284" s="25">
        <f>IF($C284="","",IF($E284="Falta","-",MAX(0,MIN(10,8+IFERROR(VALUE(TRIM(MID(SUBSTITUTE(SUBSTITUTE(SUBSTITUTE(UPPER($L284)," ",""),"F",""),";",REPT(" ",30)),1,30))),0)+IFERROR(VALUE(TRIM(MID(SUBSTITUTE(SUBSTITUTE(SUBSTITUTE(UPPER($L284)," ",""),"F",""),";",REPT(" ",30)),31,30))),0)+IFERROR(VALUE(TRIM(MID(SUBSTITUTE(SUBSTITUTE(SUBSTITUTE(UPPER($L284)," ",""),"F",""),";",REPT(" ",30)),61,30))),0)+IFERROR(VALUE(TRIM(MID(SUBSTITUTE(SUBSTITUTE(SUBSTITUTE(UPPER($L284)," ",""),"F",""),";",REPT(" ",30)),91,30))),0)+IFERROR(VALUE(TRIM(MID(SUBSTITUTE(SUBSTITUTE(SUBSTITUTE(UPPER($L284)," ",""),"F",""),";",REPT(" ",30)),121,30))),0)+IFERROR(VALUE(TRIM(MID(SUBSTITUTE(SUBSTITUTE(SUBSTITUTE(UPPER($L284)," ",""),"F",""),";",REPT(" ",30)),151,30))),0)+IFERROR(VALUE(TRIM(MID(SUBSTITUTE(SUBSTITUTE(SUBSTITUTE(UPPER($L284)," ",""),"F",""),";",REPT(" ",30)),181,30))),0)+IFERROR(VALUE(TRIM(MID(SUBSTITUTE(SUBSTITUTE(SUBSTITUTE(UPPER($L284)," ",""),"F",""),";",REPT(" ",30)),211,30))),0)))))</f>
        <v/>
      </c>
      <c r="O284" s="24" t="n"/>
      <c r="P284" s="8" t="n"/>
      <c r="Q284" s="14" t="n"/>
      <c r="R284" s="25">
        <f>IF($C284="","",IF($E284="Falta","-",MAX(0,MIN(10,5+IFERROR(VALUE(TRIM(MID(SUBSTITUTE(SUBSTITUTE(SUBSTITUTE(UPPER($P284)," ",""),"C",""),";",REPT(" ",30)),1,30))),0)+IFERROR(VALUE(TRIM(MID(SUBSTITUTE(SUBSTITUTE(SUBSTITUTE(UPPER($P284)," ",""),"C",""),";",REPT(" ",30)),31,30))),0)+IFERROR(VALUE(TRIM(MID(SUBSTITUTE(SUBSTITUTE(SUBSTITUTE(UPPER($P284)," ",""),"C",""),";",REPT(" ",30)),61,30))),0)+IFERROR(VALUE(TRIM(MID(SUBSTITUTE(SUBSTITUTE(SUBSTITUTE(UPPER($P284)," ",""),"C",""),";",REPT(" ",30)),91,30))),0)+IFERROR(VALUE(TRIM(MID(SUBSTITUTE(SUBSTITUTE(SUBSTITUTE(UPPER($P284)," ",""),"C",""),";",REPT(" ",30)),121,30))),0)+IFERROR(VALUE(TRIM(MID(SUBSTITUTE(SUBSTITUTE(SUBSTITUTE(UPPER($P284)," ",""),"C",""),";",REPT(" ",30)),151,30))),0)+IFERROR(VALUE(TRIM(MID(SUBSTITUTE(SUBSTITUTE(SUBSTITUTE(UPPER($P284)," ",""),"C",""),";",REPT(" ",30)),181,30))),0)+IFERROR(VALUE(TRIM(MID(SUBSTITUTE(SUBSTITUTE(SUBSTITUTE(UPPER($P284)," ",""),"C",""),";",REPT(" ",30)),211,30))),0)))))</f>
        <v/>
      </c>
      <c r="S284" s="24" t="n"/>
      <c r="T284" s="8" t="n"/>
      <c r="U284" s="14" t="n"/>
      <c r="V284" s="25">
        <f>IF($C284="","",IF($E284="Falta","-",MAX(0,MIN(10,5+IFERROR(VALUE(TRIM(MID(SUBSTITUTE(SUBSTITUTE(SUBSTITUTE(UPPER($T284)," ",""),"P",""),";",REPT(" ",30)),1,30))),0)+IFERROR(VALUE(TRIM(MID(SUBSTITUTE(SUBSTITUTE(SUBSTITUTE(UPPER($T284)," ",""),"P",""),";",REPT(" ",30)),31,30))),0)+IFERROR(VALUE(TRIM(MID(SUBSTITUTE(SUBSTITUTE(SUBSTITUTE(UPPER($T284)," ",""),"P",""),";",REPT(" ",30)),61,30))),0)+IFERROR(VALUE(TRIM(MID(SUBSTITUTE(SUBSTITUTE(SUBSTITUTE(UPPER($T284)," ",""),"P",""),";",REPT(" ",30)),91,30))),0)+IFERROR(VALUE(TRIM(MID(SUBSTITUTE(SUBSTITUTE(SUBSTITUTE(UPPER($T284)," ",""),"P",""),";",REPT(" ",30)),121,30))),0)+IFERROR(VALUE(TRIM(MID(SUBSTITUTE(SUBSTITUTE(SUBSTITUTE(UPPER($T284)," ",""),"P",""),";",REPT(" ",30)),151,30))),0)+IFERROR(VALUE(TRIM(MID(SUBSTITUTE(SUBSTITUTE(SUBSTITUTE(UPPER($T284)," ",""),"P",""),";",REPT(" ",30)),181,30))),0)+IFERROR(VALUE(TRIM(MID(SUBSTITUTE(SUBSTITUTE(SUBSTITUTE(UPPER($T284)," ",""),"P",""),";",REPT(" ",30)),211,30))),0)))))</f>
        <v/>
      </c>
      <c r="W284" s="24" t="n"/>
      <c r="X284" s="14" t="n"/>
    </row>
    <row r="285">
      <c r="A285" s="8">
        <f>IF($C285="","",57)</f>
        <v/>
      </c>
      <c r="B285" s="8">
        <f>IF($C285="","","2ª Sessão")</f>
        <v/>
      </c>
      <c r="C285" s="8">
        <f>IF(Preenchimento!$B$66="","",Preenchimento!$B$66)</f>
        <v/>
      </c>
      <c r="D285" s="8">
        <f>IF($C285="","",IF(Preenchimento!$C$66="","-",Preenchimento!$C$66))</f>
        <v/>
      </c>
      <c r="E285" s="8" t="n"/>
      <c r="F285" s="8" t="n"/>
      <c r="G285" s="24" t="n"/>
      <c r="H285" s="8" t="n"/>
      <c r="I285" s="14" t="n"/>
      <c r="J285" s="25">
        <f>IF($C285="","",IF($E285="Falta","-",MAX(0,MIN(10,8+IFERROR(VALUE(TRIM(MID(SUBSTITUTE(SUBSTITUTE(SUBSTITUTE(UPPER($H285)," ",""),"D",""),";",REPT(" ",30)),1,30))),0)+IFERROR(VALUE(TRIM(MID(SUBSTITUTE(SUBSTITUTE(SUBSTITUTE(UPPER($H285)," ",""),"D",""),";",REPT(" ",30)),31,30))),0)+IFERROR(VALUE(TRIM(MID(SUBSTITUTE(SUBSTITUTE(SUBSTITUTE(UPPER($H285)," ",""),"D",""),";",REPT(" ",30)),61,30))),0)+IFERROR(VALUE(TRIM(MID(SUBSTITUTE(SUBSTITUTE(SUBSTITUTE(UPPER($H285)," ",""),"D",""),";",REPT(" ",30)),91,30))),0)+IFERROR(VALUE(TRIM(MID(SUBSTITUTE(SUBSTITUTE(SUBSTITUTE(UPPER($H285)," ",""),"D",""),";",REPT(" ",30)),121,30))),0)+IFERROR(VALUE(TRIM(MID(SUBSTITUTE(SUBSTITUTE(SUBSTITUTE(UPPER($H285)," ",""),"D",""),";",REPT(" ",30)),151,30))),0)+IFERROR(VALUE(TRIM(MID(SUBSTITUTE(SUBSTITUTE(SUBSTITUTE(UPPER($H285)," ",""),"D",""),";",REPT(" ",30)),181,30))),0)+IFERROR(VALUE(TRIM(MID(SUBSTITUTE(SUBSTITUTE(SUBSTITUTE(UPPER($H285)," ",""),"D",""),";",REPT(" ",30)),211,30))),0)))))</f>
        <v/>
      </c>
      <c r="K285" s="24" t="n"/>
      <c r="L285" s="8" t="n"/>
      <c r="M285" s="14" t="n"/>
      <c r="N285" s="25">
        <f>IF($C285="","",IF($E285="Falta","-",MAX(0,MIN(10,8+IFERROR(VALUE(TRIM(MID(SUBSTITUTE(SUBSTITUTE(SUBSTITUTE(UPPER($L285)," ",""),"F",""),";",REPT(" ",30)),1,30))),0)+IFERROR(VALUE(TRIM(MID(SUBSTITUTE(SUBSTITUTE(SUBSTITUTE(UPPER($L285)," ",""),"F",""),";",REPT(" ",30)),31,30))),0)+IFERROR(VALUE(TRIM(MID(SUBSTITUTE(SUBSTITUTE(SUBSTITUTE(UPPER($L285)," ",""),"F",""),";",REPT(" ",30)),61,30))),0)+IFERROR(VALUE(TRIM(MID(SUBSTITUTE(SUBSTITUTE(SUBSTITUTE(UPPER($L285)," ",""),"F",""),";",REPT(" ",30)),91,30))),0)+IFERROR(VALUE(TRIM(MID(SUBSTITUTE(SUBSTITUTE(SUBSTITUTE(UPPER($L285)," ",""),"F",""),";",REPT(" ",30)),121,30))),0)+IFERROR(VALUE(TRIM(MID(SUBSTITUTE(SUBSTITUTE(SUBSTITUTE(UPPER($L285)," ",""),"F",""),";",REPT(" ",30)),151,30))),0)+IFERROR(VALUE(TRIM(MID(SUBSTITUTE(SUBSTITUTE(SUBSTITUTE(UPPER($L285)," ",""),"F",""),";",REPT(" ",30)),181,30))),0)+IFERROR(VALUE(TRIM(MID(SUBSTITUTE(SUBSTITUTE(SUBSTITUTE(UPPER($L285)," ",""),"F",""),";",REPT(" ",30)),211,30))),0)))))</f>
        <v/>
      </c>
      <c r="O285" s="24" t="n"/>
      <c r="P285" s="8" t="n"/>
      <c r="Q285" s="14" t="n"/>
      <c r="R285" s="25">
        <f>IF($C285="","",IF($E285="Falta","-",MAX(0,MIN(10,5+IFERROR(VALUE(TRIM(MID(SUBSTITUTE(SUBSTITUTE(SUBSTITUTE(UPPER($P285)," ",""),"C",""),";",REPT(" ",30)),1,30))),0)+IFERROR(VALUE(TRIM(MID(SUBSTITUTE(SUBSTITUTE(SUBSTITUTE(UPPER($P285)," ",""),"C",""),";",REPT(" ",30)),31,30))),0)+IFERROR(VALUE(TRIM(MID(SUBSTITUTE(SUBSTITUTE(SUBSTITUTE(UPPER($P285)," ",""),"C",""),";",REPT(" ",30)),61,30))),0)+IFERROR(VALUE(TRIM(MID(SUBSTITUTE(SUBSTITUTE(SUBSTITUTE(UPPER($P285)," ",""),"C",""),";",REPT(" ",30)),91,30))),0)+IFERROR(VALUE(TRIM(MID(SUBSTITUTE(SUBSTITUTE(SUBSTITUTE(UPPER($P285)," ",""),"C",""),";",REPT(" ",30)),121,30))),0)+IFERROR(VALUE(TRIM(MID(SUBSTITUTE(SUBSTITUTE(SUBSTITUTE(UPPER($P285)," ",""),"C",""),";",REPT(" ",30)),151,30))),0)+IFERROR(VALUE(TRIM(MID(SUBSTITUTE(SUBSTITUTE(SUBSTITUTE(UPPER($P285)," ",""),"C",""),";",REPT(" ",30)),181,30))),0)+IFERROR(VALUE(TRIM(MID(SUBSTITUTE(SUBSTITUTE(SUBSTITUTE(UPPER($P285)," ",""),"C",""),";",REPT(" ",30)),211,30))),0)))))</f>
        <v/>
      </c>
      <c r="S285" s="24" t="n"/>
      <c r="T285" s="8" t="n"/>
      <c r="U285" s="14" t="n"/>
      <c r="V285" s="25">
        <f>IF($C285="","",IF($E285="Falta","-",MAX(0,MIN(10,5+IFERROR(VALUE(TRIM(MID(SUBSTITUTE(SUBSTITUTE(SUBSTITUTE(UPPER($T285)," ",""),"P",""),";",REPT(" ",30)),1,30))),0)+IFERROR(VALUE(TRIM(MID(SUBSTITUTE(SUBSTITUTE(SUBSTITUTE(UPPER($T285)," ",""),"P",""),";",REPT(" ",30)),31,30))),0)+IFERROR(VALUE(TRIM(MID(SUBSTITUTE(SUBSTITUTE(SUBSTITUTE(UPPER($T285)," ",""),"P",""),";",REPT(" ",30)),61,30))),0)+IFERROR(VALUE(TRIM(MID(SUBSTITUTE(SUBSTITUTE(SUBSTITUTE(UPPER($T285)," ",""),"P",""),";",REPT(" ",30)),91,30))),0)+IFERROR(VALUE(TRIM(MID(SUBSTITUTE(SUBSTITUTE(SUBSTITUTE(UPPER($T285)," ",""),"P",""),";",REPT(" ",30)),121,30))),0)+IFERROR(VALUE(TRIM(MID(SUBSTITUTE(SUBSTITUTE(SUBSTITUTE(UPPER($T285)," ",""),"P",""),";",REPT(" ",30)),151,30))),0)+IFERROR(VALUE(TRIM(MID(SUBSTITUTE(SUBSTITUTE(SUBSTITUTE(UPPER($T285)," ",""),"P",""),";",REPT(" ",30)),181,30))),0)+IFERROR(VALUE(TRIM(MID(SUBSTITUTE(SUBSTITUTE(SUBSTITUTE(UPPER($T285)," ",""),"P",""),";",REPT(" ",30)),211,30))),0)))))</f>
        <v/>
      </c>
      <c r="W285" s="24" t="n"/>
      <c r="X285" s="14" t="n"/>
    </row>
    <row r="286">
      <c r="A286" s="8">
        <f>IF($C286="","",57)</f>
        <v/>
      </c>
      <c r="B286" s="8">
        <f>IF($C286="","","3ª Sessão")</f>
        <v/>
      </c>
      <c r="C286" s="8">
        <f>IF(Preenchimento!$B$66="","",Preenchimento!$B$66)</f>
        <v/>
      </c>
      <c r="D286" s="8">
        <f>IF($C286="","",IF(Preenchimento!$C$66="","-",Preenchimento!$C$66))</f>
        <v/>
      </c>
      <c r="E286" s="8" t="n"/>
      <c r="F286" s="8" t="n"/>
      <c r="G286" s="24" t="n"/>
      <c r="H286" s="8" t="n"/>
      <c r="I286" s="14" t="n"/>
      <c r="J286" s="25">
        <f>IF($C286="","",IF($E286="Falta","-",MAX(0,MIN(10,8+IFERROR(VALUE(TRIM(MID(SUBSTITUTE(SUBSTITUTE(SUBSTITUTE(UPPER($H286)," ",""),"D",""),";",REPT(" ",30)),1,30))),0)+IFERROR(VALUE(TRIM(MID(SUBSTITUTE(SUBSTITUTE(SUBSTITUTE(UPPER($H286)," ",""),"D",""),";",REPT(" ",30)),31,30))),0)+IFERROR(VALUE(TRIM(MID(SUBSTITUTE(SUBSTITUTE(SUBSTITUTE(UPPER($H286)," ",""),"D",""),";",REPT(" ",30)),61,30))),0)+IFERROR(VALUE(TRIM(MID(SUBSTITUTE(SUBSTITUTE(SUBSTITUTE(UPPER($H286)," ",""),"D",""),";",REPT(" ",30)),91,30))),0)+IFERROR(VALUE(TRIM(MID(SUBSTITUTE(SUBSTITUTE(SUBSTITUTE(UPPER($H286)," ",""),"D",""),";",REPT(" ",30)),121,30))),0)+IFERROR(VALUE(TRIM(MID(SUBSTITUTE(SUBSTITUTE(SUBSTITUTE(UPPER($H286)," ",""),"D",""),";",REPT(" ",30)),151,30))),0)+IFERROR(VALUE(TRIM(MID(SUBSTITUTE(SUBSTITUTE(SUBSTITUTE(UPPER($H286)," ",""),"D",""),";",REPT(" ",30)),181,30))),0)+IFERROR(VALUE(TRIM(MID(SUBSTITUTE(SUBSTITUTE(SUBSTITUTE(UPPER($H286)," ",""),"D",""),";",REPT(" ",30)),211,30))),0)))))</f>
        <v/>
      </c>
      <c r="K286" s="24" t="n"/>
      <c r="L286" s="8" t="n"/>
      <c r="M286" s="14" t="n"/>
      <c r="N286" s="25">
        <f>IF($C286="","",IF($E286="Falta","-",MAX(0,MIN(10,8+IFERROR(VALUE(TRIM(MID(SUBSTITUTE(SUBSTITUTE(SUBSTITUTE(UPPER($L286)," ",""),"F",""),";",REPT(" ",30)),1,30))),0)+IFERROR(VALUE(TRIM(MID(SUBSTITUTE(SUBSTITUTE(SUBSTITUTE(UPPER($L286)," ",""),"F",""),";",REPT(" ",30)),31,30))),0)+IFERROR(VALUE(TRIM(MID(SUBSTITUTE(SUBSTITUTE(SUBSTITUTE(UPPER($L286)," ",""),"F",""),";",REPT(" ",30)),61,30))),0)+IFERROR(VALUE(TRIM(MID(SUBSTITUTE(SUBSTITUTE(SUBSTITUTE(UPPER($L286)," ",""),"F",""),";",REPT(" ",30)),91,30))),0)+IFERROR(VALUE(TRIM(MID(SUBSTITUTE(SUBSTITUTE(SUBSTITUTE(UPPER($L286)," ",""),"F",""),";",REPT(" ",30)),121,30))),0)+IFERROR(VALUE(TRIM(MID(SUBSTITUTE(SUBSTITUTE(SUBSTITUTE(UPPER($L286)," ",""),"F",""),";",REPT(" ",30)),151,30))),0)+IFERROR(VALUE(TRIM(MID(SUBSTITUTE(SUBSTITUTE(SUBSTITUTE(UPPER($L286)," ",""),"F",""),";",REPT(" ",30)),181,30))),0)+IFERROR(VALUE(TRIM(MID(SUBSTITUTE(SUBSTITUTE(SUBSTITUTE(UPPER($L286)," ",""),"F",""),";",REPT(" ",30)),211,30))),0)))))</f>
        <v/>
      </c>
      <c r="O286" s="24" t="n"/>
      <c r="P286" s="8" t="n"/>
      <c r="Q286" s="14" t="n"/>
      <c r="R286" s="25">
        <f>IF($C286="","",IF($E286="Falta","-",MAX(0,MIN(10,5+IFERROR(VALUE(TRIM(MID(SUBSTITUTE(SUBSTITUTE(SUBSTITUTE(UPPER($P286)," ",""),"C",""),";",REPT(" ",30)),1,30))),0)+IFERROR(VALUE(TRIM(MID(SUBSTITUTE(SUBSTITUTE(SUBSTITUTE(UPPER($P286)," ",""),"C",""),";",REPT(" ",30)),31,30))),0)+IFERROR(VALUE(TRIM(MID(SUBSTITUTE(SUBSTITUTE(SUBSTITUTE(UPPER($P286)," ",""),"C",""),";",REPT(" ",30)),61,30))),0)+IFERROR(VALUE(TRIM(MID(SUBSTITUTE(SUBSTITUTE(SUBSTITUTE(UPPER($P286)," ",""),"C",""),";",REPT(" ",30)),91,30))),0)+IFERROR(VALUE(TRIM(MID(SUBSTITUTE(SUBSTITUTE(SUBSTITUTE(UPPER($P286)," ",""),"C",""),";",REPT(" ",30)),121,30))),0)+IFERROR(VALUE(TRIM(MID(SUBSTITUTE(SUBSTITUTE(SUBSTITUTE(UPPER($P286)," ",""),"C",""),";",REPT(" ",30)),151,30))),0)+IFERROR(VALUE(TRIM(MID(SUBSTITUTE(SUBSTITUTE(SUBSTITUTE(UPPER($P286)," ",""),"C",""),";",REPT(" ",30)),181,30))),0)+IFERROR(VALUE(TRIM(MID(SUBSTITUTE(SUBSTITUTE(SUBSTITUTE(UPPER($P286)," ",""),"C",""),";",REPT(" ",30)),211,30))),0)))))</f>
        <v/>
      </c>
      <c r="S286" s="24" t="n"/>
      <c r="T286" s="8" t="n"/>
      <c r="U286" s="14" t="n"/>
      <c r="V286" s="25">
        <f>IF($C286="","",IF($E286="Falta","-",MAX(0,MIN(10,5+IFERROR(VALUE(TRIM(MID(SUBSTITUTE(SUBSTITUTE(SUBSTITUTE(UPPER($T286)," ",""),"P",""),";",REPT(" ",30)),1,30))),0)+IFERROR(VALUE(TRIM(MID(SUBSTITUTE(SUBSTITUTE(SUBSTITUTE(UPPER($T286)," ",""),"P",""),";",REPT(" ",30)),31,30))),0)+IFERROR(VALUE(TRIM(MID(SUBSTITUTE(SUBSTITUTE(SUBSTITUTE(UPPER($T286)," ",""),"P",""),";",REPT(" ",30)),61,30))),0)+IFERROR(VALUE(TRIM(MID(SUBSTITUTE(SUBSTITUTE(SUBSTITUTE(UPPER($T286)," ",""),"P",""),";",REPT(" ",30)),91,30))),0)+IFERROR(VALUE(TRIM(MID(SUBSTITUTE(SUBSTITUTE(SUBSTITUTE(UPPER($T286)," ",""),"P",""),";",REPT(" ",30)),121,30))),0)+IFERROR(VALUE(TRIM(MID(SUBSTITUTE(SUBSTITUTE(SUBSTITUTE(UPPER($T286)," ",""),"P",""),";",REPT(" ",30)),151,30))),0)+IFERROR(VALUE(TRIM(MID(SUBSTITUTE(SUBSTITUTE(SUBSTITUTE(UPPER($T286)," ",""),"P",""),";",REPT(" ",30)),181,30))),0)+IFERROR(VALUE(TRIM(MID(SUBSTITUTE(SUBSTITUTE(SUBSTITUTE(UPPER($T286)," ",""),"P",""),";",REPT(" ",30)),211,30))),0)))))</f>
        <v/>
      </c>
      <c r="W286" s="24" t="n"/>
      <c r="X286" s="14" t="n"/>
    </row>
    <row r="287">
      <c r="A287" s="8">
        <f>IF($C287="","",57)</f>
        <v/>
      </c>
      <c r="B287" s="8">
        <f>IF($C287="","","4ª Sessão")</f>
        <v/>
      </c>
      <c r="C287" s="8">
        <f>IF(Preenchimento!$B$66="","",Preenchimento!$B$66)</f>
        <v/>
      </c>
      <c r="D287" s="8">
        <f>IF($C287="","",IF(Preenchimento!$C$66="","-",Preenchimento!$C$66))</f>
        <v/>
      </c>
      <c r="E287" s="8" t="n"/>
      <c r="F287" s="8" t="n"/>
      <c r="G287" s="24" t="n"/>
      <c r="H287" s="8" t="n"/>
      <c r="I287" s="14" t="n"/>
      <c r="J287" s="25">
        <f>IF($C287="","",IF($E287="Falta","-",MAX(0,MIN(10,8+IFERROR(VALUE(TRIM(MID(SUBSTITUTE(SUBSTITUTE(SUBSTITUTE(UPPER($H287)," ",""),"D",""),";",REPT(" ",30)),1,30))),0)+IFERROR(VALUE(TRIM(MID(SUBSTITUTE(SUBSTITUTE(SUBSTITUTE(UPPER($H287)," ",""),"D",""),";",REPT(" ",30)),31,30))),0)+IFERROR(VALUE(TRIM(MID(SUBSTITUTE(SUBSTITUTE(SUBSTITUTE(UPPER($H287)," ",""),"D",""),";",REPT(" ",30)),61,30))),0)+IFERROR(VALUE(TRIM(MID(SUBSTITUTE(SUBSTITUTE(SUBSTITUTE(UPPER($H287)," ",""),"D",""),";",REPT(" ",30)),91,30))),0)+IFERROR(VALUE(TRIM(MID(SUBSTITUTE(SUBSTITUTE(SUBSTITUTE(UPPER($H287)," ",""),"D",""),";",REPT(" ",30)),121,30))),0)+IFERROR(VALUE(TRIM(MID(SUBSTITUTE(SUBSTITUTE(SUBSTITUTE(UPPER($H287)," ",""),"D",""),";",REPT(" ",30)),151,30))),0)+IFERROR(VALUE(TRIM(MID(SUBSTITUTE(SUBSTITUTE(SUBSTITUTE(UPPER($H287)," ",""),"D",""),";",REPT(" ",30)),181,30))),0)+IFERROR(VALUE(TRIM(MID(SUBSTITUTE(SUBSTITUTE(SUBSTITUTE(UPPER($H287)," ",""),"D",""),";",REPT(" ",30)),211,30))),0)))))</f>
        <v/>
      </c>
      <c r="K287" s="24" t="n"/>
      <c r="L287" s="8" t="n"/>
      <c r="M287" s="14" t="n"/>
      <c r="N287" s="25">
        <f>IF($C287="","",IF($E287="Falta","-",MAX(0,MIN(10,8+IFERROR(VALUE(TRIM(MID(SUBSTITUTE(SUBSTITUTE(SUBSTITUTE(UPPER($L287)," ",""),"F",""),";",REPT(" ",30)),1,30))),0)+IFERROR(VALUE(TRIM(MID(SUBSTITUTE(SUBSTITUTE(SUBSTITUTE(UPPER($L287)," ",""),"F",""),";",REPT(" ",30)),31,30))),0)+IFERROR(VALUE(TRIM(MID(SUBSTITUTE(SUBSTITUTE(SUBSTITUTE(UPPER($L287)," ",""),"F",""),";",REPT(" ",30)),61,30))),0)+IFERROR(VALUE(TRIM(MID(SUBSTITUTE(SUBSTITUTE(SUBSTITUTE(UPPER($L287)," ",""),"F",""),";",REPT(" ",30)),91,30))),0)+IFERROR(VALUE(TRIM(MID(SUBSTITUTE(SUBSTITUTE(SUBSTITUTE(UPPER($L287)," ",""),"F",""),";",REPT(" ",30)),121,30))),0)+IFERROR(VALUE(TRIM(MID(SUBSTITUTE(SUBSTITUTE(SUBSTITUTE(UPPER($L287)," ",""),"F",""),";",REPT(" ",30)),151,30))),0)+IFERROR(VALUE(TRIM(MID(SUBSTITUTE(SUBSTITUTE(SUBSTITUTE(UPPER($L287)," ",""),"F",""),";",REPT(" ",30)),181,30))),0)+IFERROR(VALUE(TRIM(MID(SUBSTITUTE(SUBSTITUTE(SUBSTITUTE(UPPER($L287)," ",""),"F",""),";",REPT(" ",30)),211,30))),0)))))</f>
        <v/>
      </c>
      <c r="O287" s="24" t="n"/>
      <c r="P287" s="8" t="n"/>
      <c r="Q287" s="14" t="n"/>
      <c r="R287" s="25">
        <f>IF($C287="","",IF($E287="Falta","-",MAX(0,MIN(10,5+IFERROR(VALUE(TRIM(MID(SUBSTITUTE(SUBSTITUTE(SUBSTITUTE(UPPER($P287)," ",""),"C",""),";",REPT(" ",30)),1,30))),0)+IFERROR(VALUE(TRIM(MID(SUBSTITUTE(SUBSTITUTE(SUBSTITUTE(UPPER($P287)," ",""),"C",""),";",REPT(" ",30)),31,30))),0)+IFERROR(VALUE(TRIM(MID(SUBSTITUTE(SUBSTITUTE(SUBSTITUTE(UPPER($P287)," ",""),"C",""),";",REPT(" ",30)),61,30))),0)+IFERROR(VALUE(TRIM(MID(SUBSTITUTE(SUBSTITUTE(SUBSTITUTE(UPPER($P287)," ",""),"C",""),";",REPT(" ",30)),91,30))),0)+IFERROR(VALUE(TRIM(MID(SUBSTITUTE(SUBSTITUTE(SUBSTITUTE(UPPER($P287)," ",""),"C",""),";",REPT(" ",30)),121,30))),0)+IFERROR(VALUE(TRIM(MID(SUBSTITUTE(SUBSTITUTE(SUBSTITUTE(UPPER($P287)," ",""),"C",""),";",REPT(" ",30)),151,30))),0)+IFERROR(VALUE(TRIM(MID(SUBSTITUTE(SUBSTITUTE(SUBSTITUTE(UPPER($P287)," ",""),"C",""),";",REPT(" ",30)),181,30))),0)+IFERROR(VALUE(TRIM(MID(SUBSTITUTE(SUBSTITUTE(SUBSTITUTE(UPPER($P287)," ",""),"C",""),";",REPT(" ",30)),211,30))),0)))))</f>
        <v/>
      </c>
      <c r="S287" s="24" t="n"/>
      <c r="T287" s="8" t="n"/>
      <c r="U287" s="14" t="n"/>
      <c r="V287" s="25">
        <f>IF($C287="","",IF($E287="Falta","-",MAX(0,MIN(10,5+IFERROR(VALUE(TRIM(MID(SUBSTITUTE(SUBSTITUTE(SUBSTITUTE(UPPER($T287)," ",""),"P",""),";",REPT(" ",30)),1,30))),0)+IFERROR(VALUE(TRIM(MID(SUBSTITUTE(SUBSTITUTE(SUBSTITUTE(UPPER($T287)," ",""),"P",""),";",REPT(" ",30)),31,30))),0)+IFERROR(VALUE(TRIM(MID(SUBSTITUTE(SUBSTITUTE(SUBSTITUTE(UPPER($T287)," ",""),"P",""),";",REPT(" ",30)),61,30))),0)+IFERROR(VALUE(TRIM(MID(SUBSTITUTE(SUBSTITUTE(SUBSTITUTE(UPPER($T287)," ",""),"P",""),";",REPT(" ",30)),91,30))),0)+IFERROR(VALUE(TRIM(MID(SUBSTITUTE(SUBSTITUTE(SUBSTITUTE(UPPER($T287)," ",""),"P",""),";",REPT(" ",30)),121,30))),0)+IFERROR(VALUE(TRIM(MID(SUBSTITUTE(SUBSTITUTE(SUBSTITUTE(UPPER($T287)," ",""),"P",""),";",REPT(" ",30)),151,30))),0)+IFERROR(VALUE(TRIM(MID(SUBSTITUTE(SUBSTITUTE(SUBSTITUTE(UPPER($T287)," ",""),"P",""),";",REPT(" ",30)),181,30))),0)+IFERROR(VALUE(TRIM(MID(SUBSTITUTE(SUBSTITUTE(SUBSTITUTE(UPPER($T287)," ",""),"P",""),";",REPT(" ",30)),211,30))),0)))))</f>
        <v/>
      </c>
      <c r="W287" s="24" t="n"/>
      <c r="X287" s="14" t="n"/>
    </row>
    <row r="288">
      <c r="A288" s="8">
        <f>IF($C288="","",57)</f>
        <v/>
      </c>
      <c r="B288" s="8">
        <f>IF($C288="","","5ª Sessão")</f>
        <v/>
      </c>
      <c r="C288" s="8">
        <f>IF(Preenchimento!$B$66="","",Preenchimento!$B$66)</f>
        <v/>
      </c>
      <c r="D288" s="8">
        <f>IF($C288="","",IF(Preenchimento!$C$66="","-",Preenchimento!$C$66))</f>
        <v/>
      </c>
      <c r="E288" s="8" t="n"/>
      <c r="F288" s="8" t="n"/>
      <c r="G288" s="24" t="n"/>
      <c r="H288" s="8" t="n"/>
      <c r="I288" s="14" t="n"/>
      <c r="J288" s="25">
        <f>IF($C288="","",IF($E288="Falta","-",MAX(0,MIN(10,8+IFERROR(VALUE(TRIM(MID(SUBSTITUTE(SUBSTITUTE(SUBSTITUTE(UPPER($H288)," ",""),"D",""),";",REPT(" ",30)),1,30))),0)+IFERROR(VALUE(TRIM(MID(SUBSTITUTE(SUBSTITUTE(SUBSTITUTE(UPPER($H288)," ",""),"D",""),";",REPT(" ",30)),31,30))),0)+IFERROR(VALUE(TRIM(MID(SUBSTITUTE(SUBSTITUTE(SUBSTITUTE(UPPER($H288)," ",""),"D",""),";",REPT(" ",30)),61,30))),0)+IFERROR(VALUE(TRIM(MID(SUBSTITUTE(SUBSTITUTE(SUBSTITUTE(UPPER($H288)," ",""),"D",""),";",REPT(" ",30)),91,30))),0)+IFERROR(VALUE(TRIM(MID(SUBSTITUTE(SUBSTITUTE(SUBSTITUTE(UPPER($H288)," ",""),"D",""),";",REPT(" ",30)),121,30))),0)+IFERROR(VALUE(TRIM(MID(SUBSTITUTE(SUBSTITUTE(SUBSTITUTE(UPPER($H288)," ",""),"D",""),";",REPT(" ",30)),151,30))),0)+IFERROR(VALUE(TRIM(MID(SUBSTITUTE(SUBSTITUTE(SUBSTITUTE(UPPER($H288)," ",""),"D",""),";",REPT(" ",30)),181,30))),0)+IFERROR(VALUE(TRIM(MID(SUBSTITUTE(SUBSTITUTE(SUBSTITUTE(UPPER($H288)," ",""),"D",""),";",REPT(" ",30)),211,30))),0)))))</f>
        <v/>
      </c>
      <c r="K288" s="24" t="n"/>
      <c r="L288" s="8" t="n"/>
      <c r="M288" s="14" t="n"/>
      <c r="N288" s="25">
        <f>IF($C288="","",IF($E288="Falta","-",MAX(0,MIN(10,8+IFERROR(VALUE(TRIM(MID(SUBSTITUTE(SUBSTITUTE(SUBSTITUTE(UPPER($L288)," ",""),"F",""),";",REPT(" ",30)),1,30))),0)+IFERROR(VALUE(TRIM(MID(SUBSTITUTE(SUBSTITUTE(SUBSTITUTE(UPPER($L288)," ",""),"F",""),";",REPT(" ",30)),31,30))),0)+IFERROR(VALUE(TRIM(MID(SUBSTITUTE(SUBSTITUTE(SUBSTITUTE(UPPER($L288)," ",""),"F",""),";",REPT(" ",30)),61,30))),0)+IFERROR(VALUE(TRIM(MID(SUBSTITUTE(SUBSTITUTE(SUBSTITUTE(UPPER($L288)," ",""),"F",""),";",REPT(" ",30)),91,30))),0)+IFERROR(VALUE(TRIM(MID(SUBSTITUTE(SUBSTITUTE(SUBSTITUTE(UPPER($L288)," ",""),"F",""),";",REPT(" ",30)),121,30))),0)+IFERROR(VALUE(TRIM(MID(SUBSTITUTE(SUBSTITUTE(SUBSTITUTE(UPPER($L288)," ",""),"F",""),";",REPT(" ",30)),151,30))),0)+IFERROR(VALUE(TRIM(MID(SUBSTITUTE(SUBSTITUTE(SUBSTITUTE(UPPER($L288)," ",""),"F",""),";",REPT(" ",30)),181,30))),0)+IFERROR(VALUE(TRIM(MID(SUBSTITUTE(SUBSTITUTE(SUBSTITUTE(UPPER($L288)," ",""),"F",""),";",REPT(" ",30)),211,30))),0)))))</f>
        <v/>
      </c>
      <c r="O288" s="24" t="n"/>
      <c r="P288" s="8" t="n"/>
      <c r="Q288" s="14" t="n"/>
      <c r="R288" s="25">
        <f>IF($C288="","",IF($E288="Falta","-",MAX(0,MIN(10,5+IFERROR(VALUE(TRIM(MID(SUBSTITUTE(SUBSTITUTE(SUBSTITUTE(UPPER($P288)," ",""),"C",""),";",REPT(" ",30)),1,30))),0)+IFERROR(VALUE(TRIM(MID(SUBSTITUTE(SUBSTITUTE(SUBSTITUTE(UPPER($P288)," ",""),"C",""),";",REPT(" ",30)),31,30))),0)+IFERROR(VALUE(TRIM(MID(SUBSTITUTE(SUBSTITUTE(SUBSTITUTE(UPPER($P288)," ",""),"C",""),";",REPT(" ",30)),61,30))),0)+IFERROR(VALUE(TRIM(MID(SUBSTITUTE(SUBSTITUTE(SUBSTITUTE(UPPER($P288)," ",""),"C",""),";",REPT(" ",30)),91,30))),0)+IFERROR(VALUE(TRIM(MID(SUBSTITUTE(SUBSTITUTE(SUBSTITUTE(UPPER($P288)," ",""),"C",""),";",REPT(" ",30)),121,30))),0)+IFERROR(VALUE(TRIM(MID(SUBSTITUTE(SUBSTITUTE(SUBSTITUTE(UPPER($P288)," ",""),"C",""),";",REPT(" ",30)),151,30))),0)+IFERROR(VALUE(TRIM(MID(SUBSTITUTE(SUBSTITUTE(SUBSTITUTE(UPPER($P288)," ",""),"C",""),";",REPT(" ",30)),181,30))),0)+IFERROR(VALUE(TRIM(MID(SUBSTITUTE(SUBSTITUTE(SUBSTITUTE(UPPER($P288)," ",""),"C",""),";",REPT(" ",30)),211,30))),0)))))</f>
        <v/>
      </c>
      <c r="S288" s="24" t="n"/>
      <c r="T288" s="8" t="n"/>
      <c r="U288" s="14" t="n"/>
      <c r="V288" s="25">
        <f>IF($C288="","",IF($E288="Falta","-",MAX(0,MIN(10,5+IFERROR(VALUE(TRIM(MID(SUBSTITUTE(SUBSTITUTE(SUBSTITUTE(UPPER($T288)," ",""),"P",""),";",REPT(" ",30)),1,30))),0)+IFERROR(VALUE(TRIM(MID(SUBSTITUTE(SUBSTITUTE(SUBSTITUTE(UPPER($T288)," ",""),"P",""),";",REPT(" ",30)),31,30))),0)+IFERROR(VALUE(TRIM(MID(SUBSTITUTE(SUBSTITUTE(SUBSTITUTE(UPPER($T288)," ",""),"P",""),";",REPT(" ",30)),61,30))),0)+IFERROR(VALUE(TRIM(MID(SUBSTITUTE(SUBSTITUTE(SUBSTITUTE(UPPER($T288)," ",""),"P",""),";",REPT(" ",30)),91,30))),0)+IFERROR(VALUE(TRIM(MID(SUBSTITUTE(SUBSTITUTE(SUBSTITUTE(UPPER($T288)," ",""),"P",""),";",REPT(" ",30)),121,30))),0)+IFERROR(VALUE(TRIM(MID(SUBSTITUTE(SUBSTITUTE(SUBSTITUTE(UPPER($T288)," ",""),"P",""),";",REPT(" ",30)),151,30))),0)+IFERROR(VALUE(TRIM(MID(SUBSTITUTE(SUBSTITUTE(SUBSTITUTE(UPPER($T288)," ",""),"P",""),";",REPT(" ",30)),181,30))),0)+IFERROR(VALUE(TRIM(MID(SUBSTITUTE(SUBSTITUTE(SUBSTITUTE(UPPER($T288)," ",""),"P",""),";",REPT(" ",30)),211,30))),0)))))</f>
        <v/>
      </c>
      <c r="W288" s="24" t="n"/>
      <c r="X288" s="14" t="n"/>
    </row>
    <row r="289">
      <c r="A289" s="6">
        <f>IF($C289="","",58)</f>
        <v/>
      </c>
      <c r="B289" s="6">
        <f>IF($C289="","","1ª Sessão")</f>
        <v/>
      </c>
      <c r="C289" s="6">
        <f>IF(Preenchimento!$B$67="","",Preenchimento!$B$67)</f>
        <v/>
      </c>
      <c r="D289" s="6">
        <f>IF($C289="","",IF(Preenchimento!$C$67="","-",Preenchimento!$C$67))</f>
        <v/>
      </c>
      <c r="E289" s="6" t="n"/>
      <c r="F289" s="6" t="n"/>
      <c r="G289" s="26" t="n"/>
      <c r="H289" s="6" t="n"/>
      <c r="I289" s="13" t="n"/>
      <c r="J289" s="27">
        <f>IF($C289="","",IF($E289="Falta","-",MAX(0,MIN(10,8+IFERROR(VALUE(TRIM(MID(SUBSTITUTE(SUBSTITUTE(SUBSTITUTE(UPPER($H289)," ",""),"D",""),";",REPT(" ",30)),1,30))),0)+IFERROR(VALUE(TRIM(MID(SUBSTITUTE(SUBSTITUTE(SUBSTITUTE(UPPER($H289)," ",""),"D",""),";",REPT(" ",30)),31,30))),0)+IFERROR(VALUE(TRIM(MID(SUBSTITUTE(SUBSTITUTE(SUBSTITUTE(UPPER($H289)," ",""),"D",""),";",REPT(" ",30)),61,30))),0)+IFERROR(VALUE(TRIM(MID(SUBSTITUTE(SUBSTITUTE(SUBSTITUTE(UPPER($H289)," ",""),"D",""),";",REPT(" ",30)),91,30))),0)+IFERROR(VALUE(TRIM(MID(SUBSTITUTE(SUBSTITUTE(SUBSTITUTE(UPPER($H289)," ",""),"D",""),";",REPT(" ",30)),121,30))),0)+IFERROR(VALUE(TRIM(MID(SUBSTITUTE(SUBSTITUTE(SUBSTITUTE(UPPER($H289)," ",""),"D",""),";",REPT(" ",30)),151,30))),0)+IFERROR(VALUE(TRIM(MID(SUBSTITUTE(SUBSTITUTE(SUBSTITUTE(UPPER($H289)," ",""),"D",""),";",REPT(" ",30)),181,30))),0)+IFERROR(VALUE(TRIM(MID(SUBSTITUTE(SUBSTITUTE(SUBSTITUTE(UPPER($H289)," ",""),"D",""),";",REPT(" ",30)),211,30))),0)))))</f>
        <v/>
      </c>
      <c r="K289" s="26" t="n"/>
      <c r="L289" s="6" t="n"/>
      <c r="M289" s="13" t="n"/>
      <c r="N289" s="27">
        <f>IF($C289="","",IF($E289="Falta","-",MAX(0,MIN(10,8+IFERROR(VALUE(TRIM(MID(SUBSTITUTE(SUBSTITUTE(SUBSTITUTE(UPPER($L289)," ",""),"F",""),";",REPT(" ",30)),1,30))),0)+IFERROR(VALUE(TRIM(MID(SUBSTITUTE(SUBSTITUTE(SUBSTITUTE(UPPER($L289)," ",""),"F",""),";",REPT(" ",30)),31,30))),0)+IFERROR(VALUE(TRIM(MID(SUBSTITUTE(SUBSTITUTE(SUBSTITUTE(UPPER($L289)," ",""),"F",""),";",REPT(" ",30)),61,30))),0)+IFERROR(VALUE(TRIM(MID(SUBSTITUTE(SUBSTITUTE(SUBSTITUTE(UPPER($L289)," ",""),"F",""),";",REPT(" ",30)),91,30))),0)+IFERROR(VALUE(TRIM(MID(SUBSTITUTE(SUBSTITUTE(SUBSTITUTE(UPPER($L289)," ",""),"F",""),";",REPT(" ",30)),121,30))),0)+IFERROR(VALUE(TRIM(MID(SUBSTITUTE(SUBSTITUTE(SUBSTITUTE(UPPER($L289)," ",""),"F",""),";",REPT(" ",30)),151,30))),0)+IFERROR(VALUE(TRIM(MID(SUBSTITUTE(SUBSTITUTE(SUBSTITUTE(UPPER($L289)," ",""),"F",""),";",REPT(" ",30)),181,30))),0)+IFERROR(VALUE(TRIM(MID(SUBSTITUTE(SUBSTITUTE(SUBSTITUTE(UPPER($L289)," ",""),"F",""),";",REPT(" ",30)),211,30))),0)))))</f>
        <v/>
      </c>
      <c r="O289" s="26" t="n"/>
      <c r="P289" s="6" t="n"/>
      <c r="Q289" s="13" t="n"/>
      <c r="R289" s="27">
        <f>IF($C289="","",IF($E289="Falta","-",MAX(0,MIN(10,5+IFERROR(VALUE(TRIM(MID(SUBSTITUTE(SUBSTITUTE(SUBSTITUTE(UPPER($P289)," ",""),"C",""),";",REPT(" ",30)),1,30))),0)+IFERROR(VALUE(TRIM(MID(SUBSTITUTE(SUBSTITUTE(SUBSTITUTE(UPPER($P289)," ",""),"C",""),";",REPT(" ",30)),31,30))),0)+IFERROR(VALUE(TRIM(MID(SUBSTITUTE(SUBSTITUTE(SUBSTITUTE(UPPER($P289)," ",""),"C",""),";",REPT(" ",30)),61,30))),0)+IFERROR(VALUE(TRIM(MID(SUBSTITUTE(SUBSTITUTE(SUBSTITUTE(UPPER($P289)," ",""),"C",""),";",REPT(" ",30)),91,30))),0)+IFERROR(VALUE(TRIM(MID(SUBSTITUTE(SUBSTITUTE(SUBSTITUTE(UPPER($P289)," ",""),"C",""),";",REPT(" ",30)),121,30))),0)+IFERROR(VALUE(TRIM(MID(SUBSTITUTE(SUBSTITUTE(SUBSTITUTE(UPPER($P289)," ",""),"C",""),";",REPT(" ",30)),151,30))),0)+IFERROR(VALUE(TRIM(MID(SUBSTITUTE(SUBSTITUTE(SUBSTITUTE(UPPER($P289)," ",""),"C",""),";",REPT(" ",30)),181,30))),0)+IFERROR(VALUE(TRIM(MID(SUBSTITUTE(SUBSTITUTE(SUBSTITUTE(UPPER($P289)," ",""),"C",""),";",REPT(" ",30)),211,30))),0)))))</f>
        <v/>
      </c>
      <c r="S289" s="26" t="n"/>
      <c r="T289" s="6" t="n"/>
      <c r="U289" s="13" t="n"/>
      <c r="V289" s="27">
        <f>IF($C289="","",IF($E289="Falta","-",MAX(0,MIN(10,5+IFERROR(VALUE(TRIM(MID(SUBSTITUTE(SUBSTITUTE(SUBSTITUTE(UPPER($T289)," ",""),"P",""),";",REPT(" ",30)),1,30))),0)+IFERROR(VALUE(TRIM(MID(SUBSTITUTE(SUBSTITUTE(SUBSTITUTE(UPPER($T289)," ",""),"P",""),";",REPT(" ",30)),31,30))),0)+IFERROR(VALUE(TRIM(MID(SUBSTITUTE(SUBSTITUTE(SUBSTITUTE(UPPER($T289)," ",""),"P",""),";",REPT(" ",30)),61,30))),0)+IFERROR(VALUE(TRIM(MID(SUBSTITUTE(SUBSTITUTE(SUBSTITUTE(UPPER($T289)," ",""),"P",""),";",REPT(" ",30)),91,30))),0)+IFERROR(VALUE(TRIM(MID(SUBSTITUTE(SUBSTITUTE(SUBSTITUTE(UPPER($T289)," ",""),"P",""),";",REPT(" ",30)),121,30))),0)+IFERROR(VALUE(TRIM(MID(SUBSTITUTE(SUBSTITUTE(SUBSTITUTE(UPPER($T289)," ",""),"P",""),";",REPT(" ",30)),151,30))),0)+IFERROR(VALUE(TRIM(MID(SUBSTITUTE(SUBSTITUTE(SUBSTITUTE(UPPER($T289)," ",""),"P",""),";",REPT(" ",30)),181,30))),0)+IFERROR(VALUE(TRIM(MID(SUBSTITUTE(SUBSTITUTE(SUBSTITUTE(UPPER($T289)," ",""),"P",""),";",REPT(" ",30)),211,30))),0)))))</f>
        <v/>
      </c>
      <c r="W289" s="26" t="n"/>
      <c r="X289" s="13" t="n"/>
    </row>
    <row r="290">
      <c r="A290" s="6">
        <f>IF($C290="","",58)</f>
        <v/>
      </c>
      <c r="B290" s="6">
        <f>IF($C290="","","2ª Sessão")</f>
        <v/>
      </c>
      <c r="C290" s="6">
        <f>IF(Preenchimento!$B$67="","",Preenchimento!$B$67)</f>
        <v/>
      </c>
      <c r="D290" s="6">
        <f>IF($C290="","",IF(Preenchimento!$C$67="","-",Preenchimento!$C$67))</f>
        <v/>
      </c>
      <c r="E290" s="6" t="n"/>
      <c r="F290" s="6" t="n"/>
      <c r="G290" s="26" t="n"/>
      <c r="H290" s="6" t="n"/>
      <c r="I290" s="13" t="n"/>
      <c r="J290" s="27">
        <f>IF($C290="","",IF($E290="Falta","-",MAX(0,MIN(10,8+IFERROR(VALUE(TRIM(MID(SUBSTITUTE(SUBSTITUTE(SUBSTITUTE(UPPER($H290)," ",""),"D",""),";",REPT(" ",30)),1,30))),0)+IFERROR(VALUE(TRIM(MID(SUBSTITUTE(SUBSTITUTE(SUBSTITUTE(UPPER($H290)," ",""),"D",""),";",REPT(" ",30)),31,30))),0)+IFERROR(VALUE(TRIM(MID(SUBSTITUTE(SUBSTITUTE(SUBSTITUTE(UPPER($H290)," ",""),"D",""),";",REPT(" ",30)),61,30))),0)+IFERROR(VALUE(TRIM(MID(SUBSTITUTE(SUBSTITUTE(SUBSTITUTE(UPPER($H290)," ",""),"D",""),";",REPT(" ",30)),91,30))),0)+IFERROR(VALUE(TRIM(MID(SUBSTITUTE(SUBSTITUTE(SUBSTITUTE(UPPER($H290)," ",""),"D",""),";",REPT(" ",30)),121,30))),0)+IFERROR(VALUE(TRIM(MID(SUBSTITUTE(SUBSTITUTE(SUBSTITUTE(UPPER($H290)," ",""),"D",""),";",REPT(" ",30)),151,30))),0)+IFERROR(VALUE(TRIM(MID(SUBSTITUTE(SUBSTITUTE(SUBSTITUTE(UPPER($H290)," ",""),"D",""),";",REPT(" ",30)),181,30))),0)+IFERROR(VALUE(TRIM(MID(SUBSTITUTE(SUBSTITUTE(SUBSTITUTE(UPPER($H290)," ",""),"D",""),";",REPT(" ",30)),211,30))),0)))))</f>
        <v/>
      </c>
      <c r="K290" s="26" t="n"/>
      <c r="L290" s="6" t="n"/>
      <c r="M290" s="13" t="n"/>
      <c r="N290" s="27">
        <f>IF($C290="","",IF($E290="Falta","-",MAX(0,MIN(10,8+IFERROR(VALUE(TRIM(MID(SUBSTITUTE(SUBSTITUTE(SUBSTITUTE(UPPER($L290)," ",""),"F",""),";",REPT(" ",30)),1,30))),0)+IFERROR(VALUE(TRIM(MID(SUBSTITUTE(SUBSTITUTE(SUBSTITUTE(UPPER($L290)," ",""),"F",""),";",REPT(" ",30)),31,30))),0)+IFERROR(VALUE(TRIM(MID(SUBSTITUTE(SUBSTITUTE(SUBSTITUTE(UPPER($L290)," ",""),"F",""),";",REPT(" ",30)),61,30))),0)+IFERROR(VALUE(TRIM(MID(SUBSTITUTE(SUBSTITUTE(SUBSTITUTE(UPPER($L290)," ",""),"F",""),";",REPT(" ",30)),91,30))),0)+IFERROR(VALUE(TRIM(MID(SUBSTITUTE(SUBSTITUTE(SUBSTITUTE(UPPER($L290)," ",""),"F",""),";",REPT(" ",30)),121,30))),0)+IFERROR(VALUE(TRIM(MID(SUBSTITUTE(SUBSTITUTE(SUBSTITUTE(UPPER($L290)," ",""),"F",""),";",REPT(" ",30)),151,30))),0)+IFERROR(VALUE(TRIM(MID(SUBSTITUTE(SUBSTITUTE(SUBSTITUTE(UPPER($L290)," ",""),"F",""),";",REPT(" ",30)),181,30))),0)+IFERROR(VALUE(TRIM(MID(SUBSTITUTE(SUBSTITUTE(SUBSTITUTE(UPPER($L290)," ",""),"F",""),";",REPT(" ",30)),211,30))),0)))))</f>
        <v/>
      </c>
      <c r="O290" s="26" t="n"/>
      <c r="P290" s="6" t="n"/>
      <c r="Q290" s="13" t="n"/>
      <c r="R290" s="27">
        <f>IF($C290="","",IF($E290="Falta","-",MAX(0,MIN(10,5+IFERROR(VALUE(TRIM(MID(SUBSTITUTE(SUBSTITUTE(SUBSTITUTE(UPPER($P290)," ",""),"C",""),";",REPT(" ",30)),1,30))),0)+IFERROR(VALUE(TRIM(MID(SUBSTITUTE(SUBSTITUTE(SUBSTITUTE(UPPER($P290)," ",""),"C",""),";",REPT(" ",30)),31,30))),0)+IFERROR(VALUE(TRIM(MID(SUBSTITUTE(SUBSTITUTE(SUBSTITUTE(UPPER($P290)," ",""),"C",""),";",REPT(" ",30)),61,30))),0)+IFERROR(VALUE(TRIM(MID(SUBSTITUTE(SUBSTITUTE(SUBSTITUTE(UPPER($P290)," ",""),"C",""),";",REPT(" ",30)),91,30))),0)+IFERROR(VALUE(TRIM(MID(SUBSTITUTE(SUBSTITUTE(SUBSTITUTE(UPPER($P290)," ",""),"C",""),";",REPT(" ",30)),121,30))),0)+IFERROR(VALUE(TRIM(MID(SUBSTITUTE(SUBSTITUTE(SUBSTITUTE(UPPER($P290)," ",""),"C",""),";",REPT(" ",30)),151,30))),0)+IFERROR(VALUE(TRIM(MID(SUBSTITUTE(SUBSTITUTE(SUBSTITUTE(UPPER($P290)," ",""),"C",""),";",REPT(" ",30)),181,30))),0)+IFERROR(VALUE(TRIM(MID(SUBSTITUTE(SUBSTITUTE(SUBSTITUTE(UPPER($P290)," ",""),"C",""),";",REPT(" ",30)),211,30))),0)))))</f>
        <v/>
      </c>
      <c r="S290" s="26" t="n"/>
      <c r="T290" s="6" t="n"/>
      <c r="U290" s="13" t="n"/>
      <c r="V290" s="27">
        <f>IF($C290="","",IF($E290="Falta","-",MAX(0,MIN(10,5+IFERROR(VALUE(TRIM(MID(SUBSTITUTE(SUBSTITUTE(SUBSTITUTE(UPPER($T290)," ",""),"P",""),";",REPT(" ",30)),1,30))),0)+IFERROR(VALUE(TRIM(MID(SUBSTITUTE(SUBSTITUTE(SUBSTITUTE(UPPER($T290)," ",""),"P",""),";",REPT(" ",30)),31,30))),0)+IFERROR(VALUE(TRIM(MID(SUBSTITUTE(SUBSTITUTE(SUBSTITUTE(UPPER($T290)," ",""),"P",""),";",REPT(" ",30)),61,30))),0)+IFERROR(VALUE(TRIM(MID(SUBSTITUTE(SUBSTITUTE(SUBSTITUTE(UPPER($T290)," ",""),"P",""),";",REPT(" ",30)),91,30))),0)+IFERROR(VALUE(TRIM(MID(SUBSTITUTE(SUBSTITUTE(SUBSTITUTE(UPPER($T290)," ",""),"P",""),";",REPT(" ",30)),121,30))),0)+IFERROR(VALUE(TRIM(MID(SUBSTITUTE(SUBSTITUTE(SUBSTITUTE(UPPER($T290)," ",""),"P",""),";",REPT(" ",30)),151,30))),0)+IFERROR(VALUE(TRIM(MID(SUBSTITUTE(SUBSTITUTE(SUBSTITUTE(UPPER($T290)," ",""),"P",""),";",REPT(" ",30)),181,30))),0)+IFERROR(VALUE(TRIM(MID(SUBSTITUTE(SUBSTITUTE(SUBSTITUTE(UPPER($T290)," ",""),"P",""),";",REPT(" ",30)),211,30))),0)))))</f>
        <v/>
      </c>
      <c r="W290" s="26" t="n"/>
      <c r="X290" s="13" t="n"/>
    </row>
    <row r="291">
      <c r="A291" s="6">
        <f>IF($C291="","",58)</f>
        <v/>
      </c>
      <c r="B291" s="6">
        <f>IF($C291="","","3ª Sessão")</f>
        <v/>
      </c>
      <c r="C291" s="6">
        <f>IF(Preenchimento!$B$67="","",Preenchimento!$B$67)</f>
        <v/>
      </c>
      <c r="D291" s="6">
        <f>IF($C291="","",IF(Preenchimento!$C$67="","-",Preenchimento!$C$67))</f>
        <v/>
      </c>
      <c r="E291" s="6" t="n"/>
      <c r="F291" s="6" t="n"/>
      <c r="G291" s="26" t="n"/>
      <c r="H291" s="6" t="n"/>
      <c r="I291" s="13" t="n"/>
      <c r="J291" s="27">
        <f>IF($C291="","",IF($E291="Falta","-",MAX(0,MIN(10,8+IFERROR(VALUE(TRIM(MID(SUBSTITUTE(SUBSTITUTE(SUBSTITUTE(UPPER($H291)," ",""),"D",""),";",REPT(" ",30)),1,30))),0)+IFERROR(VALUE(TRIM(MID(SUBSTITUTE(SUBSTITUTE(SUBSTITUTE(UPPER($H291)," ",""),"D",""),";",REPT(" ",30)),31,30))),0)+IFERROR(VALUE(TRIM(MID(SUBSTITUTE(SUBSTITUTE(SUBSTITUTE(UPPER($H291)," ",""),"D",""),";",REPT(" ",30)),61,30))),0)+IFERROR(VALUE(TRIM(MID(SUBSTITUTE(SUBSTITUTE(SUBSTITUTE(UPPER($H291)," ",""),"D",""),";",REPT(" ",30)),91,30))),0)+IFERROR(VALUE(TRIM(MID(SUBSTITUTE(SUBSTITUTE(SUBSTITUTE(UPPER($H291)," ",""),"D",""),";",REPT(" ",30)),121,30))),0)+IFERROR(VALUE(TRIM(MID(SUBSTITUTE(SUBSTITUTE(SUBSTITUTE(UPPER($H291)," ",""),"D",""),";",REPT(" ",30)),151,30))),0)+IFERROR(VALUE(TRIM(MID(SUBSTITUTE(SUBSTITUTE(SUBSTITUTE(UPPER($H291)," ",""),"D",""),";",REPT(" ",30)),181,30))),0)+IFERROR(VALUE(TRIM(MID(SUBSTITUTE(SUBSTITUTE(SUBSTITUTE(UPPER($H291)," ",""),"D",""),";",REPT(" ",30)),211,30))),0)))))</f>
        <v/>
      </c>
      <c r="K291" s="26" t="n"/>
      <c r="L291" s="6" t="n"/>
      <c r="M291" s="13" t="n"/>
      <c r="N291" s="27">
        <f>IF($C291="","",IF($E291="Falta","-",MAX(0,MIN(10,8+IFERROR(VALUE(TRIM(MID(SUBSTITUTE(SUBSTITUTE(SUBSTITUTE(UPPER($L291)," ",""),"F",""),";",REPT(" ",30)),1,30))),0)+IFERROR(VALUE(TRIM(MID(SUBSTITUTE(SUBSTITUTE(SUBSTITUTE(UPPER($L291)," ",""),"F",""),";",REPT(" ",30)),31,30))),0)+IFERROR(VALUE(TRIM(MID(SUBSTITUTE(SUBSTITUTE(SUBSTITUTE(UPPER($L291)," ",""),"F",""),";",REPT(" ",30)),61,30))),0)+IFERROR(VALUE(TRIM(MID(SUBSTITUTE(SUBSTITUTE(SUBSTITUTE(UPPER($L291)," ",""),"F",""),";",REPT(" ",30)),91,30))),0)+IFERROR(VALUE(TRIM(MID(SUBSTITUTE(SUBSTITUTE(SUBSTITUTE(UPPER($L291)," ",""),"F",""),";",REPT(" ",30)),121,30))),0)+IFERROR(VALUE(TRIM(MID(SUBSTITUTE(SUBSTITUTE(SUBSTITUTE(UPPER($L291)," ",""),"F",""),";",REPT(" ",30)),151,30))),0)+IFERROR(VALUE(TRIM(MID(SUBSTITUTE(SUBSTITUTE(SUBSTITUTE(UPPER($L291)," ",""),"F",""),";",REPT(" ",30)),181,30))),0)+IFERROR(VALUE(TRIM(MID(SUBSTITUTE(SUBSTITUTE(SUBSTITUTE(UPPER($L291)," ",""),"F",""),";",REPT(" ",30)),211,30))),0)))))</f>
        <v/>
      </c>
      <c r="O291" s="26" t="n"/>
      <c r="P291" s="6" t="n"/>
      <c r="Q291" s="13" t="n"/>
      <c r="R291" s="27">
        <f>IF($C291="","",IF($E291="Falta","-",MAX(0,MIN(10,5+IFERROR(VALUE(TRIM(MID(SUBSTITUTE(SUBSTITUTE(SUBSTITUTE(UPPER($P291)," ",""),"C",""),";",REPT(" ",30)),1,30))),0)+IFERROR(VALUE(TRIM(MID(SUBSTITUTE(SUBSTITUTE(SUBSTITUTE(UPPER($P291)," ",""),"C",""),";",REPT(" ",30)),31,30))),0)+IFERROR(VALUE(TRIM(MID(SUBSTITUTE(SUBSTITUTE(SUBSTITUTE(UPPER($P291)," ",""),"C",""),";",REPT(" ",30)),61,30))),0)+IFERROR(VALUE(TRIM(MID(SUBSTITUTE(SUBSTITUTE(SUBSTITUTE(UPPER($P291)," ",""),"C",""),";",REPT(" ",30)),91,30))),0)+IFERROR(VALUE(TRIM(MID(SUBSTITUTE(SUBSTITUTE(SUBSTITUTE(UPPER($P291)," ",""),"C",""),";",REPT(" ",30)),121,30))),0)+IFERROR(VALUE(TRIM(MID(SUBSTITUTE(SUBSTITUTE(SUBSTITUTE(UPPER($P291)," ",""),"C",""),";",REPT(" ",30)),151,30))),0)+IFERROR(VALUE(TRIM(MID(SUBSTITUTE(SUBSTITUTE(SUBSTITUTE(UPPER($P291)," ",""),"C",""),";",REPT(" ",30)),181,30))),0)+IFERROR(VALUE(TRIM(MID(SUBSTITUTE(SUBSTITUTE(SUBSTITUTE(UPPER($P291)," ",""),"C",""),";",REPT(" ",30)),211,30))),0)))))</f>
        <v/>
      </c>
      <c r="S291" s="26" t="n"/>
      <c r="T291" s="6" t="n"/>
      <c r="U291" s="13" t="n"/>
      <c r="V291" s="27">
        <f>IF($C291="","",IF($E291="Falta","-",MAX(0,MIN(10,5+IFERROR(VALUE(TRIM(MID(SUBSTITUTE(SUBSTITUTE(SUBSTITUTE(UPPER($T291)," ",""),"P",""),";",REPT(" ",30)),1,30))),0)+IFERROR(VALUE(TRIM(MID(SUBSTITUTE(SUBSTITUTE(SUBSTITUTE(UPPER($T291)," ",""),"P",""),";",REPT(" ",30)),31,30))),0)+IFERROR(VALUE(TRIM(MID(SUBSTITUTE(SUBSTITUTE(SUBSTITUTE(UPPER($T291)," ",""),"P",""),";",REPT(" ",30)),61,30))),0)+IFERROR(VALUE(TRIM(MID(SUBSTITUTE(SUBSTITUTE(SUBSTITUTE(UPPER($T291)," ",""),"P",""),";",REPT(" ",30)),91,30))),0)+IFERROR(VALUE(TRIM(MID(SUBSTITUTE(SUBSTITUTE(SUBSTITUTE(UPPER($T291)," ",""),"P",""),";",REPT(" ",30)),121,30))),0)+IFERROR(VALUE(TRIM(MID(SUBSTITUTE(SUBSTITUTE(SUBSTITUTE(UPPER($T291)," ",""),"P",""),";",REPT(" ",30)),151,30))),0)+IFERROR(VALUE(TRIM(MID(SUBSTITUTE(SUBSTITUTE(SUBSTITUTE(UPPER($T291)," ",""),"P",""),";",REPT(" ",30)),181,30))),0)+IFERROR(VALUE(TRIM(MID(SUBSTITUTE(SUBSTITUTE(SUBSTITUTE(UPPER($T291)," ",""),"P",""),";",REPT(" ",30)),211,30))),0)))))</f>
        <v/>
      </c>
      <c r="W291" s="26" t="n"/>
      <c r="X291" s="13" t="n"/>
    </row>
    <row r="292">
      <c r="A292" s="6">
        <f>IF($C292="","",58)</f>
        <v/>
      </c>
      <c r="B292" s="6">
        <f>IF($C292="","","4ª Sessão")</f>
        <v/>
      </c>
      <c r="C292" s="6">
        <f>IF(Preenchimento!$B$67="","",Preenchimento!$B$67)</f>
        <v/>
      </c>
      <c r="D292" s="6">
        <f>IF($C292="","",IF(Preenchimento!$C$67="","-",Preenchimento!$C$67))</f>
        <v/>
      </c>
      <c r="E292" s="6" t="n"/>
      <c r="F292" s="6" t="n"/>
      <c r="G292" s="26" t="n"/>
      <c r="H292" s="6" t="n"/>
      <c r="I292" s="13" t="n"/>
      <c r="J292" s="27">
        <f>IF($C292="","",IF($E292="Falta","-",MAX(0,MIN(10,8+IFERROR(VALUE(TRIM(MID(SUBSTITUTE(SUBSTITUTE(SUBSTITUTE(UPPER($H292)," ",""),"D",""),";",REPT(" ",30)),1,30))),0)+IFERROR(VALUE(TRIM(MID(SUBSTITUTE(SUBSTITUTE(SUBSTITUTE(UPPER($H292)," ",""),"D",""),";",REPT(" ",30)),31,30))),0)+IFERROR(VALUE(TRIM(MID(SUBSTITUTE(SUBSTITUTE(SUBSTITUTE(UPPER($H292)," ",""),"D",""),";",REPT(" ",30)),61,30))),0)+IFERROR(VALUE(TRIM(MID(SUBSTITUTE(SUBSTITUTE(SUBSTITUTE(UPPER($H292)," ",""),"D",""),";",REPT(" ",30)),91,30))),0)+IFERROR(VALUE(TRIM(MID(SUBSTITUTE(SUBSTITUTE(SUBSTITUTE(UPPER($H292)," ",""),"D",""),";",REPT(" ",30)),121,30))),0)+IFERROR(VALUE(TRIM(MID(SUBSTITUTE(SUBSTITUTE(SUBSTITUTE(UPPER($H292)," ",""),"D",""),";",REPT(" ",30)),151,30))),0)+IFERROR(VALUE(TRIM(MID(SUBSTITUTE(SUBSTITUTE(SUBSTITUTE(UPPER($H292)," ",""),"D",""),";",REPT(" ",30)),181,30))),0)+IFERROR(VALUE(TRIM(MID(SUBSTITUTE(SUBSTITUTE(SUBSTITUTE(UPPER($H292)," ",""),"D",""),";",REPT(" ",30)),211,30))),0)))))</f>
        <v/>
      </c>
      <c r="K292" s="26" t="n"/>
      <c r="L292" s="6" t="n"/>
      <c r="M292" s="13" t="n"/>
      <c r="N292" s="27">
        <f>IF($C292="","",IF($E292="Falta","-",MAX(0,MIN(10,8+IFERROR(VALUE(TRIM(MID(SUBSTITUTE(SUBSTITUTE(SUBSTITUTE(UPPER($L292)," ",""),"F",""),";",REPT(" ",30)),1,30))),0)+IFERROR(VALUE(TRIM(MID(SUBSTITUTE(SUBSTITUTE(SUBSTITUTE(UPPER($L292)," ",""),"F",""),";",REPT(" ",30)),31,30))),0)+IFERROR(VALUE(TRIM(MID(SUBSTITUTE(SUBSTITUTE(SUBSTITUTE(UPPER($L292)," ",""),"F",""),";",REPT(" ",30)),61,30))),0)+IFERROR(VALUE(TRIM(MID(SUBSTITUTE(SUBSTITUTE(SUBSTITUTE(UPPER($L292)," ",""),"F",""),";",REPT(" ",30)),91,30))),0)+IFERROR(VALUE(TRIM(MID(SUBSTITUTE(SUBSTITUTE(SUBSTITUTE(UPPER($L292)," ",""),"F",""),";",REPT(" ",30)),121,30))),0)+IFERROR(VALUE(TRIM(MID(SUBSTITUTE(SUBSTITUTE(SUBSTITUTE(UPPER($L292)," ",""),"F",""),";",REPT(" ",30)),151,30))),0)+IFERROR(VALUE(TRIM(MID(SUBSTITUTE(SUBSTITUTE(SUBSTITUTE(UPPER($L292)," ",""),"F",""),";",REPT(" ",30)),181,30))),0)+IFERROR(VALUE(TRIM(MID(SUBSTITUTE(SUBSTITUTE(SUBSTITUTE(UPPER($L292)," ",""),"F",""),";",REPT(" ",30)),211,30))),0)))))</f>
        <v/>
      </c>
      <c r="O292" s="26" t="n"/>
      <c r="P292" s="6" t="n"/>
      <c r="Q292" s="13" t="n"/>
      <c r="R292" s="27">
        <f>IF($C292="","",IF($E292="Falta","-",MAX(0,MIN(10,5+IFERROR(VALUE(TRIM(MID(SUBSTITUTE(SUBSTITUTE(SUBSTITUTE(UPPER($P292)," ",""),"C",""),";",REPT(" ",30)),1,30))),0)+IFERROR(VALUE(TRIM(MID(SUBSTITUTE(SUBSTITUTE(SUBSTITUTE(UPPER($P292)," ",""),"C",""),";",REPT(" ",30)),31,30))),0)+IFERROR(VALUE(TRIM(MID(SUBSTITUTE(SUBSTITUTE(SUBSTITUTE(UPPER($P292)," ",""),"C",""),";",REPT(" ",30)),61,30))),0)+IFERROR(VALUE(TRIM(MID(SUBSTITUTE(SUBSTITUTE(SUBSTITUTE(UPPER($P292)," ",""),"C",""),";",REPT(" ",30)),91,30))),0)+IFERROR(VALUE(TRIM(MID(SUBSTITUTE(SUBSTITUTE(SUBSTITUTE(UPPER($P292)," ",""),"C",""),";",REPT(" ",30)),121,30))),0)+IFERROR(VALUE(TRIM(MID(SUBSTITUTE(SUBSTITUTE(SUBSTITUTE(UPPER($P292)," ",""),"C",""),";",REPT(" ",30)),151,30))),0)+IFERROR(VALUE(TRIM(MID(SUBSTITUTE(SUBSTITUTE(SUBSTITUTE(UPPER($P292)," ",""),"C",""),";",REPT(" ",30)),181,30))),0)+IFERROR(VALUE(TRIM(MID(SUBSTITUTE(SUBSTITUTE(SUBSTITUTE(UPPER($P292)," ",""),"C",""),";",REPT(" ",30)),211,30))),0)))))</f>
        <v/>
      </c>
      <c r="S292" s="26" t="n"/>
      <c r="T292" s="6" t="n"/>
      <c r="U292" s="13" t="n"/>
      <c r="V292" s="27">
        <f>IF($C292="","",IF($E292="Falta","-",MAX(0,MIN(10,5+IFERROR(VALUE(TRIM(MID(SUBSTITUTE(SUBSTITUTE(SUBSTITUTE(UPPER($T292)," ",""),"P",""),";",REPT(" ",30)),1,30))),0)+IFERROR(VALUE(TRIM(MID(SUBSTITUTE(SUBSTITUTE(SUBSTITUTE(UPPER($T292)," ",""),"P",""),";",REPT(" ",30)),31,30))),0)+IFERROR(VALUE(TRIM(MID(SUBSTITUTE(SUBSTITUTE(SUBSTITUTE(UPPER($T292)," ",""),"P",""),";",REPT(" ",30)),61,30))),0)+IFERROR(VALUE(TRIM(MID(SUBSTITUTE(SUBSTITUTE(SUBSTITUTE(UPPER($T292)," ",""),"P",""),";",REPT(" ",30)),91,30))),0)+IFERROR(VALUE(TRIM(MID(SUBSTITUTE(SUBSTITUTE(SUBSTITUTE(UPPER($T292)," ",""),"P",""),";",REPT(" ",30)),121,30))),0)+IFERROR(VALUE(TRIM(MID(SUBSTITUTE(SUBSTITUTE(SUBSTITUTE(UPPER($T292)," ",""),"P",""),";",REPT(" ",30)),151,30))),0)+IFERROR(VALUE(TRIM(MID(SUBSTITUTE(SUBSTITUTE(SUBSTITUTE(UPPER($T292)," ",""),"P",""),";",REPT(" ",30)),181,30))),0)+IFERROR(VALUE(TRIM(MID(SUBSTITUTE(SUBSTITUTE(SUBSTITUTE(UPPER($T292)," ",""),"P",""),";",REPT(" ",30)),211,30))),0)))))</f>
        <v/>
      </c>
      <c r="W292" s="26" t="n"/>
      <c r="X292" s="13" t="n"/>
    </row>
    <row r="293">
      <c r="A293" s="6">
        <f>IF($C293="","",58)</f>
        <v/>
      </c>
      <c r="B293" s="6">
        <f>IF($C293="","","5ª Sessão")</f>
        <v/>
      </c>
      <c r="C293" s="6">
        <f>IF(Preenchimento!$B$67="","",Preenchimento!$B$67)</f>
        <v/>
      </c>
      <c r="D293" s="6">
        <f>IF($C293="","",IF(Preenchimento!$C$67="","-",Preenchimento!$C$67))</f>
        <v/>
      </c>
      <c r="E293" s="6" t="n"/>
      <c r="F293" s="6" t="n"/>
      <c r="G293" s="26" t="n"/>
      <c r="H293" s="6" t="n"/>
      <c r="I293" s="13" t="n"/>
      <c r="J293" s="27">
        <f>IF($C293="","",IF($E293="Falta","-",MAX(0,MIN(10,8+IFERROR(VALUE(TRIM(MID(SUBSTITUTE(SUBSTITUTE(SUBSTITUTE(UPPER($H293)," ",""),"D",""),";",REPT(" ",30)),1,30))),0)+IFERROR(VALUE(TRIM(MID(SUBSTITUTE(SUBSTITUTE(SUBSTITUTE(UPPER($H293)," ",""),"D",""),";",REPT(" ",30)),31,30))),0)+IFERROR(VALUE(TRIM(MID(SUBSTITUTE(SUBSTITUTE(SUBSTITUTE(UPPER($H293)," ",""),"D",""),";",REPT(" ",30)),61,30))),0)+IFERROR(VALUE(TRIM(MID(SUBSTITUTE(SUBSTITUTE(SUBSTITUTE(UPPER($H293)," ",""),"D",""),";",REPT(" ",30)),91,30))),0)+IFERROR(VALUE(TRIM(MID(SUBSTITUTE(SUBSTITUTE(SUBSTITUTE(UPPER($H293)," ",""),"D",""),";",REPT(" ",30)),121,30))),0)+IFERROR(VALUE(TRIM(MID(SUBSTITUTE(SUBSTITUTE(SUBSTITUTE(UPPER($H293)," ",""),"D",""),";",REPT(" ",30)),151,30))),0)+IFERROR(VALUE(TRIM(MID(SUBSTITUTE(SUBSTITUTE(SUBSTITUTE(UPPER($H293)," ",""),"D",""),";",REPT(" ",30)),181,30))),0)+IFERROR(VALUE(TRIM(MID(SUBSTITUTE(SUBSTITUTE(SUBSTITUTE(UPPER($H293)," ",""),"D",""),";",REPT(" ",30)),211,30))),0)))))</f>
        <v/>
      </c>
      <c r="K293" s="26" t="n"/>
      <c r="L293" s="6" t="n"/>
      <c r="M293" s="13" t="n"/>
      <c r="N293" s="27">
        <f>IF($C293="","",IF($E293="Falta","-",MAX(0,MIN(10,8+IFERROR(VALUE(TRIM(MID(SUBSTITUTE(SUBSTITUTE(SUBSTITUTE(UPPER($L293)," ",""),"F",""),";",REPT(" ",30)),1,30))),0)+IFERROR(VALUE(TRIM(MID(SUBSTITUTE(SUBSTITUTE(SUBSTITUTE(UPPER($L293)," ",""),"F",""),";",REPT(" ",30)),31,30))),0)+IFERROR(VALUE(TRIM(MID(SUBSTITUTE(SUBSTITUTE(SUBSTITUTE(UPPER($L293)," ",""),"F",""),";",REPT(" ",30)),61,30))),0)+IFERROR(VALUE(TRIM(MID(SUBSTITUTE(SUBSTITUTE(SUBSTITUTE(UPPER($L293)," ",""),"F",""),";",REPT(" ",30)),91,30))),0)+IFERROR(VALUE(TRIM(MID(SUBSTITUTE(SUBSTITUTE(SUBSTITUTE(UPPER($L293)," ",""),"F",""),";",REPT(" ",30)),121,30))),0)+IFERROR(VALUE(TRIM(MID(SUBSTITUTE(SUBSTITUTE(SUBSTITUTE(UPPER($L293)," ",""),"F",""),";",REPT(" ",30)),151,30))),0)+IFERROR(VALUE(TRIM(MID(SUBSTITUTE(SUBSTITUTE(SUBSTITUTE(UPPER($L293)," ",""),"F",""),";",REPT(" ",30)),181,30))),0)+IFERROR(VALUE(TRIM(MID(SUBSTITUTE(SUBSTITUTE(SUBSTITUTE(UPPER($L293)," ",""),"F",""),";",REPT(" ",30)),211,30))),0)))))</f>
        <v/>
      </c>
      <c r="O293" s="26" t="n"/>
      <c r="P293" s="6" t="n"/>
      <c r="Q293" s="13" t="n"/>
      <c r="R293" s="27">
        <f>IF($C293="","",IF($E293="Falta","-",MAX(0,MIN(10,5+IFERROR(VALUE(TRIM(MID(SUBSTITUTE(SUBSTITUTE(SUBSTITUTE(UPPER($P293)," ",""),"C",""),";",REPT(" ",30)),1,30))),0)+IFERROR(VALUE(TRIM(MID(SUBSTITUTE(SUBSTITUTE(SUBSTITUTE(UPPER($P293)," ",""),"C",""),";",REPT(" ",30)),31,30))),0)+IFERROR(VALUE(TRIM(MID(SUBSTITUTE(SUBSTITUTE(SUBSTITUTE(UPPER($P293)," ",""),"C",""),";",REPT(" ",30)),61,30))),0)+IFERROR(VALUE(TRIM(MID(SUBSTITUTE(SUBSTITUTE(SUBSTITUTE(UPPER($P293)," ",""),"C",""),";",REPT(" ",30)),91,30))),0)+IFERROR(VALUE(TRIM(MID(SUBSTITUTE(SUBSTITUTE(SUBSTITUTE(UPPER($P293)," ",""),"C",""),";",REPT(" ",30)),121,30))),0)+IFERROR(VALUE(TRIM(MID(SUBSTITUTE(SUBSTITUTE(SUBSTITUTE(UPPER($P293)," ",""),"C",""),";",REPT(" ",30)),151,30))),0)+IFERROR(VALUE(TRIM(MID(SUBSTITUTE(SUBSTITUTE(SUBSTITUTE(UPPER($P293)," ",""),"C",""),";",REPT(" ",30)),181,30))),0)+IFERROR(VALUE(TRIM(MID(SUBSTITUTE(SUBSTITUTE(SUBSTITUTE(UPPER($P293)," ",""),"C",""),";",REPT(" ",30)),211,30))),0)))))</f>
        <v/>
      </c>
      <c r="S293" s="26" t="n"/>
      <c r="T293" s="6" t="n"/>
      <c r="U293" s="13" t="n"/>
      <c r="V293" s="27">
        <f>IF($C293="","",IF($E293="Falta","-",MAX(0,MIN(10,5+IFERROR(VALUE(TRIM(MID(SUBSTITUTE(SUBSTITUTE(SUBSTITUTE(UPPER($T293)," ",""),"P",""),";",REPT(" ",30)),1,30))),0)+IFERROR(VALUE(TRIM(MID(SUBSTITUTE(SUBSTITUTE(SUBSTITUTE(UPPER($T293)," ",""),"P",""),";",REPT(" ",30)),31,30))),0)+IFERROR(VALUE(TRIM(MID(SUBSTITUTE(SUBSTITUTE(SUBSTITUTE(UPPER($T293)," ",""),"P",""),";",REPT(" ",30)),61,30))),0)+IFERROR(VALUE(TRIM(MID(SUBSTITUTE(SUBSTITUTE(SUBSTITUTE(UPPER($T293)," ",""),"P",""),";",REPT(" ",30)),91,30))),0)+IFERROR(VALUE(TRIM(MID(SUBSTITUTE(SUBSTITUTE(SUBSTITUTE(UPPER($T293)," ",""),"P",""),";",REPT(" ",30)),121,30))),0)+IFERROR(VALUE(TRIM(MID(SUBSTITUTE(SUBSTITUTE(SUBSTITUTE(UPPER($T293)," ",""),"P",""),";",REPT(" ",30)),151,30))),0)+IFERROR(VALUE(TRIM(MID(SUBSTITUTE(SUBSTITUTE(SUBSTITUTE(UPPER($T293)," ",""),"P",""),";",REPT(" ",30)),181,30))),0)+IFERROR(VALUE(TRIM(MID(SUBSTITUTE(SUBSTITUTE(SUBSTITUTE(UPPER($T293)," ",""),"P",""),";",REPT(" ",30)),211,30))),0)))))</f>
        <v/>
      </c>
      <c r="W293" s="26" t="n"/>
      <c r="X293" s="13" t="n"/>
    </row>
    <row r="294">
      <c r="A294" s="8">
        <f>IF($C294="","",59)</f>
        <v/>
      </c>
      <c r="B294" s="8">
        <f>IF($C294="","","1ª Sessão")</f>
        <v/>
      </c>
      <c r="C294" s="8">
        <f>IF(Preenchimento!$B$68="","",Preenchimento!$B$68)</f>
        <v/>
      </c>
      <c r="D294" s="8">
        <f>IF($C294="","",IF(Preenchimento!$C$68="","-",Preenchimento!$C$68))</f>
        <v/>
      </c>
      <c r="E294" s="8" t="n"/>
      <c r="F294" s="8" t="n"/>
      <c r="G294" s="24" t="n"/>
      <c r="H294" s="8" t="n"/>
      <c r="I294" s="14" t="n"/>
      <c r="J294" s="25">
        <f>IF($C294="","",IF($E294="Falta","-",MAX(0,MIN(10,8+IFERROR(VALUE(TRIM(MID(SUBSTITUTE(SUBSTITUTE(SUBSTITUTE(UPPER($H294)," ",""),"D",""),";",REPT(" ",30)),1,30))),0)+IFERROR(VALUE(TRIM(MID(SUBSTITUTE(SUBSTITUTE(SUBSTITUTE(UPPER($H294)," ",""),"D",""),";",REPT(" ",30)),31,30))),0)+IFERROR(VALUE(TRIM(MID(SUBSTITUTE(SUBSTITUTE(SUBSTITUTE(UPPER($H294)," ",""),"D",""),";",REPT(" ",30)),61,30))),0)+IFERROR(VALUE(TRIM(MID(SUBSTITUTE(SUBSTITUTE(SUBSTITUTE(UPPER($H294)," ",""),"D",""),";",REPT(" ",30)),91,30))),0)+IFERROR(VALUE(TRIM(MID(SUBSTITUTE(SUBSTITUTE(SUBSTITUTE(UPPER($H294)," ",""),"D",""),";",REPT(" ",30)),121,30))),0)+IFERROR(VALUE(TRIM(MID(SUBSTITUTE(SUBSTITUTE(SUBSTITUTE(UPPER($H294)," ",""),"D",""),";",REPT(" ",30)),151,30))),0)+IFERROR(VALUE(TRIM(MID(SUBSTITUTE(SUBSTITUTE(SUBSTITUTE(UPPER($H294)," ",""),"D",""),";",REPT(" ",30)),181,30))),0)+IFERROR(VALUE(TRIM(MID(SUBSTITUTE(SUBSTITUTE(SUBSTITUTE(UPPER($H294)," ",""),"D",""),";",REPT(" ",30)),211,30))),0)))))</f>
        <v/>
      </c>
      <c r="K294" s="24" t="n"/>
      <c r="L294" s="8" t="n"/>
      <c r="M294" s="14" t="n"/>
      <c r="N294" s="25">
        <f>IF($C294="","",IF($E294="Falta","-",MAX(0,MIN(10,8+IFERROR(VALUE(TRIM(MID(SUBSTITUTE(SUBSTITUTE(SUBSTITUTE(UPPER($L294)," ",""),"F",""),";",REPT(" ",30)),1,30))),0)+IFERROR(VALUE(TRIM(MID(SUBSTITUTE(SUBSTITUTE(SUBSTITUTE(UPPER($L294)," ",""),"F",""),";",REPT(" ",30)),31,30))),0)+IFERROR(VALUE(TRIM(MID(SUBSTITUTE(SUBSTITUTE(SUBSTITUTE(UPPER($L294)," ",""),"F",""),";",REPT(" ",30)),61,30))),0)+IFERROR(VALUE(TRIM(MID(SUBSTITUTE(SUBSTITUTE(SUBSTITUTE(UPPER($L294)," ",""),"F",""),";",REPT(" ",30)),91,30))),0)+IFERROR(VALUE(TRIM(MID(SUBSTITUTE(SUBSTITUTE(SUBSTITUTE(UPPER($L294)," ",""),"F",""),";",REPT(" ",30)),121,30))),0)+IFERROR(VALUE(TRIM(MID(SUBSTITUTE(SUBSTITUTE(SUBSTITUTE(UPPER($L294)," ",""),"F",""),";",REPT(" ",30)),151,30))),0)+IFERROR(VALUE(TRIM(MID(SUBSTITUTE(SUBSTITUTE(SUBSTITUTE(UPPER($L294)," ",""),"F",""),";",REPT(" ",30)),181,30))),0)+IFERROR(VALUE(TRIM(MID(SUBSTITUTE(SUBSTITUTE(SUBSTITUTE(UPPER($L294)," ",""),"F",""),";",REPT(" ",30)),211,30))),0)))))</f>
        <v/>
      </c>
      <c r="O294" s="24" t="n"/>
      <c r="P294" s="8" t="n"/>
      <c r="Q294" s="14" t="n"/>
      <c r="R294" s="25">
        <f>IF($C294="","",IF($E294="Falta","-",MAX(0,MIN(10,5+IFERROR(VALUE(TRIM(MID(SUBSTITUTE(SUBSTITUTE(SUBSTITUTE(UPPER($P294)," ",""),"C",""),";",REPT(" ",30)),1,30))),0)+IFERROR(VALUE(TRIM(MID(SUBSTITUTE(SUBSTITUTE(SUBSTITUTE(UPPER($P294)," ",""),"C",""),";",REPT(" ",30)),31,30))),0)+IFERROR(VALUE(TRIM(MID(SUBSTITUTE(SUBSTITUTE(SUBSTITUTE(UPPER($P294)," ",""),"C",""),";",REPT(" ",30)),61,30))),0)+IFERROR(VALUE(TRIM(MID(SUBSTITUTE(SUBSTITUTE(SUBSTITUTE(UPPER($P294)," ",""),"C",""),";",REPT(" ",30)),91,30))),0)+IFERROR(VALUE(TRIM(MID(SUBSTITUTE(SUBSTITUTE(SUBSTITUTE(UPPER($P294)," ",""),"C",""),";",REPT(" ",30)),121,30))),0)+IFERROR(VALUE(TRIM(MID(SUBSTITUTE(SUBSTITUTE(SUBSTITUTE(UPPER($P294)," ",""),"C",""),";",REPT(" ",30)),151,30))),0)+IFERROR(VALUE(TRIM(MID(SUBSTITUTE(SUBSTITUTE(SUBSTITUTE(UPPER($P294)," ",""),"C",""),";",REPT(" ",30)),181,30))),0)+IFERROR(VALUE(TRIM(MID(SUBSTITUTE(SUBSTITUTE(SUBSTITUTE(UPPER($P294)," ",""),"C",""),";",REPT(" ",30)),211,30))),0)))))</f>
        <v/>
      </c>
      <c r="S294" s="24" t="n"/>
      <c r="T294" s="8" t="n"/>
      <c r="U294" s="14" t="n"/>
      <c r="V294" s="25">
        <f>IF($C294="","",IF($E294="Falta","-",MAX(0,MIN(10,5+IFERROR(VALUE(TRIM(MID(SUBSTITUTE(SUBSTITUTE(SUBSTITUTE(UPPER($T294)," ",""),"P",""),";",REPT(" ",30)),1,30))),0)+IFERROR(VALUE(TRIM(MID(SUBSTITUTE(SUBSTITUTE(SUBSTITUTE(UPPER($T294)," ",""),"P",""),";",REPT(" ",30)),31,30))),0)+IFERROR(VALUE(TRIM(MID(SUBSTITUTE(SUBSTITUTE(SUBSTITUTE(UPPER($T294)," ",""),"P",""),";",REPT(" ",30)),61,30))),0)+IFERROR(VALUE(TRIM(MID(SUBSTITUTE(SUBSTITUTE(SUBSTITUTE(UPPER($T294)," ",""),"P",""),";",REPT(" ",30)),91,30))),0)+IFERROR(VALUE(TRIM(MID(SUBSTITUTE(SUBSTITUTE(SUBSTITUTE(UPPER($T294)," ",""),"P",""),";",REPT(" ",30)),121,30))),0)+IFERROR(VALUE(TRIM(MID(SUBSTITUTE(SUBSTITUTE(SUBSTITUTE(UPPER($T294)," ",""),"P",""),";",REPT(" ",30)),151,30))),0)+IFERROR(VALUE(TRIM(MID(SUBSTITUTE(SUBSTITUTE(SUBSTITUTE(UPPER($T294)," ",""),"P",""),";",REPT(" ",30)),181,30))),0)+IFERROR(VALUE(TRIM(MID(SUBSTITUTE(SUBSTITUTE(SUBSTITUTE(UPPER($T294)," ",""),"P",""),";",REPT(" ",30)),211,30))),0)))))</f>
        <v/>
      </c>
      <c r="W294" s="24" t="n"/>
      <c r="X294" s="14" t="n"/>
    </row>
    <row r="295">
      <c r="A295" s="8">
        <f>IF($C295="","",59)</f>
        <v/>
      </c>
      <c r="B295" s="8">
        <f>IF($C295="","","2ª Sessão")</f>
        <v/>
      </c>
      <c r="C295" s="8">
        <f>IF(Preenchimento!$B$68="","",Preenchimento!$B$68)</f>
        <v/>
      </c>
      <c r="D295" s="8">
        <f>IF($C295="","",IF(Preenchimento!$C$68="","-",Preenchimento!$C$68))</f>
        <v/>
      </c>
      <c r="E295" s="8" t="n"/>
      <c r="F295" s="8" t="n"/>
      <c r="G295" s="24" t="n"/>
      <c r="H295" s="8" t="n"/>
      <c r="I295" s="14" t="n"/>
      <c r="J295" s="25">
        <f>IF($C295="","",IF($E295="Falta","-",MAX(0,MIN(10,8+IFERROR(VALUE(TRIM(MID(SUBSTITUTE(SUBSTITUTE(SUBSTITUTE(UPPER($H295)," ",""),"D",""),";",REPT(" ",30)),1,30))),0)+IFERROR(VALUE(TRIM(MID(SUBSTITUTE(SUBSTITUTE(SUBSTITUTE(UPPER($H295)," ",""),"D",""),";",REPT(" ",30)),31,30))),0)+IFERROR(VALUE(TRIM(MID(SUBSTITUTE(SUBSTITUTE(SUBSTITUTE(UPPER($H295)," ",""),"D",""),";",REPT(" ",30)),61,30))),0)+IFERROR(VALUE(TRIM(MID(SUBSTITUTE(SUBSTITUTE(SUBSTITUTE(UPPER($H295)," ",""),"D",""),";",REPT(" ",30)),91,30))),0)+IFERROR(VALUE(TRIM(MID(SUBSTITUTE(SUBSTITUTE(SUBSTITUTE(UPPER($H295)," ",""),"D",""),";",REPT(" ",30)),121,30))),0)+IFERROR(VALUE(TRIM(MID(SUBSTITUTE(SUBSTITUTE(SUBSTITUTE(UPPER($H295)," ",""),"D",""),";",REPT(" ",30)),151,30))),0)+IFERROR(VALUE(TRIM(MID(SUBSTITUTE(SUBSTITUTE(SUBSTITUTE(UPPER($H295)," ",""),"D",""),";",REPT(" ",30)),181,30))),0)+IFERROR(VALUE(TRIM(MID(SUBSTITUTE(SUBSTITUTE(SUBSTITUTE(UPPER($H295)," ",""),"D",""),";",REPT(" ",30)),211,30))),0)))))</f>
        <v/>
      </c>
      <c r="K295" s="24" t="n"/>
      <c r="L295" s="8" t="n"/>
      <c r="M295" s="14" t="n"/>
      <c r="N295" s="25">
        <f>IF($C295="","",IF($E295="Falta","-",MAX(0,MIN(10,8+IFERROR(VALUE(TRIM(MID(SUBSTITUTE(SUBSTITUTE(SUBSTITUTE(UPPER($L295)," ",""),"F",""),";",REPT(" ",30)),1,30))),0)+IFERROR(VALUE(TRIM(MID(SUBSTITUTE(SUBSTITUTE(SUBSTITUTE(UPPER($L295)," ",""),"F",""),";",REPT(" ",30)),31,30))),0)+IFERROR(VALUE(TRIM(MID(SUBSTITUTE(SUBSTITUTE(SUBSTITUTE(UPPER($L295)," ",""),"F",""),";",REPT(" ",30)),61,30))),0)+IFERROR(VALUE(TRIM(MID(SUBSTITUTE(SUBSTITUTE(SUBSTITUTE(UPPER($L295)," ",""),"F",""),";",REPT(" ",30)),91,30))),0)+IFERROR(VALUE(TRIM(MID(SUBSTITUTE(SUBSTITUTE(SUBSTITUTE(UPPER($L295)," ",""),"F",""),";",REPT(" ",30)),121,30))),0)+IFERROR(VALUE(TRIM(MID(SUBSTITUTE(SUBSTITUTE(SUBSTITUTE(UPPER($L295)," ",""),"F",""),";",REPT(" ",30)),151,30))),0)+IFERROR(VALUE(TRIM(MID(SUBSTITUTE(SUBSTITUTE(SUBSTITUTE(UPPER($L295)," ",""),"F",""),";",REPT(" ",30)),181,30))),0)+IFERROR(VALUE(TRIM(MID(SUBSTITUTE(SUBSTITUTE(SUBSTITUTE(UPPER($L295)," ",""),"F",""),";",REPT(" ",30)),211,30))),0)))))</f>
        <v/>
      </c>
      <c r="O295" s="24" t="n"/>
      <c r="P295" s="8" t="n"/>
      <c r="Q295" s="14" t="n"/>
      <c r="R295" s="25">
        <f>IF($C295="","",IF($E295="Falta","-",MAX(0,MIN(10,5+IFERROR(VALUE(TRIM(MID(SUBSTITUTE(SUBSTITUTE(SUBSTITUTE(UPPER($P295)," ",""),"C",""),";",REPT(" ",30)),1,30))),0)+IFERROR(VALUE(TRIM(MID(SUBSTITUTE(SUBSTITUTE(SUBSTITUTE(UPPER($P295)," ",""),"C",""),";",REPT(" ",30)),31,30))),0)+IFERROR(VALUE(TRIM(MID(SUBSTITUTE(SUBSTITUTE(SUBSTITUTE(UPPER($P295)," ",""),"C",""),";",REPT(" ",30)),61,30))),0)+IFERROR(VALUE(TRIM(MID(SUBSTITUTE(SUBSTITUTE(SUBSTITUTE(UPPER($P295)," ",""),"C",""),";",REPT(" ",30)),91,30))),0)+IFERROR(VALUE(TRIM(MID(SUBSTITUTE(SUBSTITUTE(SUBSTITUTE(UPPER($P295)," ",""),"C",""),";",REPT(" ",30)),121,30))),0)+IFERROR(VALUE(TRIM(MID(SUBSTITUTE(SUBSTITUTE(SUBSTITUTE(UPPER($P295)," ",""),"C",""),";",REPT(" ",30)),151,30))),0)+IFERROR(VALUE(TRIM(MID(SUBSTITUTE(SUBSTITUTE(SUBSTITUTE(UPPER($P295)," ",""),"C",""),";",REPT(" ",30)),181,30))),0)+IFERROR(VALUE(TRIM(MID(SUBSTITUTE(SUBSTITUTE(SUBSTITUTE(UPPER($P295)," ",""),"C",""),";",REPT(" ",30)),211,30))),0)))))</f>
        <v/>
      </c>
      <c r="S295" s="24" t="n"/>
      <c r="T295" s="8" t="n"/>
      <c r="U295" s="14" t="n"/>
      <c r="V295" s="25">
        <f>IF($C295="","",IF($E295="Falta","-",MAX(0,MIN(10,5+IFERROR(VALUE(TRIM(MID(SUBSTITUTE(SUBSTITUTE(SUBSTITUTE(UPPER($T295)," ",""),"P",""),";",REPT(" ",30)),1,30))),0)+IFERROR(VALUE(TRIM(MID(SUBSTITUTE(SUBSTITUTE(SUBSTITUTE(UPPER($T295)," ",""),"P",""),";",REPT(" ",30)),31,30))),0)+IFERROR(VALUE(TRIM(MID(SUBSTITUTE(SUBSTITUTE(SUBSTITUTE(UPPER($T295)," ",""),"P",""),";",REPT(" ",30)),61,30))),0)+IFERROR(VALUE(TRIM(MID(SUBSTITUTE(SUBSTITUTE(SUBSTITUTE(UPPER($T295)," ",""),"P",""),";",REPT(" ",30)),91,30))),0)+IFERROR(VALUE(TRIM(MID(SUBSTITUTE(SUBSTITUTE(SUBSTITUTE(UPPER($T295)," ",""),"P",""),";",REPT(" ",30)),121,30))),0)+IFERROR(VALUE(TRIM(MID(SUBSTITUTE(SUBSTITUTE(SUBSTITUTE(UPPER($T295)," ",""),"P",""),";",REPT(" ",30)),151,30))),0)+IFERROR(VALUE(TRIM(MID(SUBSTITUTE(SUBSTITUTE(SUBSTITUTE(UPPER($T295)," ",""),"P",""),";",REPT(" ",30)),181,30))),0)+IFERROR(VALUE(TRIM(MID(SUBSTITUTE(SUBSTITUTE(SUBSTITUTE(UPPER($T295)," ",""),"P",""),";",REPT(" ",30)),211,30))),0)))))</f>
        <v/>
      </c>
      <c r="W295" s="24" t="n"/>
      <c r="X295" s="14" t="n"/>
    </row>
    <row r="296">
      <c r="A296" s="8">
        <f>IF($C296="","",59)</f>
        <v/>
      </c>
      <c r="B296" s="8">
        <f>IF($C296="","","3ª Sessão")</f>
        <v/>
      </c>
      <c r="C296" s="8">
        <f>IF(Preenchimento!$B$68="","",Preenchimento!$B$68)</f>
        <v/>
      </c>
      <c r="D296" s="8">
        <f>IF($C296="","",IF(Preenchimento!$C$68="","-",Preenchimento!$C$68))</f>
        <v/>
      </c>
      <c r="E296" s="8" t="n"/>
      <c r="F296" s="8" t="n"/>
      <c r="G296" s="24" t="n"/>
      <c r="H296" s="8" t="n"/>
      <c r="I296" s="14" t="n"/>
      <c r="J296" s="25">
        <f>IF($C296="","",IF($E296="Falta","-",MAX(0,MIN(10,8+IFERROR(VALUE(TRIM(MID(SUBSTITUTE(SUBSTITUTE(SUBSTITUTE(UPPER($H296)," ",""),"D",""),";",REPT(" ",30)),1,30))),0)+IFERROR(VALUE(TRIM(MID(SUBSTITUTE(SUBSTITUTE(SUBSTITUTE(UPPER($H296)," ",""),"D",""),";",REPT(" ",30)),31,30))),0)+IFERROR(VALUE(TRIM(MID(SUBSTITUTE(SUBSTITUTE(SUBSTITUTE(UPPER($H296)," ",""),"D",""),";",REPT(" ",30)),61,30))),0)+IFERROR(VALUE(TRIM(MID(SUBSTITUTE(SUBSTITUTE(SUBSTITUTE(UPPER($H296)," ",""),"D",""),";",REPT(" ",30)),91,30))),0)+IFERROR(VALUE(TRIM(MID(SUBSTITUTE(SUBSTITUTE(SUBSTITUTE(UPPER($H296)," ",""),"D",""),";",REPT(" ",30)),121,30))),0)+IFERROR(VALUE(TRIM(MID(SUBSTITUTE(SUBSTITUTE(SUBSTITUTE(UPPER($H296)," ",""),"D",""),";",REPT(" ",30)),151,30))),0)+IFERROR(VALUE(TRIM(MID(SUBSTITUTE(SUBSTITUTE(SUBSTITUTE(UPPER($H296)," ",""),"D",""),";",REPT(" ",30)),181,30))),0)+IFERROR(VALUE(TRIM(MID(SUBSTITUTE(SUBSTITUTE(SUBSTITUTE(UPPER($H296)," ",""),"D",""),";",REPT(" ",30)),211,30))),0)))))</f>
        <v/>
      </c>
      <c r="K296" s="24" t="n"/>
      <c r="L296" s="8" t="n"/>
      <c r="M296" s="14" t="n"/>
      <c r="N296" s="25">
        <f>IF($C296="","",IF($E296="Falta","-",MAX(0,MIN(10,8+IFERROR(VALUE(TRIM(MID(SUBSTITUTE(SUBSTITUTE(SUBSTITUTE(UPPER($L296)," ",""),"F",""),";",REPT(" ",30)),1,30))),0)+IFERROR(VALUE(TRIM(MID(SUBSTITUTE(SUBSTITUTE(SUBSTITUTE(UPPER($L296)," ",""),"F",""),";",REPT(" ",30)),31,30))),0)+IFERROR(VALUE(TRIM(MID(SUBSTITUTE(SUBSTITUTE(SUBSTITUTE(UPPER($L296)," ",""),"F",""),";",REPT(" ",30)),61,30))),0)+IFERROR(VALUE(TRIM(MID(SUBSTITUTE(SUBSTITUTE(SUBSTITUTE(UPPER($L296)," ",""),"F",""),";",REPT(" ",30)),91,30))),0)+IFERROR(VALUE(TRIM(MID(SUBSTITUTE(SUBSTITUTE(SUBSTITUTE(UPPER($L296)," ",""),"F",""),";",REPT(" ",30)),121,30))),0)+IFERROR(VALUE(TRIM(MID(SUBSTITUTE(SUBSTITUTE(SUBSTITUTE(UPPER($L296)," ",""),"F",""),";",REPT(" ",30)),151,30))),0)+IFERROR(VALUE(TRIM(MID(SUBSTITUTE(SUBSTITUTE(SUBSTITUTE(UPPER($L296)," ",""),"F",""),";",REPT(" ",30)),181,30))),0)+IFERROR(VALUE(TRIM(MID(SUBSTITUTE(SUBSTITUTE(SUBSTITUTE(UPPER($L296)," ",""),"F",""),";",REPT(" ",30)),211,30))),0)))))</f>
        <v/>
      </c>
      <c r="O296" s="24" t="n"/>
      <c r="P296" s="8" t="n"/>
      <c r="Q296" s="14" t="n"/>
      <c r="R296" s="25">
        <f>IF($C296="","",IF($E296="Falta","-",MAX(0,MIN(10,5+IFERROR(VALUE(TRIM(MID(SUBSTITUTE(SUBSTITUTE(SUBSTITUTE(UPPER($P296)," ",""),"C",""),";",REPT(" ",30)),1,30))),0)+IFERROR(VALUE(TRIM(MID(SUBSTITUTE(SUBSTITUTE(SUBSTITUTE(UPPER($P296)," ",""),"C",""),";",REPT(" ",30)),31,30))),0)+IFERROR(VALUE(TRIM(MID(SUBSTITUTE(SUBSTITUTE(SUBSTITUTE(UPPER($P296)," ",""),"C",""),";",REPT(" ",30)),61,30))),0)+IFERROR(VALUE(TRIM(MID(SUBSTITUTE(SUBSTITUTE(SUBSTITUTE(UPPER($P296)," ",""),"C",""),";",REPT(" ",30)),91,30))),0)+IFERROR(VALUE(TRIM(MID(SUBSTITUTE(SUBSTITUTE(SUBSTITUTE(UPPER($P296)," ",""),"C",""),";",REPT(" ",30)),121,30))),0)+IFERROR(VALUE(TRIM(MID(SUBSTITUTE(SUBSTITUTE(SUBSTITUTE(UPPER($P296)," ",""),"C",""),";",REPT(" ",30)),151,30))),0)+IFERROR(VALUE(TRIM(MID(SUBSTITUTE(SUBSTITUTE(SUBSTITUTE(UPPER($P296)," ",""),"C",""),";",REPT(" ",30)),181,30))),0)+IFERROR(VALUE(TRIM(MID(SUBSTITUTE(SUBSTITUTE(SUBSTITUTE(UPPER($P296)," ",""),"C",""),";",REPT(" ",30)),211,30))),0)))))</f>
        <v/>
      </c>
      <c r="S296" s="24" t="n"/>
      <c r="T296" s="8" t="n"/>
      <c r="U296" s="14" t="n"/>
      <c r="V296" s="25">
        <f>IF($C296="","",IF($E296="Falta","-",MAX(0,MIN(10,5+IFERROR(VALUE(TRIM(MID(SUBSTITUTE(SUBSTITUTE(SUBSTITUTE(UPPER($T296)," ",""),"P",""),";",REPT(" ",30)),1,30))),0)+IFERROR(VALUE(TRIM(MID(SUBSTITUTE(SUBSTITUTE(SUBSTITUTE(UPPER($T296)," ",""),"P",""),";",REPT(" ",30)),31,30))),0)+IFERROR(VALUE(TRIM(MID(SUBSTITUTE(SUBSTITUTE(SUBSTITUTE(UPPER($T296)," ",""),"P",""),";",REPT(" ",30)),61,30))),0)+IFERROR(VALUE(TRIM(MID(SUBSTITUTE(SUBSTITUTE(SUBSTITUTE(UPPER($T296)," ",""),"P",""),";",REPT(" ",30)),91,30))),0)+IFERROR(VALUE(TRIM(MID(SUBSTITUTE(SUBSTITUTE(SUBSTITUTE(UPPER($T296)," ",""),"P",""),";",REPT(" ",30)),121,30))),0)+IFERROR(VALUE(TRIM(MID(SUBSTITUTE(SUBSTITUTE(SUBSTITUTE(UPPER($T296)," ",""),"P",""),";",REPT(" ",30)),151,30))),0)+IFERROR(VALUE(TRIM(MID(SUBSTITUTE(SUBSTITUTE(SUBSTITUTE(UPPER($T296)," ",""),"P",""),";",REPT(" ",30)),181,30))),0)+IFERROR(VALUE(TRIM(MID(SUBSTITUTE(SUBSTITUTE(SUBSTITUTE(UPPER($T296)," ",""),"P",""),";",REPT(" ",30)),211,30))),0)))))</f>
        <v/>
      </c>
      <c r="W296" s="24" t="n"/>
      <c r="X296" s="14" t="n"/>
    </row>
    <row r="297">
      <c r="A297" s="8">
        <f>IF($C297="","",59)</f>
        <v/>
      </c>
      <c r="B297" s="8">
        <f>IF($C297="","","4ª Sessão")</f>
        <v/>
      </c>
      <c r="C297" s="8">
        <f>IF(Preenchimento!$B$68="","",Preenchimento!$B$68)</f>
        <v/>
      </c>
      <c r="D297" s="8">
        <f>IF($C297="","",IF(Preenchimento!$C$68="","-",Preenchimento!$C$68))</f>
        <v/>
      </c>
      <c r="E297" s="8" t="n"/>
      <c r="F297" s="8" t="n"/>
      <c r="G297" s="24" t="n"/>
      <c r="H297" s="8" t="n"/>
      <c r="I297" s="14" t="n"/>
      <c r="J297" s="25">
        <f>IF($C297="","",IF($E297="Falta","-",MAX(0,MIN(10,8+IFERROR(VALUE(TRIM(MID(SUBSTITUTE(SUBSTITUTE(SUBSTITUTE(UPPER($H297)," ",""),"D",""),";",REPT(" ",30)),1,30))),0)+IFERROR(VALUE(TRIM(MID(SUBSTITUTE(SUBSTITUTE(SUBSTITUTE(UPPER($H297)," ",""),"D",""),";",REPT(" ",30)),31,30))),0)+IFERROR(VALUE(TRIM(MID(SUBSTITUTE(SUBSTITUTE(SUBSTITUTE(UPPER($H297)," ",""),"D",""),";",REPT(" ",30)),61,30))),0)+IFERROR(VALUE(TRIM(MID(SUBSTITUTE(SUBSTITUTE(SUBSTITUTE(UPPER($H297)," ",""),"D",""),";",REPT(" ",30)),91,30))),0)+IFERROR(VALUE(TRIM(MID(SUBSTITUTE(SUBSTITUTE(SUBSTITUTE(UPPER($H297)," ",""),"D",""),";",REPT(" ",30)),121,30))),0)+IFERROR(VALUE(TRIM(MID(SUBSTITUTE(SUBSTITUTE(SUBSTITUTE(UPPER($H297)," ",""),"D",""),";",REPT(" ",30)),151,30))),0)+IFERROR(VALUE(TRIM(MID(SUBSTITUTE(SUBSTITUTE(SUBSTITUTE(UPPER($H297)," ",""),"D",""),";",REPT(" ",30)),181,30))),0)+IFERROR(VALUE(TRIM(MID(SUBSTITUTE(SUBSTITUTE(SUBSTITUTE(UPPER($H297)," ",""),"D",""),";",REPT(" ",30)),211,30))),0)))))</f>
        <v/>
      </c>
      <c r="K297" s="24" t="n"/>
      <c r="L297" s="8" t="n"/>
      <c r="M297" s="14" t="n"/>
      <c r="N297" s="25">
        <f>IF($C297="","",IF($E297="Falta","-",MAX(0,MIN(10,8+IFERROR(VALUE(TRIM(MID(SUBSTITUTE(SUBSTITUTE(SUBSTITUTE(UPPER($L297)," ",""),"F",""),";",REPT(" ",30)),1,30))),0)+IFERROR(VALUE(TRIM(MID(SUBSTITUTE(SUBSTITUTE(SUBSTITUTE(UPPER($L297)," ",""),"F",""),";",REPT(" ",30)),31,30))),0)+IFERROR(VALUE(TRIM(MID(SUBSTITUTE(SUBSTITUTE(SUBSTITUTE(UPPER($L297)," ",""),"F",""),";",REPT(" ",30)),61,30))),0)+IFERROR(VALUE(TRIM(MID(SUBSTITUTE(SUBSTITUTE(SUBSTITUTE(UPPER($L297)," ",""),"F",""),";",REPT(" ",30)),91,30))),0)+IFERROR(VALUE(TRIM(MID(SUBSTITUTE(SUBSTITUTE(SUBSTITUTE(UPPER($L297)," ",""),"F",""),";",REPT(" ",30)),121,30))),0)+IFERROR(VALUE(TRIM(MID(SUBSTITUTE(SUBSTITUTE(SUBSTITUTE(UPPER($L297)," ",""),"F",""),";",REPT(" ",30)),151,30))),0)+IFERROR(VALUE(TRIM(MID(SUBSTITUTE(SUBSTITUTE(SUBSTITUTE(UPPER($L297)," ",""),"F",""),";",REPT(" ",30)),181,30))),0)+IFERROR(VALUE(TRIM(MID(SUBSTITUTE(SUBSTITUTE(SUBSTITUTE(UPPER($L297)," ",""),"F",""),";",REPT(" ",30)),211,30))),0)))))</f>
        <v/>
      </c>
      <c r="O297" s="24" t="n"/>
      <c r="P297" s="8" t="n"/>
      <c r="Q297" s="14" t="n"/>
      <c r="R297" s="25">
        <f>IF($C297="","",IF($E297="Falta","-",MAX(0,MIN(10,5+IFERROR(VALUE(TRIM(MID(SUBSTITUTE(SUBSTITUTE(SUBSTITUTE(UPPER($P297)," ",""),"C",""),";",REPT(" ",30)),1,30))),0)+IFERROR(VALUE(TRIM(MID(SUBSTITUTE(SUBSTITUTE(SUBSTITUTE(UPPER($P297)," ",""),"C",""),";",REPT(" ",30)),31,30))),0)+IFERROR(VALUE(TRIM(MID(SUBSTITUTE(SUBSTITUTE(SUBSTITUTE(UPPER($P297)," ",""),"C",""),";",REPT(" ",30)),61,30))),0)+IFERROR(VALUE(TRIM(MID(SUBSTITUTE(SUBSTITUTE(SUBSTITUTE(UPPER($P297)," ",""),"C",""),";",REPT(" ",30)),91,30))),0)+IFERROR(VALUE(TRIM(MID(SUBSTITUTE(SUBSTITUTE(SUBSTITUTE(UPPER($P297)," ",""),"C",""),";",REPT(" ",30)),121,30))),0)+IFERROR(VALUE(TRIM(MID(SUBSTITUTE(SUBSTITUTE(SUBSTITUTE(UPPER($P297)," ",""),"C",""),";",REPT(" ",30)),151,30))),0)+IFERROR(VALUE(TRIM(MID(SUBSTITUTE(SUBSTITUTE(SUBSTITUTE(UPPER($P297)," ",""),"C",""),";",REPT(" ",30)),181,30))),0)+IFERROR(VALUE(TRIM(MID(SUBSTITUTE(SUBSTITUTE(SUBSTITUTE(UPPER($P297)," ",""),"C",""),";",REPT(" ",30)),211,30))),0)))))</f>
        <v/>
      </c>
      <c r="S297" s="24" t="n"/>
      <c r="T297" s="8" t="n"/>
      <c r="U297" s="14" t="n"/>
      <c r="V297" s="25">
        <f>IF($C297="","",IF($E297="Falta","-",MAX(0,MIN(10,5+IFERROR(VALUE(TRIM(MID(SUBSTITUTE(SUBSTITUTE(SUBSTITUTE(UPPER($T297)," ",""),"P",""),";",REPT(" ",30)),1,30))),0)+IFERROR(VALUE(TRIM(MID(SUBSTITUTE(SUBSTITUTE(SUBSTITUTE(UPPER($T297)," ",""),"P",""),";",REPT(" ",30)),31,30))),0)+IFERROR(VALUE(TRIM(MID(SUBSTITUTE(SUBSTITUTE(SUBSTITUTE(UPPER($T297)," ",""),"P",""),";",REPT(" ",30)),61,30))),0)+IFERROR(VALUE(TRIM(MID(SUBSTITUTE(SUBSTITUTE(SUBSTITUTE(UPPER($T297)," ",""),"P",""),";",REPT(" ",30)),91,30))),0)+IFERROR(VALUE(TRIM(MID(SUBSTITUTE(SUBSTITUTE(SUBSTITUTE(UPPER($T297)," ",""),"P",""),";",REPT(" ",30)),121,30))),0)+IFERROR(VALUE(TRIM(MID(SUBSTITUTE(SUBSTITUTE(SUBSTITUTE(UPPER($T297)," ",""),"P",""),";",REPT(" ",30)),151,30))),0)+IFERROR(VALUE(TRIM(MID(SUBSTITUTE(SUBSTITUTE(SUBSTITUTE(UPPER($T297)," ",""),"P",""),";",REPT(" ",30)),181,30))),0)+IFERROR(VALUE(TRIM(MID(SUBSTITUTE(SUBSTITUTE(SUBSTITUTE(UPPER($T297)," ",""),"P",""),";",REPT(" ",30)),211,30))),0)))))</f>
        <v/>
      </c>
      <c r="W297" s="24" t="n"/>
      <c r="X297" s="14" t="n"/>
    </row>
    <row r="298">
      <c r="A298" s="8">
        <f>IF($C298="","",59)</f>
        <v/>
      </c>
      <c r="B298" s="8">
        <f>IF($C298="","","5ª Sessão")</f>
        <v/>
      </c>
      <c r="C298" s="8">
        <f>IF(Preenchimento!$B$68="","",Preenchimento!$B$68)</f>
        <v/>
      </c>
      <c r="D298" s="8">
        <f>IF($C298="","",IF(Preenchimento!$C$68="","-",Preenchimento!$C$68))</f>
        <v/>
      </c>
      <c r="E298" s="8" t="n"/>
      <c r="F298" s="8" t="n"/>
      <c r="G298" s="24" t="n"/>
      <c r="H298" s="8" t="n"/>
      <c r="I298" s="14" t="n"/>
      <c r="J298" s="25">
        <f>IF($C298="","",IF($E298="Falta","-",MAX(0,MIN(10,8+IFERROR(VALUE(TRIM(MID(SUBSTITUTE(SUBSTITUTE(SUBSTITUTE(UPPER($H298)," ",""),"D",""),";",REPT(" ",30)),1,30))),0)+IFERROR(VALUE(TRIM(MID(SUBSTITUTE(SUBSTITUTE(SUBSTITUTE(UPPER($H298)," ",""),"D",""),";",REPT(" ",30)),31,30))),0)+IFERROR(VALUE(TRIM(MID(SUBSTITUTE(SUBSTITUTE(SUBSTITUTE(UPPER($H298)," ",""),"D",""),";",REPT(" ",30)),61,30))),0)+IFERROR(VALUE(TRIM(MID(SUBSTITUTE(SUBSTITUTE(SUBSTITUTE(UPPER($H298)," ",""),"D",""),";",REPT(" ",30)),91,30))),0)+IFERROR(VALUE(TRIM(MID(SUBSTITUTE(SUBSTITUTE(SUBSTITUTE(UPPER($H298)," ",""),"D",""),";",REPT(" ",30)),121,30))),0)+IFERROR(VALUE(TRIM(MID(SUBSTITUTE(SUBSTITUTE(SUBSTITUTE(UPPER($H298)," ",""),"D",""),";",REPT(" ",30)),151,30))),0)+IFERROR(VALUE(TRIM(MID(SUBSTITUTE(SUBSTITUTE(SUBSTITUTE(UPPER($H298)," ",""),"D",""),";",REPT(" ",30)),181,30))),0)+IFERROR(VALUE(TRIM(MID(SUBSTITUTE(SUBSTITUTE(SUBSTITUTE(UPPER($H298)," ",""),"D",""),";",REPT(" ",30)),211,30))),0)))))</f>
        <v/>
      </c>
      <c r="K298" s="24" t="n"/>
      <c r="L298" s="8" t="n"/>
      <c r="M298" s="14" t="n"/>
      <c r="N298" s="25">
        <f>IF($C298="","",IF($E298="Falta","-",MAX(0,MIN(10,8+IFERROR(VALUE(TRIM(MID(SUBSTITUTE(SUBSTITUTE(SUBSTITUTE(UPPER($L298)," ",""),"F",""),";",REPT(" ",30)),1,30))),0)+IFERROR(VALUE(TRIM(MID(SUBSTITUTE(SUBSTITUTE(SUBSTITUTE(UPPER($L298)," ",""),"F",""),";",REPT(" ",30)),31,30))),0)+IFERROR(VALUE(TRIM(MID(SUBSTITUTE(SUBSTITUTE(SUBSTITUTE(UPPER($L298)," ",""),"F",""),";",REPT(" ",30)),61,30))),0)+IFERROR(VALUE(TRIM(MID(SUBSTITUTE(SUBSTITUTE(SUBSTITUTE(UPPER($L298)," ",""),"F",""),";",REPT(" ",30)),91,30))),0)+IFERROR(VALUE(TRIM(MID(SUBSTITUTE(SUBSTITUTE(SUBSTITUTE(UPPER($L298)," ",""),"F",""),";",REPT(" ",30)),121,30))),0)+IFERROR(VALUE(TRIM(MID(SUBSTITUTE(SUBSTITUTE(SUBSTITUTE(UPPER($L298)," ",""),"F",""),";",REPT(" ",30)),151,30))),0)+IFERROR(VALUE(TRIM(MID(SUBSTITUTE(SUBSTITUTE(SUBSTITUTE(UPPER($L298)," ",""),"F",""),";",REPT(" ",30)),181,30))),0)+IFERROR(VALUE(TRIM(MID(SUBSTITUTE(SUBSTITUTE(SUBSTITUTE(UPPER($L298)," ",""),"F",""),";",REPT(" ",30)),211,30))),0)))))</f>
        <v/>
      </c>
      <c r="O298" s="24" t="n"/>
      <c r="P298" s="8" t="n"/>
      <c r="Q298" s="14" t="n"/>
      <c r="R298" s="25">
        <f>IF($C298="","",IF($E298="Falta","-",MAX(0,MIN(10,5+IFERROR(VALUE(TRIM(MID(SUBSTITUTE(SUBSTITUTE(SUBSTITUTE(UPPER($P298)," ",""),"C",""),";",REPT(" ",30)),1,30))),0)+IFERROR(VALUE(TRIM(MID(SUBSTITUTE(SUBSTITUTE(SUBSTITUTE(UPPER($P298)," ",""),"C",""),";",REPT(" ",30)),31,30))),0)+IFERROR(VALUE(TRIM(MID(SUBSTITUTE(SUBSTITUTE(SUBSTITUTE(UPPER($P298)," ",""),"C",""),";",REPT(" ",30)),61,30))),0)+IFERROR(VALUE(TRIM(MID(SUBSTITUTE(SUBSTITUTE(SUBSTITUTE(UPPER($P298)," ",""),"C",""),";",REPT(" ",30)),91,30))),0)+IFERROR(VALUE(TRIM(MID(SUBSTITUTE(SUBSTITUTE(SUBSTITUTE(UPPER($P298)," ",""),"C",""),";",REPT(" ",30)),121,30))),0)+IFERROR(VALUE(TRIM(MID(SUBSTITUTE(SUBSTITUTE(SUBSTITUTE(UPPER($P298)," ",""),"C",""),";",REPT(" ",30)),151,30))),0)+IFERROR(VALUE(TRIM(MID(SUBSTITUTE(SUBSTITUTE(SUBSTITUTE(UPPER($P298)," ",""),"C",""),";",REPT(" ",30)),181,30))),0)+IFERROR(VALUE(TRIM(MID(SUBSTITUTE(SUBSTITUTE(SUBSTITUTE(UPPER($P298)," ",""),"C",""),";",REPT(" ",30)),211,30))),0)))))</f>
        <v/>
      </c>
      <c r="S298" s="24" t="n"/>
      <c r="T298" s="8" t="n"/>
      <c r="U298" s="14" t="n"/>
      <c r="V298" s="25">
        <f>IF($C298="","",IF($E298="Falta","-",MAX(0,MIN(10,5+IFERROR(VALUE(TRIM(MID(SUBSTITUTE(SUBSTITUTE(SUBSTITUTE(UPPER($T298)," ",""),"P",""),";",REPT(" ",30)),1,30))),0)+IFERROR(VALUE(TRIM(MID(SUBSTITUTE(SUBSTITUTE(SUBSTITUTE(UPPER($T298)," ",""),"P",""),";",REPT(" ",30)),31,30))),0)+IFERROR(VALUE(TRIM(MID(SUBSTITUTE(SUBSTITUTE(SUBSTITUTE(UPPER($T298)," ",""),"P",""),";",REPT(" ",30)),61,30))),0)+IFERROR(VALUE(TRIM(MID(SUBSTITUTE(SUBSTITUTE(SUBSTITUTE(UPPER($T298)," ",""),"P",""),";",REPT(" ",30)),91,30))),0)+IFERROR(VALUE(TRIM(MID(SUBSTITUTE(SUBSTITUTE(SUBSTITUTE(UPPER($T298)," ",""),"P",""),";",REPT(" ",30)),121,30))),0)+IFERROR(VALUE(TRIM(MID(SUBSTITUTE(SUBSTITUTE(SUBSTITUTE(UPPER($T298)," ",""),"P",""),";",REPT(" ",30)),151,30))),0)+IFERROR(VALUE(TRIM(MID(SUBSTITUTE(SUBSTITUTE(SUBSTITUTE(UPPER($T298)," ",""),"P",""),";",REPT(" ",30)),181,30))),0)+IFERROR(VALUE(TRIM(MID(SUBSTITUTE(SUBSTITUTE(SUBSTITUTE(UPPER($T298)," ",""),"P",""),";",REPT(" ",30)),211,30))),0)))))</f>
        <v/>
      </c>
      <c r="W298" s="24" t="n"/>
      <c r="X298" s="14" t="n"/>
    </row>
    <row r="299">
      <c r="A299" s="6">
        <f>IF($C299="","",60)</f>
        <v/>
      </c>
      <c r="B299" s="6">
        <f>IF($C299="","","1ª Sessão")</f>
        <v/>
      </c>
      <c r="C299" s="6">
        <f>IF(Preenchimento!$B$69="","",Preenchimento!$B$69)</f>
        <v/>
      </c>
      <c r="D299" s="6">
        <f>IF($C299="","",IF(Preenchimento!$C$69="","-",Preenchimento!$C$69))</f>
        <v/>
      </c>
      <c r="E299" s="6" t="n"/>
      <c r="F299" s="6" t="n"/>
      <c r="G299" s="26" t="n"/>
      <c r="H299" s="6" t="n"/>
      <c r="I299" s="13" t="n"/>
      <c r="J299" s="27">
        <f>IF($C299="","",IF($E299="Falta","-",MAX(0,MIN(10,8+IFERROR(VALUE(TRIM(MID(SUBSTITUTE(SUBSTITUTE(SUBSTITUTE(UPPER($H299)," ",""),"D",""),";",REPT(" ",30)),1,30))),0)+IFERROR(VALUE(TRIM(MID(SUBSTITUTE(SUBSTITUTE(SUBSTITUTE(UPPER($H299)," ",""),"D",""),";",REPT(" ",30)),31,30))),0)+IFERROR(VALUE(TRIM(MID(SUBSTITUTE(SUBSTITUTE(SUBSTITUTE(UPPER($H299)," ",""),"D",""),";",REPT(" ",30)),61,30))),0)+IFERROR(VALUE(TRIM(MID(SUBSTITUTE(SUBSTITUTE(SUBSTITUTE(UPPER($H299)," ",""),"D",""),";",REPT(" ",30)),91,30))),0)+IFERROR(VALUE(TRIM(MID(SUBSTITUTE(SUBSTITUTE(SUBSTITUTE(UPPER($H299)," ",""),"D",""),";",REPT(" ",30)),121,30))),0)+IFERROR(VALUE(TRIM(MID(SUBSTITUTE(SUBSTITUTE(SUBSTITUTE(UPPER($H299)," ",""),"D",""),";",REPT(" ",30)),151,30))),0)+IFERROR(VALUE(TRIM(MID(SUBSTITUTE(SUBSTITUTE(SUBSTITUTE(UPPER($H299)," ",""),"D",""),";",REPT(" ",30)),181,30))),0)+IFERROR(VALUE(TRIM(MID(SUBSTITUTE(SUBSTITUTE(SUBSTITUTE(UPPER($H299)," ",""),"D",""),";",REPT(" ",30)),211,30))),0)))))</f>
        <v/>
      </c>
      <c r="K299" s="26" t="n"/>
      <c r="L299" s="6" t="n"/>
      <c r="M299" s="13" t="n"/>
      <c r="N299" s="27">
        <f>IF($C299="","",IF($E299="Falta","-",MAX(0,MIN(10,8+IFERROR(VALUE(TRIM(MID(SUBSTITUTE(SUBSTITUTE(SUBSTITUTE(UPPER($L299)," ",""),"F",""),";",REPT(" ",30)),1,30))),0)+IFERROR(VALUE(TRIM(MID(SUBSTITUTE(SUBSTITUTE(SUBSTITUTE(UPPER($L299)," ",""),"F",""),";",REPT(" ",30)),31,30))),0)+IFERROR(VALUE(TRIM(MID(SUBSTITUTE(SUBSTITUTE(SUBSTITUTE(UPPER($L299)," ",""),"F",""),";",REPT(" ",30)),61,30))),0)+IFERROR(VALUE(TRIM(MID(SUBSTITUTE(SUBSTITUTE(SUBSTITUTE(UPPER($L299)," ",""),"F",""),";",REPT(" ",30)),91,30))),0)+IFERROR(VALUE(TRIM(MID(SUBSTITUTE(SUBSTITUTE(SUBSTITUTE(UPPER($L299)," ",""),"F",""),";",REPT(" ",30)),121,30))),0)+IFERROR(VALUE(TRIM(MID(SUBSTITUTE(SUBSTITUTE(SUBSTITUTE(UPPER($L299)," ",""),"F",""),";",REPT(" ",30)),151,30))),0)+IFERROR(VALUE(TRIM(MID(SUBSTITUTE(SUBSTITUTE(SUBSTITUTE(UPPER($L299)," ",""),"F",""),";",REPT(" ",30)),181,30))),0)+IFERROR(VALUE(TRIM(MID(SUBSTITUTE(SUBSTITUTE(SUBSTITUTE(UPPER($L299)," ",""),"F",""),";",REPT(" ",30)),211,30))),0)))))</f>
        <v/>
      </c>
      <c r="O299" s="26" t="n"/>
      <c r="P299" s="6" t="n"/>
      <c r="Q299" s="13" t="n"/>
      <c r="R299" s="27">
        <f>IF($C299="","",IF($E299="Falta","-",MAX(0,MIN(10,5+IFERROR(VALUE(TRIM(MID(SUBSTITUTE(SUBSTITUTE(SUBSTITUTE(UPPER($P299)," ",""),"C",""),";",REPT(" ",30)),1,30))),0)+IFERROR(VALUE(TRIM(MID(SUBSTITUTE(SUBSTITUTE(SUBSTITUTE(UPPER($P299)," ",""),"C",""),";",REPT(" ",30)),31,30))),0)+IFERROR(VALUE(TRIM(MID(SUBSTITUTE(SUBSTITUTE(SUBSTITUTE(UPPER($P299)," ",""),"C",""),";",REPT(" ",30)),61,30))),0)+IFERROR(VALUE(TRIM(MID(SUBSTITUTE(SUBSTITUTE(SUBSTITUTE(UPPER($P299)," ",""),"C",""),";",REPT(" ",30)),91,30))),0)+IFERROR(VALUE(TRIM(MID(SUBSTITUTE(SUBSTITUTE(SUBSTITUTE(UPPER($P299)," ",""),"C",""),";",REPT(" ",30)),121,30))),0)+IFERROR(VALUE(TRIM(MID(SUBSTITUTE(SUBSTITUTE(SUBSTITUTE(UPPER($P299)," ",""),"C",""),";",REPT(" ",30)),151,30))),0)+IFERROR(VALUE(TRIM(MID(SUBSTITUTE(SUBSTITUTE(SUBSTITUTE(UPPER($P299)," ",""),"C",""),";",REPT(" ",30)),181,30))),0)+IFERROR(VALUE(TRIM(MID(SUBSTITUTE(SUBSTITUTE(SUBSTITUTE(UPPER($P299)," ",""),"C",""),";",REPT(" ",30)),211,30))),0)))))</f>
        <v/>
      </c>
      <c r="S299" s="26" t="n"/>
      <c r="T299" s="6" t="n"/>
      <c r="U299" s="13" t="n"/>
      <c r="V299" s="27">
        <f>IF($C299="","",IF($E299="Falta","-",MAX(0,MIN(10,5+IFERROR(VALUE(TRIM(MID(SUBSTITUTE(SUBSTITUTE(SUBSTITUTE(UPPER($T299)," ",""),"P",""),";",REPT(" ",30)),1,30))),0)+IFERROR(VALUE(TRIM(MID(SUBSTITUTE(SUBSTITUTE(SUBSTITUTE(UPPER($T299)," ",""),"P",""),";",REPT(" ",30)),31,30))),0)+IFERROR(VALUE(TRIM(MID(SUBSTITUTE(SUBSTITUTE(SUBSTITUTE(UPPER($T299)," ",""),"P",""),";",REPT(" ",30)),61,30))),0)+IFERROR(VALUE(TRIM(MID(SUBSTITUTE(SUBSTITUTE(SUBSTITUTE(UPPER($T299)," ",""),"P",""),";",REPT(" ",30)),91,30))),0)+IFERROR(VALUE(TRIM(MID(SUBSTITUTE(SUBSTITUTE(SUBSTITUTE(UPPER($T299)," ",""),"P",""),";",REPT(" ",30)),121,30))),0)+IFERROR(VALUE(TRIM(MID(SUBSTITUTE(SUBSTITUTE(SUBSTITUTE(UPPER($T299)," ",""),"P",""),";",REPT(" ",30)),151,30))),0)+IFERROR(VALUE(TRIM(MID(SUBSTITUTE(SUBSTITUTE(SUBSTITUTE(UPPER($T299)," ",""),"P",""),";",REPT(" ",30)),181,30))),0)+IFERROR(VALUE(TRIM(MID(SUBSTITUTE(SUBSTITUTE(SUBSTITUTE(UPPER($T299)," ",""),"P",""),";",REPT(" ",30)),211,30))),0)))))</f>
        <v/>
      </c>
      <c r="W299" s="26" t="n"/>
      <c r="X299" s="13" t="n"/>
    </row>
    <row r="300">
      <c r="A300" s="6">
        <f>IF($C300="","",60)</f>
        <v/>
      </c>
      <c r="B300" s="6">
        <f>IF($C300="","","2ª Sessão")</f>
        <v/>
      </c>
      <c r="C300" s="6">
        <f>IF(Preenchimento!$B$69="","",Preenchimento!$B$69)</f>
        <v/>
      </c>
      <c r="D300" s="6">
        <f>IF($C300="","",IF(Preenchimento!$C$69="","-",Preenchimento!$C$69))</f>
        <v/>
      </c>
      <c r="E300" s="6" t="n"/>
      <c r="F300" s="6" t="n"/>
      <c r="G300" s="26" t="n"/>
      <c r="H300" s="6" t="n"/>
      <c r="I300" s="13" t="n"/>
      <c r="J300" s="27">
        <f>IF($C300="","",IF($E300="Falta","-",MAX(0,MIN(10,8+IFERROR(VALUE(TRIM(MID(SUBSTITUTE(SUBSTITUTE(SUBSTITUTE(UPPER($H300)," ",""),"D",""),";",REPT(" ",30)),1,30))),0)+IFERROR(VALUE(TRIM(MID(SUBSTITUTE(SUBSTITUTE(SUBSTITUTE(UPPER($H300)," ",""),"D",""),";",REPT(" ",30)),31,30))),0)+IFERROR(VALUE(TRIM(MID(SUBSTITUTE(SUBSTITUTE(SUBSTITUTE(UPPER($H300)," ",""),"D",""),";",REPT(" ",30)),61,30))),0)+IFERROR(VALUE(TRIM(MID(SUBSTITUTE(SUBSTITUTE(SUBSTITUTE(UPPER($H300)," ",""),"D",""),";",REPT(" ",30)),91,30))),0)+IFERROR(VALUE(TRIM(MID(SUBSTITUTE(SUBSTITUTE(SUBSTITUTE(UPPER($H300)," ",""),"D",""),";",REPT(" ",30)),121,30))),0)+IFERROR(VALUE(TRIM(MID(SUBSTITUTE(SUBSTITUTE(SUBSTITUTE(UPPER($H300)," ",""),"D",""),";",REPT(" ",30)),151,30))),0)+IFERROR(VALUE(TRIM(MID(SUBSTITUTE(SUBSTITUTE(SUBSTITUTE(UPPER($H300)," ",""),"D",""),";",REPT(" ",30)),181,30))),0)+IFERROR(VALUE(TRIM(MID(SUBSTITUTE(SUBSTITUTE(SUBSTITUTE(UPPER($H300)," ",""),"D",""),";",REPT(" ",30)),211,30))),0)))))</f>
        <v/>
      </c>
      <c r="K300" s="26" t="n"/>
      <c r="L300" s="6" t="n"/>
      <c r="M300" s="13" t="n"/>
      <c r="N300" s="27">
        <f>IF($C300="","",IF($E300="Falta","-",MAX(0,MIN(10,8+IFERROR(VALUE(TRIM(MID(SUBSTITUTE(SUBSTITUTE(SUBSTITUTE(UPPER($L300)," ",""),"F",""),";",REPT(" ",30)),1,30))),0)+IFERROR(VALUE(TRIM(MID(SUBSTITUTE(SUBSTITUTE(SUBSTITUTE(UPPER($L300)," ",""),"F",""),";",REPT(" ",30)),31,30))),0)+IFERROR(VALUE(TRIM(MID(SUBSTITUTE(SUBSTITUTE(SUBSTITUTE(UPPER($L300)," ",""),"F",""),";",REPT(" ",30)),61,30))),0)+IFERROR(VALUE(TRIM(MID(SUBSTITUTE(SUBSTITUTE(SUBSTITUTE(UPPER($L300)," ",""),"F",""),";",REPT(" ",30)),91,30))),0)+IFERROR(VALUE(TRIM(MID(SUBSTITUTE(SUBSTITUTE(SUBSTITUTE(UPPER($L300)," ",""),"F",""),";",REPT(" ",30)),121,30))),0)+IFERROR(VALUE(TRIM(MID(SUBSTITUTE(SUBSTITUTE(SUBSTITUTE(UPPER($L300)," ",""),"F",""),";",REPT(" ",30)),151,30))),0)+IFERROR(VALUE(TRIM(MID(SUBSTITUTE(SUBSTITUTE(SUBSTITUTE(UPPER($L300)," ",""),"F",""),";",REPT(" ",30)),181,30))),0)+IFERROR(VALUE(TRIM(MID(SUBSTITUTE(SUBSTITUTE(SUBSTITUTE(UPPER($L300)," ",""),"F",""),";",REPT(" ",30)),211,30))),0)))))</f>
        <v/>
      </c>
      <c r="O300" s="26" t="n"/>
      <c r="P300" s="6" t="n"/>
      <c r="Q300" s="13" t="n"/>
      <c r="R300" s="27">
        <f>IF($C300="","",IF($E300="Falta","-",MAX(0,MIN(10,5+IFERROR(VALUE(TRIM(MID(SUBSTITUTE(SUBSTITUTE(SUBSTITUTE(UPPER($P300)," ",""),"C",""),";",REPT(" ",30)),1,30))),0)+IFERROR(VALUE(TRIM(MID(SUBSTITUTE(SUBSTITUTE(SUBSTITUTE(UPPER($P300)," ",""),"C",""),";",REPT(" ",30)),31,30))),0)+IFERROR(VALUE(TRIM(MID(SUBSTITUTE(SUBSTITUTE(SUBSTITUTE(UPPER($P300)," ",""),"C",""),";",REPT(" ",30)),61,30))),0)+IFERROR(VALUE(TRIM(MID(SUBSTITUTE(SUBSTITUTE(SUBSTITUTE(UPPER($P300)," ",""),"C",""),";",REPT(" ",30)),91,30))),0)+IFERROR(VALUE(TRIM(MID(SUBSTITUTE(SUBSTITUTE(SUBSTITUTE(UPPER($P300)," ",""),"C",""),";",REPT(" ",30)),121,30))),0)+IFERROR(VALUE(TRIM(MID(SUBSTITUTE(SUBSTITUTE(SUBSTITUTE(UPPER($P300)," ",""),"C",""),";",REPT(" ",30)),151,30))),0)+IFERROR(VALUE(TRIM(MID(SUBSTITUTE(SUBSTITUTE(SUBSTITUTE(UPPER($P300)," ",""),"C",""),";",REPT(" ",30)),181,30))),0)+IFERROR(VALUE(TRIM(MID(SUBSTITUTE(SUBSTITUTE(SUBSTITUTE(UPPER($P300)," ",""),"C",""),";",REPT(" ",30)),211,30))),0)))))</f>
        <v/>
      </c>
      <c r="S300" s="26" t="n"/>
      <c r="T300" s="6" t="n"/>
      <c r="U300" s="13" t="n"/>
      <c r="V300" s="27">
        <f>IF($C300="","",IF($E300="Falta","-",MAX(0,MIN(10,5+IFERROR(VALUE(TRIM(MID(SUBSTITUTE(SUBSTITUTE(SUBSTITUTE(UPPER($T300)," ",""),"P",""),";",REPT(" ",30)),1,30))),0)+IFERROR(VALUE(TRIM(MID(SUBSTITUTE(SUBSTITUTE(SUBSTITUTE(UPPER($T300)," ",""),"P",""),";",REPT(" ",30)),31,30))),0)+IFERROR(VALUE(TRIM(MID(SUBSTITUTE(SUBSTITUTE(SUBSTITUTE(UPPER($T300)," ",""),"P",""),";",REPT(" ",30)),61,30))),0)+IFERROR(VALUE(TRIM(MID(SUBSTITUTE(SUBSTITUTE(SUBSTITUTE(UPPER($T300)," ",""),"P",""),";",REPT(" ",30)),91,30))),0)+IFERROR(VALUE(TRIM(MID(SUBSTITUTE(SUBSTITUTE(SUBSTITUTE(UPPER($T300)," ",""),"P",""),";",REPT(" ",30)),121,30))),0)+IFERROR(VALUE(TRIM(MID(SUBSTITUTE(SUBSTITUTE(SUBSTITUTE(UPPER($T300)," ",""),"P",""),";",REPT(" ",30)),151,30))),0)+IFERROR(VALUE(TRIM(MID(SUBSTITUTE(SUBSTITUTE(SUBSTITUTE(UPPER($T300)," ",""),"P",""),";",REPT(" ",30)),181,30))),0)+IFERROR(VALUE(TRIM(MID(SUBSTITUTE(SUBSTITUTE(SUBSTITUTE(UPPER($T300)," ",""),"P",""),";",REPT(" ",30)),211,30))),0)))))</f>
        <v/>
      </c>
      <c r="W300" s="26" t="n"/>
      <c r="X300" s="13" t="n"/>
    </row>
    <row r="301">
      <c r="A301" s="6">
        <f>IF($C301="","",60)</f>
        <v/>
      </c>
      <c r="B301" s="6">
        <f>IF($C301="","","3ª Sessão")</f>
        <v/>
      </c>
      <c r="C301" s="6">
        <f>IF(Preenchimento!$B$69="","",Preenchimento!$B$69)</f>
        <v/>
      </c>
      <c r="D301" s="6">
        <f>IF($C301="","",IF(Preenchimento!$C$69="","-",Preenchimento!$C$69))</f>
        <v/>
      </c>
      <c r="E301" s="6" t="n"/>
      <c r="F301" s="6" t="n"/>
      <c r="G301" s="26" t="n"/>
      <c r="H301" s="6" t="n"/>
      <c r="I301" s="13" t="n"/>
      <c r="J301" s="27">
        <f>IF($C301="","",IF($E301="Falta","-",MAX(0,MIN(10,8+IFERROR(VALUE(TRIM(MID(SUBSTITUTE(SUBSTITUTE(SUBSTITUTE(UPPER($H301)," ",""),"D",""),";",REPT(" ",30)),1,30))),0)+IFERROR(VALUE(TRIM(MID(SUBSTITUTE(SUBSTITUTE(SUBSTITUTE(UPPER($H301)," ",""),"D",""),";",REPT(" ",30)),31,30))),0)+IFERROR(VALUE(TRIM(MID(SUBSTITUTE(SUBSTITUTE(SUBSTITUTE(UPPER($H301)," ",""),"D",""),";",REPT(" ",30)),61,30))),0)+IFERROR(VALUE(TRIM(MID(SUBSTITUTE(SUBSTITUTE(SUBSTITUTE(UPPER($H301)," ",""),"D",""),";",REPT(" ",30)),91,30))),0)+IFERROR(VALUE(TRIM(MID(SUBSTITUTE(SUBSTITUTE(SUBSTITUTE(UPPER($H301)," ",""),"D",""),";",REPT(" ",30)),121,30))),0)+IFERROR(VALUE(TRIM(MID(SUBSTITUTE(SUBSTITUTE(SUBSTITUTE(UPPER($H301)," ",""),"D",""),";",REPT(" ",30)),151,30))),0)+IFERROR(VALUE(TRIM(MID(SUBSTITUTE(SUBSTITUTE(SUBSTITUTE(UPPER($H301)," ",""),"D",""),";",REPT(" ",30)),181,30))),0)+IFERROR(VALUE(TRIM(MID(SUBSTITUTE(SUBSTITUTE(SUBSTITUTE(UPPER($H301)," ",""),"D",""),";",REPT(" ",30)),211,30))),0)))))</f>
        <v/>
      </c>
      <c r="K301" s="26" t="n"/>
      <c r="L301" s="6" t="n"/>
      <c r="M301" s="13" t="n"/>
      <c r="N301" s="27">
        <f>IF($C301="","",IF($E301="Falta","-",MAX(0,MIN(10,8+IFERROR(VALUE(TRIM(MID(SUBSTITUTE(SUBSTITUTE(SUBSTITUTE(UPPER($L301)," ",""),"F",""),";",REPT(" ",30)),1,30))),0)+IFERROR(VALUE(TRIM(MID(SUBSTITUTE(SUBSTITUTE(SUBSTITUTE(UPPER($L301)," ",""),"F",""),";",REPT(" ",30)),31,30))),0)+IFERROR(VALUE(TRIM(MID(SUBSTITUTE(SUBSTITUTE(SUBSTITUTE(UPPER($L301)," ",""),"F",""),";",REPT(" ",30)),61,30))),0)+IFERROR(VALUE(TRIM(MID(SUBSTITUTE(SUBSTITUTE(SUBSTITUTE(UPPER($L301)," ",""),"F",""),";",REPT(" ",30)),91,30))),0)+IFERROR(VALUE(TRIM(MID(SUBSTITUTE(SUBSTITUTE(SUBSTITUTE(UPPER($L301)," ",""),"F",""),";",REPT(" ",30)),121,30))),0)+IFERROR(VALUE(TRIM(MID(SUBSTITUTE(SUBSTITUTE(SUBSTITUTE(UPPER($L301)," ",""),"F",""),";",REPT(" ",30)),151,30))),0)+IFERROR(VALUE(TRIM(MID(SUBSTITUTE(SUBSTITUTE(SUBSTITUTE(UPPER($L301)," ",""),"F",""),";",REPT(" ",30)),181,30))),0)+IFERROR(VALUE(TRIM(MID(SUBSTITUTE(SUBSTITUTE(SUBSTITUTE(UPPER($L301)," ",""),"F",""),";",REPT(" ",30)),211,30))),0)))))</f>
        <v/>
      </c>
      <c r="O301" s="26" t="n"/>
      <c r="P301" s="6" t="n"/>
      <c r="Q301" s="13" t="n"/>
      <c r="R301" s="27">
        <f>IF($C301="","",IF($E301="Falta","-",MAX(0,MIN(10,5+IFERROR(VALUE(TRIM(MID(SUBSTITUTE(SUBSTITUTE(SUBSTITUTE(UPPER($P301)," ",""),"C",""),";",REPT(" ",30)),1,30))),0)+IFERROR(VALUE(TRIM(MID(SUBSTITUTE(SUBSTITUTE(SUBSTITUTE(UPPER($P301)," ",""),"C",""),";",REPT(" ",30)),31,30))),0)+IFERROR(VALUE(TRIM(MID(SUBSTITUTE(SUBSTITUTE(SUBSTITUTE(UPPER($P301)," ",""),"C",""),";",REPT(" ",30)),61,30))),0)+IFERROR(VALUE(TRIM(MID(SUBSTITUTE(SUBSTITUTE(SUBSTITUTE(UPPER($P301)," ",""),"C",""),";",REPT(" ",30)),91,30))),0)+IFERROR(VALUE(TRIM(MID(SUBSTITUTE(SUBSTITUTE(SUBSTITUTE(UPPER($P301)," ",""),"C",""),";",REPT(" ",30)),121,30))),0)+IFERROR(VALUE(TRIM(MID(SUBSTITUTE(SUBSTITUTE(SUBSTITUTE(UPPER($P301)," ",""),"C",""),";",REPT(" ",30)),151,30))),0)+IFERROR(VALUE(TRIM(MID(SUBSTITUTE(SUBSTITUTE(SUBSTITUTE(UPPER($P301)," ",""),"C",""),";",REPT(" ",30)),181,30))),0)+IFERROR(VALUE(TRIM(MID(SUBSTITUTE(SUBSTITUTE(SUBSTITUTE(UPPER($P301)," ",""),"C",""),";",REPT(" ",30)),211,30))),0)))))</f>
        <v/>
      </c>
      <c r="S301" s="26" t="n"/>
      <c r="T301" s="6" t="n"/>
      <c r="U301" s="13" t="n"/>
      <c r="V301" s="27">
        <f>IF($C301="","",IF($E301="Falta","-",MAX(0,MIN(10,5+IFERROR(VALUE(TRIM(MID(SUBSTITUTE(SUBSTITUTE(SUBSTITUTE(UPPER($T301)," ",""),"P",""),";",REPT(" ",30)),1,30))),0)+IFERROR(VALUE(TRIM(MID(SUBSTITUTE(SUBSTITUTE(SUBSTITUTE(UPPER($T301)," ",""),"P",""),";",REPT(" ",30)),31,30))),0)+IFERROR(VALUE(TRIM(MID(SUBSTITUTE(SUBSTITUTE(SUBSTITUTE(UPPER($T301)," ",""),"P",""),";",REPT(" ",30)),61,30))),0)+IFERROR(VALUE(TRIM(MID(SUBSTITUTE(SUBSTITUTE(SUBSTITUTE(UPPER($T301)," ",""),"P",""),";",REPT(" ",30)),91,30))),0)+IFERROR(VALUE(TRIM(MID(SUBSTITUTE(SUBSTITUTE(SUBSTITUTE(UPPER($T301)," ",""),"P",""),";",REPT(" ",30)),121,30))),0)+IFERROR(VALUE(TRIM(MID(SUBSTITUTE(SUBSTITUTE(SUBSTITUTE(UPPER($T301)," ",""),"P",""),";",REPT(" ",30)),151,30))),0)+IFERROR(VALUE(TRIM(MID(SUBSTITUTE(SUBSTITUTE(SUBSTITUTE(UPPER($T301)," ",""),"P",""),";",REPT(" ",30)),181,30))),0)+IFERROR(VALUE(TRIM(MID(SUBSTITUTE(SUBSTITUTE(SUBSTITUTE(UPPER($T301)," ",""),"P",""),";",REPT(" ",30)),211,30))),0)))))</f>
        <v/>
      </c>
      <c r="W301" s="26" t="n"/>
      <c r="X301" s="13" t="n"/>
    </row>
    <row r="302">
      <c r="A302" s="6">
        <f>IF($C302="","",60)</f>
        <v/>
      </c>
      <c r="B302" s="6">
        <f>IF($C302="","","4ª Sessão")</f>
        <v/>
      </c>
      <c r="C302" s="6">
        <f>IF(Preenchimento!$B$69="","",Preenchimento!$B$69)</f>
        <v/>
      </c>
      <c r="D302" s="6">
        <f>IF($C302="","",IF(Preenchimento!$C$69="","-",Preenchimento!$C$69))</f>
        <v/>
      </c>
      <c r="E302" s="6" t="n"/>
      <c r="F302" s="6" t="n"/>
      <c r="G302" s="26" t="n"/>
      <c r="H302" s="6" t="n"/>
      <c r="I302" s="13" t="n"/>
      <c r="J302" s="27">
        <f>IF($C302="","",IF($E302="Falta","-",MAX(0,MIN(10,8+IFERROR(VALUE(TRIM(MID(SUBSTITUTE(SUBSTITUTE(SUBSTITUTE(UPPER($H302)," ",""),"D",""),";",REPT(" ",30)),1,30))),0)+IFERROR(VALUE(TRIM(MID(SUBSTITUTE(SUBSTITUTE(SUBSTITUTE(UPPER($H302)," ",""),"D",""),";",REPT(" ",30)),31,30))),0)+IFERROR(VALUE(TRIM(MID(SUBSTITUTE(SUBSTITUTE(SUBSTITUTE(UPPER($H302)," ",""),"D",""),";",REPT(" ",30)),61,30))),0)+IFERROR(VALUE(TRIM(MID(SUBSTITUTE(SUBSTITUTE(SUBSTITUTE(UPPER($H302)," ",""),"D",""),";",REPT(" ",30)),91,30))),0)+IFERROR(VALUE(TRIM(MID(SUBSTITUTE(SUBSTITUTE(SUBSTITUTE(UPPER($H302)," ",""),"D",""),";",REPT(" ",30)),121,30))),0)+IFERROR(VALUE(TRIM(MID(SUBSTITUTE(SUBSTITUTE(SUBSTITUTE(UPPER($H302)," ",""),"D",""),";",REPT(" ",30)),151,30))),0)+IFERROR(VALUE(TRIM(MID(SUBSTITUTE(SUBSTITUTE(SUBSTITUTE(UPPER($H302)," ",""),"D",""),";",REPT(" ",30)),181,30))),0)+IFERROR(VALUE(TRIM(MID(SUBSTITUTE(SUBSTITUTE(SUBSTITUTE(UPPER($H302)," ",""),"D",""),";",REPT(" ",30)),211,30))),0)))))</f>
        <v/>
      </c>
      <c r="K302" s="26" t="n"/>
      <c r="L302" s="6" t="n"/>
      <c r="M302" s="13" t="n"/>
      <c r="N302" s="27">
        <f>IF($C302="","",IF($E302="Falta","-",MAX(0,MIN(10,8+IFERROR(VALUE(TRIM(MID(SUBSTITUTE(SUBSTITUTE(SUBSTITUTE(UPPER($L302)," ",""),"F",""),";",REPT(" ",30)),1,30))),0)+IFERROR(VALUE(TRIM(MID(SUBSTITUTE(SUBSTITUTE(SUBSTITUTE(UPPER($L302)," ",""),"F",""),";",REPT(" ",30)),31,30))),0)+IFERROR(VALUE(TRIM(MID(SUBSTITUTE(SUBSTITUTE(SUBSTITUTE(UPPER($L302)," ",""),"F",""),";",REPT(" ",30)),61,30))),0)+IFERROR(VALUE(TRIM(MID(SUBSTITUTE(SUBSTITUTE(SUBSTITUTE(UPPER($L302)," ",""),"F",""),";",REPT(" ",30)),91,30))),0)+IFERROR(VALUE(TRIM(MID(SUBSTITUTE(SUBSTITUTE(SUBSTITUTE(UPPER($L302)," ",""),"F",""),";",REPT(" ",30)),121,30))),0)+IFERROR(VALUE(TRIM(MID(SUBSTITUTE(SUBSTITUTE(SUBSTITUTE(UPPER($L302)," ",""),"F",""),";",REPT(" ",30)),151,30))),0)+IFERROR(VALUE(TRIM(MID(SUBSTITUTE(SUBSTITUTE(SUBSTITUTE(UPPER($L302)," ",""),"F",""),";",REPT(" ",30)),181,30))),0)+IFERROR(VALUE(TRIM(MID(SUBSTITUTE(SUBSTITUTE(SUBSTITUTE(UPPER($L302)," ",""),"F",""),";",REPT(" ",30)),211,30))),0)))))</f>
        <v/>
      </c>
      <c r="O302" s="26" t="n"/>
      <c r="P302" s="6" t="n"/>
      <c r="Q302" s="13" t="n"/>
      <c r="R302" s="27">
        <f>IF($C302="","",IF($E302="Falta","-",MAX(0,MIN(10,5+IFERROR(VALUE(TRIM(MID(SUBSTITUTE(SUBSTITUTE(SUBSTITUTE(UPPER($P302)," ",""),"C",""),";",REPT(" ",30)),1,30))),0)+IFERROR(VALUE(TRIM(MID(SUBSTITUTE(SUBSTITUTE(SUBSTITUTE(UPPER($P302)," ",""),"C",""),";",REPT(" ",30)),31,30))),0)+IFERROR(VALUE(TRIM(MID(SUBSTITUTE(SUBSTITUTE(SUBSTITUTE(UPPER($P302)," ",""),"C",""),";",REPT(" ",30)),61,30))),0)+IFERROR(VALUE(TRIM(MID(SUBSTITUTE(SUBSTITUTE(SUBSTITUTE(UPPER($P302)," ",""),"C",""),";",REPT(" ",30)),91,30))),0)+IFERROR(VALUE(TRIM(MID(SUBSTITUTE(SUBSTITUTE(SUBSTITUTE(UPPER($P302)," ",""),"C",""),";",REPT(" ",30)),121,30))),0)+IFERROR(VALUE(TRIM(MID(SUBSTITUTE(SUBSTITUTE(SUBSTITUTE(UPPER($P302)," ",""),"C",""),";",REPT(" ",30)),151,30))),0)+IFERROR(VALUE(TRIM(MID(SUBSTITUTE(SUBSTITUTE(SUBSTITUTE(UPPER($P302)," ",""),"C",""),";",REPT(" ",30)),181,30))),0)+IFERROR(VALUE(TRIM(MID(SUBSTITUTE(SUBSTITUTE(SUBSTITUTE(UPPER($P302)," ",""),"C",""),";",REPT(" ",30)),211,30))),0)))))</f>
        <v/>
      </c>
      <c r="S302" s="26" t="n"/>
      <c r="T302" s="6" t="n"/>
      <c r="U302" s="13" t="n"/>
      <c r="V302" s="27">
        <f>IF($C302="","",IF($E302="Falta","-",MAX(0,MIN(10,5+IFERROR(VALUE(TRIM(MID(SUBSTITUTE(SUBSTITUTE(SUBSTITUTE(UPPER($T302)," ",""),"P",""),";",REPT(" ",30)),1,30))),0)+IFERROR(VALUE(TRIM(MID(SUBSTITUTE(SUBSTITUTE(SUBSTITUTE(UPPER($T302)," ",""),"P",""),";",REPT(" ",30)),31,30))),0)+IFERROR(VALUE(TRIM(MID(SUBSTITUTE(SUBSTITUTE(SUBSTITUTE(UPPER($T302)," ",""),"P",""),";",REPT(" ",30)),61,30))),0)+IFERROR(VALUE(TRIM(MID(SUBSTITUTE(SUBSTITUTE(SUBSTITUTE(UPPER($T302)," ",""),"P",""),";",REPT(" ",30)),91,30))),0)+IFERROR(VALUE(TRIM(MID(SUBSTITUTE(SUBSTITUTE(SUBSTITUTE(UPPER($T302)," ",""),"P",""),";",REPT(" ",30)),121,30))),0)+IFERROR(VALUE(TRIM(MID(SUBSTITUTE(SUBSTITUTE(SUBSTITUTE(UPPER($T302)," ",""),"P",""),";",REPT(" ",30)),151,30))),0)+IFERROR(VALUE(TRIM(MID(SUBSTITUTE(SUBSTITUTE(SUBSTITUTE(UPPER($T302)," ",""),"P",""),";",REPT(" ",30)),181,30))),0)+IFERROR(VALUE(TRIM(MID(SUBSTITUTE(SUBSTITUTE(SUBSTITUTE(UPPER($T302)," ",""),"P",""),";",REPT(" ",30)),211,30))),0)))))</f>
        <v/>
      </c>
      <c r="W302" s="26" t="n"/>
      <c r="X302" s="13" t="n"/>
    </row>
    <row r="303">
      <c r="A303" s="6">
        <f>IF($C303="","",60)</f>
        <v/>
      </c>
      <c r="B303" s="6">
        <f>IF($C303="","","5ª Sessão")</f>
        <v/>
      </c>
      <c r="C303" s="6">
        <f>IF(Preenchimento!$B$69="","",Preenchimento!$B$69)</f>
        <v/>
      </c>
      <c r="D303" s="6">
        <f>IF($C303="","",IF(Preenchimento!$C$69="","-",Preenchimento!$C$69))</f>
        <v/>
      </c>
      <c r="E303" s="6" t="n"/>
      <c r="F303" s="6" t="n"/>
      <c r="G303" s="26" t="n"/>
      <c r="H303" s="6" t="n"/>
      <c r="I303" s="13" t="n"/>
      <c r="J303" s="27">
        <f>IF($C303="","",IF($E303="Falta","-",MAX(0,MIN(10,8+IFERROR(VALUE(TRIM(MID(SUBSTITUTE(SUBSTITUTE(SUBSTITUTE(UPPER($H303)," ",""),"D",""),";",REPT(" ",30)),1,30))),0)+IFERROR(VALUE(TRIM(MID(SUBSTITUTE(SUBSTITUTE(SUBSTITUTE(UPPER($H303)," ",""),"D",""),";",REPT(" ",30)),31,30))),0)+IFERROR(VALUE(TRIM(MID(SUBSTITUTE(SUBSTITUTE(SUBSTITUTE(UPPER($H303)," ",""),"D",""),";",REPT(" ",30)),61,30))),0)+IFERROR(VALUE(TRIM(MID(SUBSTITUTE(SUBSTITUTE(SUBSTITUTE(UPPER($H303)," ",""),"D",""),";",REPT(" ",30)),91,30))),0)+IFERROR(VALUE(TRIM(MID(SUBSTITUTE(SUBSTITUTE(SUBSTITUTE(UPPER($H303)," ",""),"D",""),";",REPT(" ",30)),121,30))),0)+IFERROR(VALUE(TRIM(MID(SUBSTITUTE(SUBSTITUTE(SUBSTITUTE(UPPER($H303)," ",""),"D",""),";",REPT(" ",30)),151,30))),0)+IFERROR(VALUE(TRIM(MID(SUBSTITUTE(SUBSTITUTE(SUBSTITUTE(UPPER($H303)," ",""),"D",""),";",REPT(" ",30)),181,30))),0)+IFERROR(VALUE(TRIM(MID(SUBSTITUTE(SUBSTITUTE(SUBSTITUTE(UPPER($H303)," ",""),"D",""),";",REPT(" ",30)),211,30))),0)))))</f>
        <v/>
      </c>
      <c r="K303" s="26" t="n"/>
      <c r="L303" s="6" t="n"/>
      <c r="M303" s="13" t="n"/>
      <c r="N303" s="27">
        <f>IF($C303="","",IF($E303="Falta","-",MAX(0,MIN(10,8+IFERROR(VALUE(TRIM(MID(SUBSTITUTE(SUBSTITUTE(SUBSTITUTE(UPPER($L303)," ",""),"F",""),";",REPT(" ",30)),1,30))),0)+IFERROR(VALUE(TRIM(MID(SUBSTITUTE(SUBSTITUTE(SUBSTITUTE(UPPER($L303)," ",""),"F",""),";",REPT(" ",30)),31,30))),0)+IFERROR(VALUE(TRIM(MID(SUBSTITUTE(SUBSTITUTE(SUBSTITUTE(UPPER($L303)," ",""),"F",""),";",REPT(" ",30)),61,30))),0)+IFERROR(VALUE(TRIM(MID(SUBSTITUTE(SUBSTITUTE(SUBSTITUTE(UPPER($L303)," ",""),"F",""),";",REPT(" ",30)),91,30))),0)+IFERROR(VALUE(TRIM(MID(SUBSTITUTE(SUBSTITUTE(SUBSTITUTE(UPPER($L303)," ",""),"F",""),";",REPT(" ",30)),121,30))),0)+IFERROR(VALUE(TRIM(MID(SUBSTITUTE(SUBSTITUTE(SUBSTITUTE(UPPER($L303)," ",""),"F",""),";",REPT(" ",30)),151,30))),0)+IFERROR(VALUE(TRIM(MID(SUBSTITUTE(SUBSTITUTE(SUBSTITUTE(UPPER($L303)," ",""),"F",""),";",REPT(" ",30)),181,30))),0)+IFERROR(VALUE(TRIM(MID(SUBSTITUTE(SUBSTITUTE(SUBSTITUTE(UPPER($L303)," ",""),"F",""),";",REPT(" ",30)),211,30))),0)))))</f>
        <v/>
      </c>
      <c r="O303" s="26" t="n"/>
      <c r="P303" s="6" t="n"/>
      <c r="Q303" s="13" t="n"/>
      <c r="R303" s="27">
        <f>IF($C303="","",IF($E303="Falta","-",MAX(0,MIN(10,5+IFERROR(VALUE(TRIM(MID(SUBSTITUTE(SUBSTITUTE(SUBSTITUTE(UPPER($P303)," ",""),"C",""),";",REPT(" ",30)),1,30))),0)+IFERROR(VALUE(TRIM(MID(SUBSTITUTE(SUBSTITUTE(SUBSTITUTE(UPPER($P303)," ",""),"C",""),";",REPT(" ",30)),31,30))),0)+IFERROR(VALUE(TRIM(MID(SUBSTITUTE(SUBSTITUTE(SUBSTITUTE(UPPER($P303)," ",""),"C",""),";",REPT(" ",30)),61,30))),0)+IFERROR(VALUE(TRIM(MID(SUBSTITUTE(SUBSTITUTE(SUBSTITUTE(UPPER($P303)," ",""),"C",""),";",REPT(" ",30)),91,30))),0)+IFERROR(VALUE(TRIM(MID(SUBSTITUTE(SUBSTITUTE(SUBSTITUTE(UPPER($P303)," ",""),"C",""),";",REPT(" ",30)),121,30))),0)+IFERROR(VALUE(TRIM(MID(SUBSTITUTE(SUBSTITUTE(SUBSTITUTE(UPPER($P303)," ",""),"C",""),";",REPT(" ",30)),151,30))),0)+IFERROR(VALUE(TRIM(MID(SUBSTITUTE(SUBSTITUTE(SUBSTITUTE(UPPER($P303)," ",""),"C",""),";",REPT(" ",30)),181,30))),0)+IFERROR(VALUE(TRIM(MID(SUBSTITUTE(SUBSTITUTE(SUBSTITUTE(UPPER($P303)," ",""),"C",""),";",REPT(" ",30)),211,30))),0)))))</f>
        <v/>
      </c>
      <c r="S303" s="26" t="n"/>
      <c r="T303" s="6" t="n"/>
      <c r="U303" s="13" t="n"/>
      <c r="V303" s="27">
        <f>IF($C303="","",IF($E303="Falta","-",MAX(0,MIN(10,5+IFERROR(VALUE(TRIM(MID(SUBSTITUTE(SUBSTITUTE(SUBSTITUTE(UPPER($T303)," ",""),"P",""),";",REPT(" ",30)),1,30))),0)+IFERROR(VALUE(TRIM(MID(SUBSTITUTE(SUBSTITUTE(SUBSTITUTE(UPPER($T303)," ",""),"P",""),";",REPT(" ",30)),31,30))),0)+IFERROR(VALUE(TRIM(MID(SUBSTITUTE(SUBSTITUTE(SUBSTITUTE(UPPER($T303)," ",""),"P",""),";",REPT(" ",30)),61,30))),0)+IFERROR(VALUE(TRIM(MID(SUBSTITUTE(SUBSTITUTE(SUBSTITUTE(UPPER($T303)," ",""),"P",""),";",REPT(" ",30)),91,30))),0)+IFERROR(VALUE(TRIM(MID(SUBSTITUTE(SUBSTITUTE(SUBSTITUTE(UPPER($T303)," ",""),"P",""),";",REPT(" ",30)),121,30))),0)+IFERROR(VALUE(TRIM(MID(SUBSTITUTE(SUBSTITUTE(SUBSTITUTE(UPPER($T303)," ",""),"P",""),";",REPT(" ",30)),151,30))),0)+IFERROR(VALUE(TRIM(MID(SUBSTITUTE(SUBSTITUTE(SUBSTITUTE(UPPER($T303)," ",""),"P",""),";",REPT(" ",30)),181,30))),0)+IFERROR(VALUE(TRIM(MID(SUBSTITUTE(SUBSTITUTE(SUBSTITUTE(UPPER($T303)," ",""),"P",""),";",REPT(" ",30)),211,30))),0)))))</f>
        <v/>
      </c>
      <c r="W303" s="26" t="n"/>
      <c r="X303" s="13" t="n"/>
    </row>
    <row r="304">
      <c r="A304" s="8">
        <f>IF($C304="","",61)</f>
        <v/>
      </c>
      <c r="B304" s="8">
        <f>IF($C304="","","1ª Sessão")</f>
        <v/>
      </c>
      <c r="C304" s="8">
        <f>IF(Preenchimento!$B$70="","",Preenchimento!$B$70)</f>
        <v/>
      </c>
      <c r="D304" s="8">
        <f>IF($C304="","",IF(Preenchimento!$C$70="","-",Preenchimento!$C$70))</f>
        <v/>
      </c>
      <c r="E304" s="8" t="n"/>
      <c r="F304" s="8" t="n"/>
      <c r="G304" s="24" t="n"/>
      <c r="H304" s="8" t="n"/>
      <c r="I304" s="14" t="n"/>
      <c r="J304" s="25">
        <f>IF($C304="","",IF($E304="Falta","-",MAX(0,MIN(10,8+IFERROR(VALUE(TRIM(MID(SUBSTITUTE(SUBSTITUTE(SUBSTITUTE(UPPER($H304)," ",""),"D",""),";",REPT(" ",30)),1,30))),0)+IFERROR(VALUE(TRIM(MID(SUBSTITUTE(SUBSTITUTE(SUBSTITUTE(UPPER($H304)," ",""),"D",""),";",REPT(" ",30)),31,30))),0)+IFERROR(VALUE(TRIM(MID(SUBSTITUTE(SUBSTITUTE(SUBSTITUTE(UPPER($H304)," ",""),"D",""),";",REPT(" ",30)),61,30))),0)+IFERROR(VALUE(TRIM(MID(SUBSTITUTE(SUBSTITUTE(SUBSTITUTE(UPPER($H304)," ",""),"D",""),";",REPT(" ",30)),91,30))),0)+IFERROR(VALUE(TRIM(MID(SUBSTITUTE(SUBSTITUTE(SUBSTITUTE(UPPER($H304)," ",""),"D",""),";",REPT(" ",30)),121,30))),0)+IFERROR(VALUE(TRIM(MID(SUBSTITUTE(SUBSTITUTE(SUBSTITUTE(UPPER($H304)," ",""),"D",""),";",REPT(" ",30)),151,30))),0)+IFERROR(VALUE(TRIM(MID(SUBSTITUTE(SUBSTITUTE(SUBSTITUTE(UPPER($H304)," ",""),"D",""),";",REPT(" ",30)),181,30))),0)+IFERROR(VALUE(TRIM(MID(SUBSTITUTE(SUBSTITUTE(SUBSTITUTE(UPPER($H304)," ",""),"D",""),";",REPT(" ",30)),211,30))),0)))))</f>
        <v/>
      </c>
      <c r="K304" s="24" t="n"/>
      <c r="L304" s="8" t="n"/>
      <c r="M304" s="14" t="n"/>
      <c r="N304" s="25">
        <f>IF($C304="","",IF($E304="Falta","-",MAX(0,MIN(10,8+IFERROR(VALUE(TRIM(MID(SUBSTITUTE(SUBSTITUTE(SUBSTITUTE(UPPER($L304)," ",""),"F",""),";",REPT(" ",30)),1,30))),0)+IFERROR(VALUE(TRIM(MID(SUBSTITUTE(SUBSTITUTE(SUBSTITUTE(UPPER($L304)," ",""),"F",""),";",REPT(" ",30)),31,30))),0)+IFERROR(VALUE(TRIM(MID(SUBSTITUTE(SUBSTITUTE(SUBSTITUTE(UPPER($L304)," ",""),"F",""),";",REPT(" ",30)),61,30))),0)+IFERROR(VALUE(TRIM(MID(SUBSTITUTE(SUBSTITUTE(SUBSTITUTE(UPPER($L304)," ",""),"F",""),";",REPT(" ",30)),91,30))),0)+IFERROR(VALUE(TRIM(MID(SUBSTITUTE(SUBSTITUTE(SUBSTITUTE(UPPER($L304)," ",""),"F",""),";",REPT(" ",30)),121,30))),0)+IFERROR(VALUE(TRIM(MID(SUBSTITUTE(SUBSTITUTE(SUBSTITUTE(UPPER($L304)," ",""),"F",""),";",REPT(" ",30)),151,30))),0)+IFERROR(VALUE(TRIM(MID(SUBSTITUTE(SUBSTITUTE(SUBSTITUTE(UPPER($L304)," ",""),"F",""),";",REPT(" ",30)),181,30))),0)+IFERROR(VALUE(TRIM(MID(SUBSTITUTE(SUBSTITUTE(SUBSTITUTE(UPPER($L304)," ",""),"F",""),";",REPT(" ",30)),211,30))),0)))))</f>
        <v/>
      </c>
      <c r="O304" s="24" t="n"/>
      <c r="P304" s="8" t="n"/>
      <c r="Q304" s="14" t="n"/>
      <c r="R304" s="25">
        <f>IF($C304="","",IF($E304="Falta","-",MAX(0,MIN(10,5+IFERROR(VALUE(TRIM(MID(SUBSTITUTE(SUBSTITUTE(SUBSTITUTE(UPPER($P304)," ",""),"C",""),";",REPT(" ",30)),1,30))),0)+IFERROR(VALUE(TRIM(MID(SUBSTITUTE(SUBSTITUTE(SUBSTITUTE(UPPER($P304)," ",""),"C",""),";",REPT(" ",30)),31,30))),0)+IFERROR(VALUE(TRIM(MID(SUBSTITUTE(SUBSTITUTE(SUBSTITUTE(UPPER($P304)," ",""),"C",""),";",REPT(" ",30)),61,30))),0)+IFERROR(VALUE(TRIM(MID(SUBSTITUTE(SUBSTITUTE(SUBSTITUTE(UPPER($P304)," ",""),"C",""),";",REPT(" ",30)),91,30))),0)+IFERROR(VALUE(TRIM(MID(SUBSTITUTE(SUBSTITUTE(SUBSTITUTE(UPPER($P304)," ",""),"C",""),";",REPT(" ",30)),121,30))),0)+IFERROR(VALUE(TRIM(MID(SUBSTITUTE(SUBSTITUTE(SUBSTITUTE(UPPER($P304)," ",""),"C",""),";",REPT(" ",30)),151,30))),0)+IFERROR(VALUE(TRIM(MID(SUBSTITUTE(SUBSTITUTE(SUBSTITUTE(UPPER($P304)," ",""),"C",""),";",REPT(" ",30)),181,30))),0)+IFERROR(VALUE(TRIM(MID(SUBSTITUTE(SUBSTITUTE(SUBSTITUTE(UPPER($P304)," ",""),"C",""),";",REPT(" ",30)),211,30))),0)))))</f>
        <v/>
      </c>
      <c r="S304" s="24" t="n"/>
      <c r="T304" s="8" t="n"/>
      <c r="U304" s="14" t="n"/>
      <c r="V304" s="25">
        <f>IF($C304="","",IF($E304="Falta","-",MAX(0,MIN(10,5+IFERROR(VALUE(TRIM(MID(SUBSTITUTE(SUBSTITUTE(SUBSTITUTE(UPPER($T304)," ",""),"P",""),";",REPT(" ",30)),1,30))),0)+IFERROR(VALUE(TRIM(MID(SUBSTITUTE(SUBSTITUTE(SUBSTITUTE(UPPER($T304)," ",""),"P",""),";",REPT(" ",30)),31,30))),0)+IFERROR(VALUE(TRIM(MID(SUBSTITUTE(SUBSTITUTE(SUBSTITUTE(UPPER($T304)," ",""),"P",""),";",REPT(" ",30)),61,30))),0)+IFERROR(VALUE(TRIM(MID(SUBSTITUTE(SUBSTITUTE(SUBSTITUTE(UPPER($T304)," ",""),"P",""),";",REPT(" ",30)),91,30))),0)+IFERROR(VALUE(TRIM(MID(SUBSTITUTE(SUBSTITUTE(SUBSTITUTE(UPPER($T304)," ",""),"P",""),";",REPT(" ",30)),121,30))),0)+IFERROR(VALUE(TRIM(MID(SUBSTITUTE(SUBSTITUTE(SUBSTITUTE(UPPER($T304)," ",""),"P",""),";",REPT(" ",30)),151,30))),0)+IFERROR(VALUE(TRIM(MID(SUBSTITUTE(SUBSTITUTE(SUBSTITUTE(UPPER($T304)," ",""),"P",""),";",REPT(" ",30)),181,30))),0)+IFERROR(VALUE(TRIM(MID(SUBSTITUTE(SUBSTITUTE(SUBSTITUTE(UPPER($T304)," ",""),"P",""),";",REPT(" ",30)),211,30))),0)))))</f>
        <v/>
      </c>
      <c r="W304" s="24" t="n"/>
      <c r="X304" s="14" t="n"/>
    </row>
    <row r="305">
      <c r="A305" s="8">
        <f>IF($C305="","",61)</f>
        <v/>
      </c>
      <c r="B305" s="8">
        <f>IF($C305="","","2ª Sessão")</f>
        <v/>
      </c>
      <c r="C305" s="8">
        <f>IF(Preenchimento!$B$70="","",Preenchimento!$B$70)</f>
        <v/>
      </c>
      <c r="D305" s="8">
        <f>IF($C305="","",IF(Preenchimento!$C$70="","-",Preenchimento!$C$70))</f>
        <v/>
      </c>
      <c r="E305" s="8" t="n"/>
      <c r="F305" s="8" t="n"/>
      <c r="G305" s="24" t="n"/>
      <c r="H305" s="8" t="n"/>
      <c r="I305" s="14" t="n"/>
      <c r="J305" s="25">
        <f>IF($C305="","",IF($E305="Falta","-",MAX(0,MIN(10,8+IFERROR(VALUE(TRIM(MID(SUBSTITUTE(SUBSTITUTE(SUBSTITUTE(UPPER($H305)," ",""),"D",""),";",REPT(" ",30)),1,30))),0)+IFERROR(VALUE(TRIM(MID(SUBSTITUTE(SUBSTITUTE(SUBSTITUTE(UPPER($H305)," ",""),"D",""),";",REPT(" ",30)),31,30))),0)+IFERROR(VALUE(TRIM(MID(SUBSTITUTE(SUBSTITUTE(SUBSTITUTE(UPPER($H305)," ",""),"D",""),";",REPT(" ",30)),61,30))),0)+IFERROR(VALUE(TRIM(MID(SUBSTITUTE(SUBSTITUTE(SUBSTITUTE(UPPER($H305)," ",""),"D",""),";",REPT(" ",30)),91,30))),0)+IFERROR(VALUE(TRIM(MID(SUBSTITUTE(SUBSTITUTE(SUBSTITUTE(UPPER($H305)," ",""),"D",""),";",REPT(" ",30)),121,30))),0)+IFERROR(VALUE(TRIM(MID(SUBSTITUTE(SUBSTITUTE(SUBSTITUTE(UPPER($H305)," ",""),"D",""),";",REPT(" ",30)),151,30))),0)+IFERROR(VALUE(TRIM(MID(SUBSTITUTE(SUBSTITUTE(SUBSTITUTE(UPPER($H305)," ",""),"D",""),";",REPT(" ",30)),181,30))),0)+IFERROR(VALUE(TRIM(MID(SUBSTITUTE(SUBSTITUTE(SUBSTITUTE(UPPER($H305)," ",""),"D",""),";",REPT(" ",30)),211,30))),0)))))</f>
        <v/>
      </c>
      <c r="K305" s="24" t="n"/>
      <c r="L305" s="8" t="n"/>
      <c r="M305" s="14" t="n"/>
      <c r="N305" s="25">
        <f>IF($C305="","",IF($E305="Falta","-",MAX(0,MIN(10,8+IFERROR(VALUE(TRIM(MID(SUBSTITUTE(SUBSTITUTE(SUBSTITUTE(UPPER($L305)," ",""),"F",""),";",REPT(" ",30)),1,30))),0)+IFERROR(VALUE(TRIM(MID(SUBSTITUTE(SUBSTITUTE(SUBSTITUTE(UPPER($L305)," ",""),"F",""),";",REPT(" ",30)),31,30))),0)+IFERROR(VALUE(TRIM(MID(SUBSTITUTE(SUBSTITUTE(SUBSTITUTE(UPPER($L305)," ",""),"F",""),";",REPT(" ",30)),61,30))),0)+IFERROR(VALUE(TRIM(MID(SUBSTITUTE(SUBSTITUTE(SUBSTITUTE(UPPER($L305)," ",""),"F",""),";",REPT(" ",30)),91,30))),0)+IFERROR(VALUE(TRIM(MID(SUBSTITUTE(SUBSTITUTE(SUBSTITUTE(UPPER($L305)," ",""),"F",""),";",REPT(" ",30)),121,30))),0)+IFERROR(VALUE(TRIM(MID(SUBSTITUTE(SUBSTITUTE(SUBSTITUTE(UPPER($L305)," ",""),"F",""),";",REPT(" ",30)),151,30))),0)+IFERROR(VALUE(TRIM(MID(SUBSTITUTE(SUBSTITUTE(SUBSTITUTE(UPPER($L305)," ",""),"F",""),";",REPT(" ",30)),181,30))),0)+IFERROR(VALUE(TRIM(MID(SUBSTITUTE(SUBSTITUTE(SUBSTITUTE(UPPER($L305)," ",""),"F",""),";",REPT(" ",30)),211,30))),0)))))</f>
        <v/>
      </c>
      <c r="O305" s="24" t="n"/>
      <c r="P305" s="8" t="n"/>
      <c r="Q305" s="14" t="n"/>
      <c r="R305" s="25">
        <f>IF($C305="","",IF($E305="Falta","-",MAX(0,MIN(10,5+IFERROR(VALUE(TRIM(MID(SUBSTITUTE(SUBSTITUTE(SUBSTITUTE(UPPER($P305)," ",""),"C",""),";",REPT(" ",30)),1,30))),0)+IFERROR(VALUE(TRIM(MID(SUBSTITUTE(SUBSTITUTE(SUBSTITUTE(UPPER($P305)," ",""),"C",""),";",REPT(" ",30)),31,30))),0)+IFERROR(VALUE(TRIM(MID(SUBSTITUTE(SUBSTITUTE(SUBSTITUTE(UPPER($P305)," ",""),"C",""),";",REPT(" ",30)),61,30))),0)+IFERROR(VALUE(TRIM(MID(SUBSTITUTE(SUBSTITUTE(SUBSTITUTE(UPPER($P305)," ",""),"C",""),";",REPT(" ",30)),91,30))),0)+IFERROR(VALUE(TRIM(MID(SUBSTITUTE(SUBSTITUTE(SUBSTITUTE(UPPER($P305)," ",""),"C",""),";",REPT(" ",30)),121,30))),0)+IFERROR(VALUE(TRIM(MID(SUBSTITUTE(SUBSTITUTE(SUBSTITUTE(UPPER($P305)," ",""),"C",""),";",REPT(" ",30)),151,30))),0)+IFERROR(VALUE(TRIM(MID(SUBSTITUTE(SUBSTITUTE(SUBSTITUTE(UPPER($P305)," ",""),"C",""),";",REPT(" ",30)),181,30))),0)+IFERROR(VALUE(TRIM(MID(SUBSTITUTE(SUBSTITUTE(SUBSTITUTE(UPPER($P305)," ",""),"C",""),";",REPT(" ",30)),211,30))),0)))))</f>
        <v/>
      </c>
      <c r="S305" s="24" t="n"/>
      <c r="T305" s="8" t="n"/>
      <c r="U305" s="14" t="n"/>
      <c r="V305" s="25">
        <f>IF($C305="","",IF($E305="Falta","-",MAX(0,MIN(10,5+IFERROR(VALUE(TRIM(MID(SUBSTITUTE(SUBSTITUTE(SUBSTITUTE(UPPER($T305)," ",""),"P",""),";",REPT(" ",30)),1,30))),0)+IFERROR(VALUE(TRIM(MID(SUBSTITUTE(SUBSTITUTE(SUBSTITUTE(UPPER($T305)," ",""),"P",""),";",REPT(" ",30)),31,30))),0)+IFERROR(VALUE(TRIM(MID(SUBSTITUTE(SUBSTITUTE(SUBSTITUTE(UPPER($T305)," ",""),"P",""),";",REPT(" ",30)),61,30))),0)+IFERROR(VALUE(TRIM(MID(SUBSTITUTE(SUBSTITUTE(SUBSTITUTE(UPPER($T305)," ",""),"P",""),";",REPT(" ",30)),91,30))),0)+IFERROR(VALUE(TRIM(MID(SUBSTITUTE(SUBSTITUTE(SUBSTITUTE(UPPER($T305)," ",""),"P",""),";",REPT(" ",30)),121,30))),0)+IFERROR(VALUE(TRIM(MID(SUBSTITUTE(SUBSTITUTE(SUBSTITUTE(UPPER($T305)," ",""),"P",""),";",REPT(" ",30)),151,30))),0)+IFERROR(VALUE(TRIM(MID(SUBSTITUTE(SUBSTITUTE(SUBSTITUTE(UPPER($T305)," ",""),"P",""),";",REPT(" ",30)),181,30))),0)+IFERROR(VALUE(TRIM(MID(SUBSTITUTE(SUBSTITUTE(SUBSTITUTE(UPPER($T305)," ",""),"P",""),";",REPT(" ",30)),211,30))),0)))))</f>
        <v/>
      </c>
      <c r="W305" s="24" t="n"/>
      <c r="X305" s="14" t="n"/>
    </row>
    <row r="306">
      <c r="A306" s="8">
        <f>IF($C306="","",61)</f>
        <v/>
      </c>
      <c r="B306" s="8">
        <f>IF($C306="","","3ª Sessão")</f>
        <v/>
      </c>
      <c r="C306" s="8">
        <f>IF(Preenchimento!$B$70="","",Preenchimento!$B$70)</f>
        <v/>
      </c>
      <c r="D306" s="8">
        <f>IF($C306="","",IF(Preenchimento!$C$70="","-",Preenchimento!$C$70))</f>
        <v/>
      </c>
      <c r="E306" s="8" t="n"/>
      <c r="F306" s="8" t="n"/>
      <c r="G306" s="24" t="n"/>
      <c r="H306" s="8" t="n"/>
      <c r="I306" s="14" t="n"/>
      <c r="J306" s="25">
        <f>IF($C306="","",IF($E306="Falta","-",MAX(0,MIN(10,8+IFERROR(VALUE(TRIM(MID(SUBSTITUTE(SUBSTITUTE(SUBSTITUTE(UPPER($H306)," ",""),"D",""),";",REPT(" ",30)),1,30))),0)+IFERROR(VALUE(TRIM(MID(SUBSTITUTE(SUBSTITUTE(SUBSTITUTE(UPPER($H306)," ",""),"D",""),";",REPT(" ",30)),31,30))),0)+IFERROR(VALUE(TRIM(MID(SUBSTITUTE(SUBSTITUTE(SUBSTITUTE(UPPER($H306)," ",""),"D",""),";",REPT(" ",30)),61,30))),0)+IFERROR(VALUE(TRIM(MID(SUBSTITUTE(SUBSTITUTE(SUBSTITUTE(UPPER($H306)," ",""),"D",""),";",REPT(" ",30)),91,30))),0)+IFERROR(VALUE(TRIM(MID(SUBSTITUTE(SUBSTITUTE(SUBSTITUTE(UPPER($H306)," ",""),"D",""),";",REPT(" ",30)),121,30))),0)+IFERROR(VALUE(TRIM(MID(SUBSTITUTE(SUBSTITUTE(SUBSTITUTE(UPPER($H306)," ",""),"D",""),";",REPT(" ",30)),151,30))),0)+IFERROR(VALUE(TRIM(MID(SUBSTITUTE(SUBSTITUTE(SUBSTITUTE(UPPER($H306)," ",""),"D",""),";",REPT(" ",30)),181,30))),0)+IFERROR(VALUE(TRIM(MID(SUBSTITUTE(SUBSTITUTE(SUBSTITUTE(UPPER($H306)," ",""),"D",""),";",REPT(" ",30)),211,30))),0)))))</f>
        <v/>
      </c>
      <c r="K306" s="24" t="n"/>
      <c r="L306" s="8" t="n"/>
      <c r="M306" s="14" t="n"/>
      <c r="N306" s="25">
        <f>IF($C306="","",IF($E306="Falta","-",MAX(0,MIN(10,8+IFERROR(VALUE(TRIM(MID(SUBSTITUTE(SUBSTITUTE(SUBSTITUTE(UPPER($L306)," ",""),"F",""),";",REPT(" ",30)),1,30))),0)+IFERROR(VALUE(TRIM(MID(SUBSTITUTE(SUBSTITUTE(SUBSTITUTE(UPPER($L306)," ",""),"F",""),";",REPT(" ",30)),31,30))),0)+IFERROR(VALUE(TRIM(MID(SUBSTITUTE(SUBSTITUTE(SUBSTITUTE(UPPER($L306)," ",""),"F",""),";",REPT(" ",30)),61,30))),0)+IFERROR(VALUE(TRIM(MID(SUBSTITUTE(SUBSTITUTE(SUBSTITUTE(UPPER($L306)," ",""),"F",""),";",REPT(" ",30)),91,30))),0)+IFERROR(VALUE(TRIM(MID(SUBSTITUTE(SUBSTITUTE(SUBSTITUTE(UPPER($L306)," ",""),"F",""),";",REPT(" ",30)),121,30))),0)+IFERROR(VALUE(TRIM(MID(SUBSTITUTE(SUBSTITUTE(SUBSTITUTE(UPPER($L306)," ",""),"F",""),";",REPT(" ",30)),151,30))),0)+IFERROR(VALUE(TRIM(MID(SUBSTITUTE(SUBSTITUTE(SUBSTITUTE(UPPER($L306)," ",""),"F",""),";",REPT(" ",30)),181,30))),0)+IFERROR(VALUE(TRIM(MID(SUBSTITUTE(SUBSTITUTE(SUBSTITUTE(UPPER($L306)," ",""),"F",""),";",REPT(" ",30)),211,30))),0)))))</f>
        <v/>
      </c>
      <c r="O306" s="24" t="n"/>
      <c r="P306" s="8" t="n"/>
      <c r="Q306" s="14" t="n"/>
      <c r="R306" s="25">
        <f>IF($C306="","",IF($E306="Falta","-",MAX(0,MIN(10,5+IFERROR(VALUE(TRIM(MID(SUBSTITUTE(SUBSTITUTE(SUBSTITUTE(UPPER($P306)," ",""),"C",""),";",REPT(" ",30)),1,30))),0)+IFERROR(VALUE(TRIM(MID(SUBSTITUTE(SUBSTITUTE(SUBSTITUTE(UPPER($P306)," ",""),"C",""),";",REPT(" ",30)),31,30))),0)+IFERROR(VALUE(TRIM(MID(SUBSTITUTE(SUBSTITUTE(SUBSTITUTE(UPPER($P306)," ",""),"C",""),";",REPT(" ",30)),61,30))),0)+IFERROR(VALUE(TRIM(MID(SUBSTITUTE(SUBSTITUTE(SUBSTITUTE(UPPER($P306)," ",""),"C",""),";",REPT(" ",30)),91,30))),0)+IFERROR(VALUE(TRIM(MID(SUBSTITUTE(SUBSTITUTE(SUBSTITUTE(UPPER($P306)," ",""),"C",""),";",REPT(" ",30)),121,30))),0)+IFERROR(VALUE(TRIM(MID(SUBSTITUTE(SUBSTITUTE(SUBSTITUTE(UPPER($P306)," ",""),"C",""),";",REPT(" ",30)),151,30))),0)+IFERROR(VALUE(TRIM(MID(SUBSTITUTE(SUBSTITUTE(SUBSTITUTE(UPPER($P306)," ",""),"C",""),";",REPT(" ",30)),181,30))),0)+IFERROR(VALUE(TRIM(MID(SUBSTITUTE(SUBSTITUTE(SUBSTITUTE(UPPER($P306)," ",""),"C",""),";",REPT(" ",30)),211,30))),0)))))</f>
        <v/>
      </c>
      <c r="S306" s="24" t="n"/>
      <c r="T306" s="8" t="n"/>
      <c r="U306" s="14" t="n"/>
      <c r="V306" s="25">
        <f>IF($C306="","",IF($E306="Falta","-",MAX(0,MIN(10,5+IFERROR(VALUE(TRIM(MID(SUBSTITUTE(SUBSTITUTE(SUBSTITUTE(UPPER($T306)," ",""),"P",""),";",REPT(" ",30)),1,30))),0)+IFERROR(VALUE(TRIM(MID(SUBSTITUTE(SUBSTITUTE(SUBSTITUTE(UPPER($T306)," ",""),"P",""),";",REPT(" ",30)),31,30))),0)+IFERROR(VALUE(TRIM(MID(SUBSTITUTE(SUBSTITUTE(SUBSTITUTE(UPPER($T306)," ",""),"P",""),";",REPT(" ",30)),61,30))),0)+IFERROR(VALUE(TRIM(MID(SUBSTITUTE(SUBSTITUTE(SUBSTITUTE(UPPER($T306)," ",""),"P",""),";",REPT(" ",30)),91,30))),0)+IFERROR(VALUE(TRIM(MID(SUBSTITUTE(SUBSTITUTE(SUBSTITUTE(UPPER($T306)," ",""),"P",""),";",REPT(" ",30)),121,30))),0)+IFERROR(VALUE(TRIM(MID(SUBSTITUTE(SUBSTITUTE(SUBSTITUTE(UPPER($T306)," ",""),"P",""),";",REPT(" ",30)),151,30))),0)+IFERROR(VALUE(TRIM(MID(SUBSTITUTE(SUBSTITUTE(SUBSTITUTE(UPPER($T306)," ",""),"P",""),";",REPT(" ",30)),181,30))),0)+IFERROR(VALUE(TRIM(MID(SUBSTITUTE(SUBSTITUTE(SUBSTITUTE(UPPER($T306)," ",""),"P",""),";",REPT(" ",30)),211,30))),0)))))</f>
        <v/>
      </c>
      <c r="W306" s="24" t="n"/>
      <c r="X306" s="14" t="n"/>
    </row>
    <row r="307">
      <c r="A307" s="8">
        <f>IF($C307="","",61)</f>
        <v/>
      </c>
      <c r="B307" s="8">
        <f>IF($C307="","","4ª Sessão")</f>
        <v/>
      </c>
      <c r="C307" s="8">
        <f>IF(Preenchimento!$B$70="","",Preenchimento!$B$70)</f>
        <v/>
      </c>
      <c r="D307" s="8">
        <f>IF($C307="","",IF(Preenchimento!$C$70="","-",Preenchimento!$C$70))</f>
        <v/>
      </c>
      <c r="E307" s="8" t="n"/>
      <c r="F307" s="8" t="n"/>
      <c r="G307" s="24" t="n"/>
      <c r="H307" s="8" t="n"/>
      <c r="I307" s="14" t="n"/>
      <c r="J307" s="25">
        <f>IF($C307="","",IF($E307="Falta","-",MAX(0,MIN(10,8+IFERROR(VALUE(TRIM(MID(SUBSTITUTE(SUBSTITUTE(SUBSTITUTE(UPPER($H307)," ",""),"D",""),";",REPT(" ",30)),1,30))),0)+IFERROR(VALUE(TRIM(MID(SUBSTITUTE(SUBSTITUTE(SUBSTITUTE(UPPER($H307)," ",""),"D",""),";",REPT(" ",30)),31,30))),0)+IFERROR(VALUE(TRIM(MID(SUBSTITUTE(SUBSTITUTE(SUBSTITUTE(UPPER($H307)," ",""),"D",""),";",REPT(" ",30)),61,30))),0)+IFERROR(VALUE(TRIM(MID(SUBSTITUTE(SUBSTITUTE(SUBSTITUTE(UPPER($H307)," ",""),"D",""),";",REPT(" ",30)),91,30))),0)+IFERROR(VALUE(TRIM(MID(SUBSTITUTE(SUBSTITUTE(SUBSTITUTE(UPPER($H307)," ",""),"D",""),";",REPT(" ",30)),121,30))),0)+IFERROR(VALUE(TRIM(MID(SUBSTITUTE(SUBSTITUTE(SUBSTITUTE(UPPER($H307)," ",""),"D",""),";",REPT(" ",30)),151,30))),0)+IFERROR(VALUE(TRIM(MID(SUBSTITUTE(SUBSTITUTE(SUBSTITUTE(UPPER($H307)," ",""),"D",""),";",REPT(" ",30)),181,30))),0)+IFERROR(VALUE(TRIM(MID(SUBSTITUTE(SUBSTITUTE(SUBSTITUTE(UPPER($H307)," ",""),"D",""),";",REPT(" ",30)),211,30))),0)))))</f>
        <v/>
      </c>
      <c r="K307" s="24" t="n"/>
      <c r="L307" s="8" t="n"/>
      <c r="M307" s="14" t="n"/>
      <c r="N307" s="25">
        <f>IF($C307="","",IF($E307="Falta","-",MAX(0,MIN(10,8+IFERROR(VALUE(TRIM(MID(SUBSTITUTE(SUBSTITUTE(SUBSTITUTE(UPPER($L307)," ",""),"F",""),";",REPT(" ",30)),1,30))),0)+IFERROR(VALUE(TRIM(MID(SUBSTITUTE(SUBSTITUTE(SUBSTITUTE(UPPER($L307)," ",""),"F",""),";",REPT(" ",30)),31,30))),0)+IFERROR(VALUE(TRIM(MID(SUBSTITUTE(SUBSTITUTE(SUBSTITUTE(UPPER($L307)," ",""),"F",""),";",REPT(" ",30)),61,30))),0)+IFERROR(VALUE(TRIM(MID(SUBSTITUTE(SUBSTITUTE(SUBSTITUTE(UPPER($L307)," ",""),"F",""),";",REPT(" ",30)),91,30))),0)+IFERROR(VALUE(TRIM(MID(SUBSTITUTE(SUBSTITUTE(SUBSTITUTE(UPPER($L307)," ",""),"F",""),";",REPT(" ",30)),121,30))),0)+IFERROR(VALUE(TRIM(MID(SUBSTITUTE(SUBSTITUTE(SUBSTITUTE(UPPER($L307)," ",""),"F",""),";",REPT(" ",30)),151,30))),0)+IFERROR(VALUE(TRIM(MID(SUBSTITUTE(SUBSTITUTE(SUBSTITUTE(UPPER($L307)," ",""),"F",""),";",REPT(" ",30)),181,30))),0)+IFERROR(VALUE(TRIM(MID(SUBSTITUTE(SUBSTITUTE(SUBSTITUTE(UPPER($L307)," ",""),"F",""),";",REPT(" ",30)),211,30))),0)))))</f>
        <v/>
      </c>
      <c r="O307" s="24" t="n"/>
      <c r="P307" s="8" t="n"/>
      <c r="Q307" s="14" t="n"/>
      <c r="R307" s="25">
        <f>IF($C307="","",IF($E307="Falta","-",MAX(0,MIN(10,5+IFERROR(VALUE(TRIM(MID(SUBSTITUTE(SUBSTITUTE(SUBSTITUTE(UPPER($P307)," ",""),"C",""),";",REPT(" ",30)),1,30))),0)+IFERROR(VALUE(TRIM(MID(SUBSTITUTE(SUBSTITUTE(SUBSTITUTE(UPPER($P307)," ",""),"C",""),";",REPT(" ",30)),31,30))),0)+IFERROR(VALUE(TRIM(MID(SUBSTITUTE(SUBSTITUTE(SUBSTITUTE(UPPER($P307)," ",""),"C",""),";",REPT(" ",30)),61,30))),0)+IFERROR(VALUE(TRIM(MID(SUBSTITUTE(SUBSTITUTE(SUBSTITUTE(UPPER($P307)," ",""),"C",""),";",REPT(" ",30)),91,30))),0)+IFERROR(VALUE(TRIM(MID(SUBSTITUTE(SUBSTITUTE(SUBSTITUTE(UPPER($P307)," ",""),"C",""),";",REPT(" ",30)),121,30))),0)+IFERROR(VALUE(TRIM(MID(SUBSTITUTE(SUBSTITUTE(SUBSTITUTE(UPPER($P307)," ",""),"C",""),";",REPT(" ",30)),151,30))),0)+IFERROR(VALUE(TRIM(MID(SUBSTITUTE(SUBSTITUTE(SUBSTITUTE(UPPER($P307)," ",""),"C",""),";",REPT(" ",30)),181,30))),0)+IFERROR(VALUE(TRIM(MID(SUBSTITUTE(SUBSTITUTE(SUBSTITUTE(UPPER($P307)," ",""),"C",""),";",REPT(" ",30)),211,30))),0)))))</f>
        <v/>
      </c>
      <c r="S307" s="24" t="n"/>
      <c r="T307" s="8" t="n"/>
      <c r="U307" s="14" t="n"/>
      <c r="V307" s="25">
        <f>IF($C307="","",IF($E307="Falta","-",MAX(0,MIN(10,5+IFERROR(VALUE(TRIM(MID(SUBSTITUTE(SUBSTITUTE(SUBSTITUTE(UPPER($T307)," ",""),"P",""),";",REPT(" ",30)),1,30))),0)+IFERROR(VALUE(TRIM(MID(SUBSTITUTE(SUBSTITUTE(SUBSTITUTE(UPPER($T307)," ",""),"P",""),";",REPT(" ",30)),31,30))),0)+IFERROR(VALUE(TRIM(MID(SUBSTITUTE(SUBSTITUTE(SUBSTITUTE(UPPER($T307)," ",""),"P",""),";",REPT(" ",30)),61,30))),0)+IFERROR(VALUE(TRIM(MID(SUBSTITUTE(SUBSTITUTE(SUBSTITUTE(UPPER($T307)," ",""),"P",""),";",REPT(" ",30)),91,30))),0)+IFERROR(VALUE(TRIM(MID(SUBSTITUTE(SUBSTITUTE(SUBSTITUTE(UPPER($T307)," ",""),"P",""),";",REPT(" ",30)),121,30))),0)+IFERROR(VALUE(TRIM(MID(SUBSTITUTE(SUBSTITUTE(SUBSTITUTE(UPPER($T307)," ",""),"P",""),";",REPT(" ",30)),151,30))),0)+IFERROR(VALUE(TRIM(MID(SUBSTITUTE(SUBSTITUTE(SUBSTITUTE(UPPER($T307)," ",""),"P",""),";",REPT(" ",30)),181,30))),0)+IFERROR(VALUE(TRIM(MID(SUBSTITUTE(SUBSTITUTE(SUBSTITUTE(UPPER($T307)," ",""),"P",""),";",REPT(" ",30)),211,30))),0)))))</f>
        <v/>
      </c>
      <c r="W307" s="24" t="n"/>
      <c r="X307" s="14" t="n"/>
    </row>
    <row r="308">
      <c r="A308" s="8">
        <f>IF($C308="","",61)</f>
        <v/>
      </c>
      <c r="B308" s="8">
        <f>IF($C308="","","5ª Sessão")</f>
        <v/>
      </c>
      <c r="C308" s="8">
        <f>IF(Preenchimento!$B$70="","",Preenchimento!$B$70)</f>
        <v/>
      </c>
      <c r="D308" s="8">
        <f>IF($C308="","",IF(Preenchimento!$C$70="","-",Preenchimento!$C$70))</f>
        <v/>
      </c>
      <c r="E308" s="8" t="n"/>
      <c r="F308" s="8" t="n"/>
      <c r="G308" s="24" t="n"/>
      <c r="H308" s="8" t="n"/>
      <c r="I308" s="14" t="n"/>
      <c r="J308" s="25">
        <f>IF($C308="","",IF($E308="Falta","-",MAX(0,MIN(10,8+IFERROR(VALUE(TRIM(MID(SUBSTITUTE(SUBSTITUTE(SUBSTITUTE(UPPER($H308)," ",""),"D",""),";",REPT(" ",30)),1,30))),0)+IFERROR(VALUE(TRIM(MID(SUBSTITUTE(SUBSTITUTE(SUBSTITUTE(UPPER($H308)," ",""),"D",""),";",REPT(" ",30)),31,30))),0)+IFERROR(VALUE(TRIM(MID(SUBSTITUTE(SUBSTITUTE(SUBSTITUTE(UPPER($H308)," ",""),"D",""),";",REPT(" ",30)),61,30))),0)+IFERROR(VALUE(TRIM(MID(SUBSTITUTE(SUBSTITUTE(SUBSTITUTE(UPPER($H308)," ",""),"D",""),";",REPT(" ",30)),91,30))),0)+IFERROR(VALUE(TRIM(MID(SUBSTITUTE(SUBSTITUTE(SUBSTITUTE(UPPER($H308)," ",""),"D",""),";",REPT(" ",30)),121,30))),0)+IFERROR(VALUE(TRIM(MID(SUBSTITUTE(SUBSTITUTE(SUBSTITUTE(UPPER($H308)," ",""),"D",""),";",REPT(" ",30)),151,30))),0)+IFERROR(VALUE(TRIM(MID(SUBSTITUTE(SUBSTITUTE(SUBSTITUTE(UPPER($H308)," ",""),"D",""),";",REPT(" ",30)),181,30))),0)+IFERROR(VALUE(TRIM(MID(SUBSTITUTE(SUBSTITUTE(SUBSTITUTE(UPPER($H308)," ",""),"D",""),";",REPT(" ",30)),211,30))),0)))))</f>
        <v/>
      </c>
      <c r="K308" s="24" t="n"/>
      <c r="L308" s="8" t="n"/>
      <c r="M308" s="14" t="n"/>
      <c r="N308" s="25">
        <f>IF($C308="","",IF($E308="Falta","-",MAX(0,MIN(10,8+IFERROR(VALUE(TRIM(MID(SUBSTITUTE(SUBSTITUTE(SUBSTITUTE(UPPER($L308)," ",""),"F",""),";",REPT(" ",30)),1,30))),0)+IFERROR(VALUE(TRIM(MID(SUBSTITUTE(SUBSTITUTE(SUBSTITUTE(UPPER($L308)," ",""),"F",""),";",REPT(" ",30)),31,30))),0)+IFERROR(VALUE(TRIM(MID(SUBSTITUTE(SUBSTITUTE(SUBSTITUTE(UPPER($L308)," ",""),"F",""),";",REPT(" ",30)),61,30))),0)+IFERROR(VALUE(TRIM(MID(SUBSTITUTE(SUBSTITUTE(SUBSTITUTE(UPPER($L308)," ",""),"F",""),";",REPT(" ",30)),91,30))),0)+IFERROR(VALUE(TRIM(MID(SUBSTITUTE(SUBSTITUTE(SUBSTITUTE(UPPER($L308)," ",""),"F",""),";",REPT(" ",30)),121,30))),0)+IFERROR(VALUE(TRIM(MID(SUBSTITUTE(SUBSTITUTE(SUBSTITUTE(UPPER($L308)," ",""),"F",""),";",REPT(" ",30)),151,30))),0)+IFERROR(VALUE(TRIM(MID(SUBSTITUTE(SUBSTITUTE(SUBSTITUTE(UPPER($L308)," ",""),"F",""),";",REPT(" ",30)),181,30))),0)+IFERROR(VALUE(TRIM(MID(SUBSTITUTE(SUBSTITUTE(SUBSTITUTE(UPPER($L308)," ",""),"F",""),";",REPT(" ",30)),211,30))),0)))))</f>
        <v/>
      </c>
      <c r="O308" s="24" t="n"/>
      <c r="P308" s="8" t="n"/>
      <c r="Q308" s="14" t="n"/>
      <c r="R308" s="25">
        <f>IF($C308="","",IF($E308="Falta","-",MAX(0,MIN(10,5+IFERROR(VALUE(TRIM(MID(SUBSTITUTE(SUBSTITUTE(SUBSTITUTE(UPPER($P308)," ",""),"C",""),";",REPT(" ",30)),1,30))),0)+IFERROR(VALUE(TRIM(MID(SUBSTITUTE(SUBSTITUTE(SUBSTITUTE(UPPER($P308)," ",""),"C",""),";",REPT(" ",30)),31,30))),0)+IFERROR(VALUE(TRIM(MID(SUBSTITUTE(SUBSTITUTE(SUBSTITUTE(UPPER($P308)," ",""),"C",""),";",REPT(" ",30)),61,30))),0)+IFERROR(VALUE(TRIM(MID(SUBSTITUTE(SUBSTITUTE(SUBSTITUTE(UPPER($P308)," ",""),"C",""),";",REPT(" ",30)),91,30))),0)+IFERROR(VALUE(TRIM(MID(SUBSTITUTE(SUBSTITUTE(SUBSTITUTE(UPPER($P308)," ",""),"C",""),";",REPT(" ",30)),121,30))),0)+IFERROR(VALUE(TRIM(MID(SUBSTITUTE(SUBSTITUTE(SUBSTITUTE(UPPER($P308)," ",""),"C",""),";",REPT(" ",30)),151,30))),0)+IFERROR(VALUE(TRIM(MID(SUBSTITUTE(SUBSTITUTE(SUBSTITUTE(UPPER($P308)," ",""),"C",""),";",REPT(" ",30)),181,30))),0)+IFERROR(VALUE(TRIM(MID(SUBSTITUTE(SUBSTITUTE(SUBSTITUTE(UPPER($P308)," ",""),"C",""),";",REPT(" ",30)),211,30))),0)))))</f>
        <v/>
      </c>
      <c r="S308" s="24" t="n"/>
      <c r="T308" s="8" t="n"/>
      <c r="U308" s="14" t="n"/>
      <c r="V308" s="25">
        <f>IF($C308="","",IF($E308="Falta","-",MAX(0,MIN(10,5+IFERROR(VALUE(TRIM(MID(SUBSTITUTE(SUBSTITUTE(SUBSTITUTE(UPPER($T308)," ",""),"P",""),";",REPT(" ",30)),1,30))),0)+IFERROR(VALUE(TRIM(MID(SUBSTITUTE(SUBSTITUTE(SUBSTITUTE(UPPER($T308)," ",""),"P",""),";",REPT(" ",30)),31,30))),0)+IFERROR(VALUE(TRIM(MID(SUBSTITUTE(SUBSTITUTE(SUBSTITUTE(UPPER($T308)," ",""),"P",""),";",REPT(" ",30)),61,30))),0)+IFERROR(VALUE(TRIM(MID(SUBSTITUTE(SUBSTITUTE(SUBSTITUTE(UPPER($T308)," ",""),"P",""),";",REPT(" ",30)),91,30))),0)+IFERROR(VALUE(TRIM(MID(SUBSTITUTE(SUBSTITUTE(SUBSTITUTE(UPPER($T308)," ",""),"P",""),";",REPT(" ",30)),121,30))),0)+IFERROR(VALUE(TRIM(MID(SUBSTITUTE(SUBSTITUTE(SUBSTITUTE(UPPER($T308)," ",""),"P",""),";",REPT(" ",30)),151,30))),0)+IFERROR(VALUE(TRIM(MID(SUBSTITUTE(SUBSTITUTE(SUBSTITUTE(UPPER($T308)," ",""),"P",""),";",REPT(" ",30)),181,30))),0)+IFERROR(VALUE(TRIM(MID(SUBSTITUTE(SUBSTITUTE(SUBSTITUTE(UPPER($T308)," ",""),"P",""),";",REPT(" ",30)),211,30))),0)))))</f>
        <v/>
      </c>
      <c r="W308" s="24" t="n"/>
      <c r="X308" s="14" t="n"/>
    </row>
    <row r="309">
      <c r="A309" s="6">
        <f>IF($C309="","",62)</f>
        <v/>
      </c>
      <c r="B309" s="6">
        <f>IF($C309="","","1ª Sessão")</f>
        <v/>
      </c>
      <c r="C309" s="6">
        <f>IF(Preenchimento!$B$71="","",Preenchimento!$B$71)</f>
        <v/>
      </c>
      <c r="D309" s="6">
        <f>IF($C309="","",IF(Preenchimento!$C$71="","-",Preenchimento!$C$71))</f>
        <v/>
      </c>
      <c r="E309" s="6" t="n"/>
      <c r="F309" s="6" t="n"/>
      <c r="G309" s="26" t="n"/>
      <c r="H309" s="6" t="n"/>
      <c r="I309" s="13" t="n"/>
      <c r="J309" s="27">
        <f>IF($C309="","",IF($E309="Falta","-",MAX(0,MIN(10,8+IFERROR(VALUE(TRIM(MID(SUBSTITUTE(SUBSTITUTE(SUBSTITUTE(UPPER($H309)," ",""),"D",""),";",REPT(" ",30)),1,30))),0)+IFERROR(VALUE(TRIM(MID(SUBSTITUTE(SUBSTITUTE(SUBSTITUTE(UPPER($H309)," ",""),"D",""),";",REPT(" ",30)),31,30))),0)+IFERROR(VALUE(TRIM(MID(SUBSTITUTE(SUBSTITUTE(SUBSTITUTE(UPPER($H309)," ",""),"D",""),";",REPT(" ",30)),61,30))),0)+IFERROR(VALUE(TRIM(MID(SUBSTITUTE(SUBSTITUTE(SUBSTITUTE(UPPER($H309)," ",""),"D",""),";",REPT(" ",30)),91,30))),0)+IFERROR(VALUE(TRIM(MID(SUBSTITUTE(SUBSTITUTE(SUBSTITUTE(UPPER($H309)," ",""),"D",""),";",REPT(" ",30)),121,30))),0)+IFERROR(VALUE(TRIM(MID(SUBSTITUTE(SUBSTITUTE(SUBSTITUTE(UPPER($H309)," ",""),"D",""),";",REPT(" ",30)),151,30))),0)+IFERROR(VALUE(TRIM(MID(SUBSTITUTE(SUBSTITUTE(SUBSTITUTE(UPPER($H309)," ",""),"D",""),";",REPT(" ",30)),181,30))),0)+IFERROR(VALUE(TRIM(MID(SUBSTITUTE(SUBSTITUTE(SUBSTITUTE(UPPER($H309)," ",""),"D",""),";",REPT(" ",30)),211,30))),0)))))</f>
        <v/>
      </c>
      <c r="K309" s="26" t="n"/>
      <c r="L309" s="6" t="n"/>
      <c r="M309" s="13" t="n"/>
      <c r="N309" s="27">
        <f>IF($C309="","",IF($E309="Falta","-",MAX(0,MIN(10,8+IFERROR(VALUE(TRIM(MID(SUBSTITUTE(SUBSTITUTE(SUBSTITUTE(UPPER($L309)," ",""),"F",""),";",REPT(" ",30)),1,30))),0)+IFERROR(VALUE(TRIM(MID(SUBSTITUTE(SUBSTITUTE(SUBSTITUTE(UPPER($L309)," ",""),"F",""),";",REPT(" ",30)),31,30))),0)+IFERROR(VALUE(TRIM(MID(SUBSTITUTE(SUBSTITUTE(SUBSTITUTE(UPPER($L309)," ",""),"F",""),";",REPT(" ",30)),61,30))),0)+IFERROR(VALUE(TRIM(MID(SUBSTITUTE(SUBSTITUTE(SUBSTITUTE(UPPER($L309)," ",""),"F",""),";",REPT(" ",30)),91,30))),0)+IFERROR(VALUE(TRIM(MID(SUBSTITUTE(SUBSTITUTE(SUBSTITUTE(UPPER($L309)," ",""),"F",""),";",REPT(" ",30)),121,30))),0)+IFERROR(VALUE(TRIM(MID(SUBSTITUTE(SUBSTITUTE(SUBSTITUTE(UPPER($L309)," ",""),"F",""),";",REPT(" ",30)),151,30))),0)+IFERROR(VALUE(TRIM(MID(SUBSTITUTE(SUBSTITUTE(SUBSTITUTE(UPPER($L309)," ",""),"F",""),";",REPT(" ",30)),181,30))),0)+IFERROR(VALUE(TRIM(MID(SUBSTITUTE(SUBSTITUTE(SUBSTITUTE(UPPER($L309)," ",""),"F",""),";",REPT(" ",30)),211,30))),0)))))</f>
        <v/>
      </c>
      <c r="O309" s="26" t="n"/>
      <c r="P309" s="6" t="n"/>
      <c r="Q309" s="13" t="n"/>
      <c r="R309" s="27">
        <f>IF($C309="","",IF($E309="Falta","-",MAX(0,MIN(10,5+IFERROR(VALUE(TRIM(MID(SUBSTITUTE(SUBSTITUTE(SUBSTITUTE(UPPER($P309)," ",""),"C",""),";",REPT(" ",30)),1,30))),0)+IFERROR(VALUE(TRIM(MID(SUBSTITUTE(SUBSTITUTE(SUBSTITUTE(UPPER($P309)," ",""),"C",""),";",REPT(" ",30)),31,30))),0)+IFERROR(VALUE(TRIM(MID(SUBSTITUTE(SUBSTITUTE(SUBSTITUTE(UPPER($P309)," ",""),"C",""),";",REPT(" ",30)),61,30))),0)+IFERROR(VALUE(TRIM(MID(SUBSTITUTE(SUBSTITUTE(SUBSTITUTE(UPPER($P309)," ",""),"C",""),";",REPT(" ",30)),91,30))),0)+IFERROR(VALUE(TRIM(MID(SUBSTITUTE(SUBSTITUTE(SUBSTITUTE(UPPER($P309)," ",""),"C",""),";",REPT(" ",30)),121,30))),0)+IFERROR(VALUE(TRIM(MID(SUBSTITUTE(SUBSTITUTE(SUBSTITUTE(UPPER($P309)," ",""),"C",""),";",REPT(" ",30)),151,30))),0)+IFERROR(VALUE(TRIM(MID(SUBSTITUTE(SUBSTITUTE(SUBSTITUTE(UPPER($P309)," ",""),"C",""),";",REPT(" ",30)),181,30))),0)+IFERROR(VALUE(TRIM(MID(SUBSTITUTE(SUBSTITUTE(SUBSTITUTE(UPPER($P309)," ",""),"C",""),";",REPT(" ",30)),211,30))),0)))))</f>
        <v/>
      </c>
      <c r="S309" s="26" t="n"/>
      <c r="T309" s="6" t="n"/>
      <c r="U309" s="13" t="n"/>
      <c r="V309" s="27">
        <f>IF($C309="","",IF($E309="Falta","-",MAX(0,MIN(10,5+IFERROR(VALUE(TRIM(MID(SUBSTITUTE(SUBSTITUTE(SUBSTITUTE(UPPER($T309)," ",""),"P",""),";",REPT(" ",30)),1,30))),0)+IFERROR(VALUE(TRIM(MID(SUBSTITUTE(SUBSTITUTE(SUBSTITUTE(UPPER($T309)," ",""),"P",""),";",REPT(" ",30)),31,30))),0)+IFERROR(VALUE(TRIM(MID(SUBSTITUTE(SUBSTITUTE(SUBSTITUTE(UPPER($T309)," ",""),"P",""),";",REPT(" ",30)),61,30))),0)+IFERROR(VALUE(TRIM(MID(SUBSTITUTE(SUBSTITUTE(SUBSTITUTE(UPPER($T309)," ",""),"P",""),";",REPT(" ",30)),91,30))),0)+IFERROR(VALUE(TRIM(MID(SUBSTITUTE(SUBSTITUTE(SUBSTITUTE(UPPER($T309)," ",""),"P",""),";",REPT(" ",30)),121,30))),0)+IFERROR(VALUE(TRIM(MID(SUBSTITUTE(SUBSTITUTE(SUBSTITUTE(UPPER($T309)," ",""),"P",""),";",REPT(" ",30)),151,30))),0)+IFERROR(VALUE(TRIM(MID(SUBSTITUTE(SUBSTITUTE(SUBSTITUTE(UPPER($T309)," ",""),"P",""),";",REPT(" ",30)),181,30))),0)+IFERROR(VALUE(TRIM(MID(SUBSTITUTE(SUBSTITUTE(SUBSTITUTE(UPPER($T309)," ",""),"P",""),";",REPT(" ",30)),211,30))),0)))))</f>
        <v/>
      </c>
      <c r="W309" s="26" t="n"/>
      <c r="X309" s="13" t="n"/>
    </row>
    <row r="310">
      <c r="A310" s="6">
        <f>IF($C310="","",62)</f>
        <v/>
      </c>
      <c r="B310" s="6">
        <f>IF($C310="","","2ª Sessão")</f>
        <v/>
      </c>
      <c r="C310" s="6">
        <f>IF(Preenchimento!$B$71="","",Preenchimento!$B$71)</f>
        <v/>
      </c>
      <c r="D310" s="6">
        <f>IF($C310="","",IF(Preenchimento!$C$71="","-",Preenchimento!$C$71))</f>
        <v/>
      </c>
      <c r="E310" s="6" t="n"/>
      <c r="F310" s="6" t="n"/>
      <c r="G310" s="26" t="n"/>
      <c r="H310" s="6" t="n"/>
      <c r="I310" s="13" t="n"/>
      <c r="J310" s="27">
        <f>IF($C310="","",IF($E310="Falta","-",MAX(0,MIN(10,8+IFERROR(VALUE(TRIM(MID(SUBSTITUTE(SUBSTITUTE(SUBSTITUTE(UPPER($H310)," ",""),"D",""),";",REPT(" ",30)),1,30))),0)+IFERROR(VALUE(TRIM(MID(SUBSTITUTE(SUBSTITUTE(SUBSTITUTE(UPPER($H310)," ",""),"D",""),";",REPT(" ",30)),31,30))),0)+IFERROR(VALUE(TRIM(MID(SUBSTITUTE(SUBSTITUTE(SUBSTITUTE(UPPER($H310)," ",""),"D",""),";",REPT(" ",30)),61,30))),0)+IFERROR(VALUE(TRIM(MID(SUBSTITUTE(SUBSTITUTE(SUBSTITUTE(UPPER($H310)," ",""),"D",""),";",REPT(" ",30)),91,30))),0)+IFERROR(VALUE(TRIM(MID(SUBSTITUTE(SUBSTITUTE(SUBSTITUTE(UPPER($H310)," ",""),"D",""),";",REPT(" ",30)),121,30))),0)+IFERROR(VALUE(TRIM(MID(SUBSTITUTE(SUBSTITUTE(SUBSTITUTE(UPPER($H310)," ",""),"D",""),";",REPT(" ",30)),151,30))),0)+IFERROR(VALUE(TRIM(MID(SUBSTITUTE(SUBSTITUTE(SUBSTITUTE(UPPER($H310)," ",""),"D",""),";",REPT(" ",30)),181,30))),0)+IFERROR(VALUE(TRIM(MID(SUBSTITUTE(SUBSTITUTE(SUBSTITUTE(UPPER($H310)," ",""),"D",""),";",REPT(" ",30)),211,30))),0)))))</f>
        <v/>
      </c>
      <c r="K310" s="26" t="n"/>
      <c r="L310" s="6" t="n"/>
      <c r="M310" s="13" t="n"/>
      <c r="N310" s="27">
        <f>IF($C310="","",IF($E310="Falta","-",MAX(0,MIN(10,8+IFERROR(VALUE(TRIM(MID(SUBSTITUTE(SUBSTITUTE(SUBSTITUTE(UPPER($L310)," ",""),"F",""),";",REPT(" ",30)),1,30))),0)+IFERROR(VALUE(TRIM(MID(SUBSTITUTE(SUBSTITUTE(SUBSTITUTE(UPPER($L310)," ",""),"F",""),";",REPT(" ",30)),31,30))),0)+IFERROR(VALUE(TRIM(MID(SUBSTITUTE(SUBSTITUTE(SUBSTITUTE(UPPER($L310)," ",""),"F",""),";",REPT(" ",30)),61,30))),0)+IFERROR(VALUE(TRIM(MID(SUBSTITUTE(SUBSTITUTE(SUBSTITUTE(UPPER($L310)," ",""),"F",""),";",REPT(" ",30)),91,30))),0)+IFERROR(VALUE(TRIM(MID(SUBSTITUTE(SUBSTITUTE(SUBSTITUTE(UPPER($L310)," ",""),"F",""),";",REPT(" ",30)),121,30))),0)+IFERROR(VALUE(TRIM(MID(SUBSTITUTE(SUBSTITUTE(SUBSTITUTE(UPPER($L310)," ",""),"F",""),";",REPT(" ",30)),151,30))),0)+IFERROR(VALUE(TRIM(MID(SUBSTITUTE(SUBSTITUTE(SUBSTITUTE(UPPER($L310)," ",""),"F",""),";",REPT(" ",30)),181,30))),0)+IFERROR(VALUE(TRIM(MID(SUBSTITUTE(SUBSTITUTE(SUBSTITUTE(UPPER($L310)," ",""),"F",""),";",REPT(" ",30)),211,30))),0)))))</f>
        <v/>
      </c>
      <c r="O310" s="26" t="n"/>
      <c r="P310" s="6" t="n"/>
      <c r="Q310" s="13" t="n"/>
      <c r="R310" s="27">
        <f>IF($C310="","",IF($E310="Falta","-",MAX(0,MIN(10,5+IFERROR(VALUE(TRIM(MID(SUBSTITUTE(SUBSTITUTE(SUBSTITUTE(UPPER($P310)," ",""),"C",""),";",REPT(" ",30)),1,30))),0)+IFERROR(VALUE(TRIM(MID(SUBSTITUTE(SUBSTITUTE(SUBSTITUTE(UPPER($P310)," ",""),"C",""),";",REPT(" ",30)),31,30))),0)+IFERROR(VALUE(TRIM(MID(SUBSTITUTE(SUBSTITUTE(SUBSTITUTE(UPPER($P310)," ",""),"C",""),";",REPT(" ",30)),61,30))),0)+IFERROR(VALUE(TRIM(MID(SUBSTITUTE(SUBSTITUTE(SUBSTITUTE(UPPER($P310)," ",""),"C",""),";",REPT(" ",30)),91,30))),0)+IFERROR(VALUE(TRIM(MID(SUBSTITUTE(SUBSTITUTE(SUBSTITUTE(UPPER($P310)," ",""),"C",""),";",REPT(" ",30)),121,30))),0)+IFERROR(VALUE(TRIM(MID(SUBSTITUTE(SUBSTITUTE(SUBSTITUTE(UPPER($P310)," ",""),"C",""),";",REPT(" ",30)),151,30))),0)+IFERROR(VALUE(TRIM(MID(SUBSTITUTE(SUBSTITUTE(SUBSTITUTE(UPPER($P310)," ",""),"C",""),";",REPT(" ",30)),181,30))),0)+IFERROR(VALUE(TRIM(MID(SUBSTITUTE(SUBSTITUTE(SUBSTITUTE(UPPER($P310)," ",""),"C",""),";",REPT(" ",30)),211,30))),0)))))</f>
        <v/>
      </c>
      <c r="S310" s="26" t="n"/>
      <c r="T310" s="6" t="n"/>
      <c r="U310" s="13" t="n"/>
      <c r="V310" s="27">
        <f>IF($C310="","",IF($E310="Falta","-",MAX(0,MIN(10,5+IFERROR(VALUE(TRIM(MID(SUBSTITUTE(SUBSTITUTE(SUBSTITUTE(UPPER($T310)," ",""),"P",""),";",REPT(" ",30)),1,30))),0)+IFERROR(VALUE(TRIM(MID(SUBSTITUTE(SUBSTITUTE(SUBSTITUTE(UPPER($T310)," ",""),"P",""),";",REPT(" ",30)),31,30))),0)+IFERROR(VALUE(TRIM(MID(SUBSTITUTE(SUBSTITUTE(SUBSTITUTE(UPPER($T310)," ",""),"P",""),";",REPT(" ",30)),61,30))),0)+IFERROR(VALUE(TRIM(MID(SUBSTITUTE(SUBSTITUTE(SUBSTITUTE(UPPER($T310)," ",""),"P",""),";",REPT(" ",30)),91,30))),0)+IFERROR(VALUE(TRIM(MID(SUBSTITUTE(SUBSTITUTE(SUBSTITUTE(UPPER($T310)," ",""),"P",""),";",REPT(" ",30)),121,30))),0)+IFERROR(VALUE(TRIM(MID(SUBSTITUTE(SUBSTITUTE(SUBSTITUTE(UPPER($T310)," ",""),"P",""),";",REPT(" ",30)),151,30))),0)+IFERROR(VALUE(TRIM(MID(SUBSTITUTE(SUBSTITUTE(SUBSTITUTE(UPPER($T310)," ",""),"P",""),";",REPT(" ",30)),181,30))),0)+IFERROR(VALUE(TRIM(MID(SUBSTITUTE(SUBSTITUTE(SUBSTITUTE(UPPER($T310)," ",""),"P",""),";",REPT(" ",30)),211,30))),0)))))</f>
        <v/>
      </c>
      <c r="W310" s="26" t="n"/>
      <c r="X310" s="13" t="n"/>
    </row>
    <row r="311">
      <c r="A311" s="6">
        <f>IF($C311="","",62)</f>
        <v/>
      </c>
      <c r="B311" s="6">
        <f>IF($C311="","","3ª Sessão")</f>
        <v/>
      </c>
      <c r="C311" s="6">
        <f>IF(Preenchimento!$B$71="","",Preenchimento!$B$71)</f>
        <v/>
      </c>
      <c r="D311" s="6">
        <f>IF($C311="","",IF(Preenchimento!$C$71="","-",Preenchimento!$C$71))</f>
        <v/>
      </c>
      <c r="E311" s="6" t="n"/>
      <c r="F311" s="6" t="n"/>
      <c r="G311" s="26" t="n"/>
      <c r="H311" s="6" t="n"/>
      <c r="I311" s="13" t="n"/>
      <c r="J311" s="27">
        <f>IF($C311="","",IF($E311="Falta","-",MAX(0,MIN(10,8+IFERROR(VALUE(TRIM(MID(SUBSTITUTE(SUBSTITUTE(SUBSTITUTE(UPPER($H311)," ",""),"D",""),";",REPT(" ",30)),1,30))),0)+IFERROR(VALUE(TRIM(MID(SUBSTITUTE(SUBSTITUTE(SUBSTITUTE(UPPER($H311)," ",""),"D",""),";",REPT(" ",30)),31,30))),0)+IFERROR(VALUE(TRIM(MID(SUBSTITUTE(SUBSTITUTE(SUBSTITUTE(UPPER($H311)," ",""),"D",""),";",REPT(" ",30)),61,30))),0)+IFERROR(VALUE(TRIM(MID(SUBSTITUTE(SUBSTITUTE(SUBSTITUTE(UPPER($H311)," ",""),"D",""),";",REPT(" ",30)),91,30))),0)+IFERROR(VALUE(TRIM(MID(SUBSTITUTE(SUBSTITUTE(SUBSTITUTE(UPPER($H311)," ",""),"D",""),";",REPT(" ",30)),121,30))),0)+IFERROR(VALUE(TRIM(MID(SUBSTITUTE(SUBSTITUTE(SUBSTITUTE(UPPER($H311)," ",""),"D",""),";",REPT(" ",30)),151,30))),0)+IFERROR(VALUE(TRIM(MID(SUBSTITUTE(SUBSTITUTE(SUBSTITUTE(UPPER($H311)," ",""),"D",""),";",REPT(" ",30)),181,30))),0)+IFERROR(VALUE(TRIM(MID(SUBSTITUTE(SUBSTITUTE(SUBSTITUTE(UPPER($H311)," ",""),"D",""),";",REPT(" ",30)),211,30))),0)))))</f>
        <v/>
      </c>
      <c r="K311" s="26" t="n"/>
      <c r="L311" s="6" t="n"/>
      <c r="M311" s="13" t="n"/>
      <c r="N311" s="27">
        <f>IF($C311="","",IF($E311="Falta","-",MAX(0,MIN(10,8+IFERROR(VALUE(TRIM(MID(SUBSTITUTE(SUBSTITUTE(SUBSTITUTE(UPPER($L311)," ",""),"F",""),";",REPT(" ",30)),1,30))),0)+IFERROR(VALUE(TRIM(MID(SUBSTITUTE(SUBSTITUTE(SUBSTITUTE(UPPER($L311)," ",""),"F",""),";",REPT(" ",30)),31,30))),0)+IFERROR(VALUE(TRIM(MID(SUBSTITUTE(SUBSTITUTE(SUBSTITUTE(UPPER($L311)," ",""),"F",""),";",REPT(" ",30)),61,30))),0)+IFERROR(VALUE(TRIM(MID(SUBSTITUTE(SUBSTITUTE(SUBSTITUTE(UPPER($L311)," ",""),"F",""),";",REPT(" ",30)),91,30))),0)+IFERROR(VALUE(TRIM(MID(SUBSTITUTE(SUBSTITUTE(SUBSTITUTE(UPPER($L311)," ",""),"F",""),";",REPT(" ",30)),121,30))),0)+IFERROR(VALUE(TRIM(MID(SUBSTITUTE(SUBSTITUTE(SUBSTITUTE(UPPER($L311)," ",""),"F",""),";",REPT(" ",30)),151,30))),0)+IFERROR(VALUE(TRIM(MID(SUBSTITUTE(SUBSTITUTE(SUBSTITUTE(UPPER($L311)," ",""),"F",""),";",REPT(" ",30)),181,30))),0)+IFERROR(VALUE(TRIM(MID(SUBSTITUTE(SUBSTITUTE(SUBSTITUTE(UPPER($L311)," ",""),"F",""),";",REPT(" ",30)),211,30))),0)))))</f>
        <v/>
      </c>
      <c r="O311" s="26" t="n"/>
      <c r="P311" s="6" t="n"/>
      <c r="Q311" s="13" t="n"/>
      <c r="R311" s="27">
        <f>IF($C311="","",IF($E311="Falta","-",MAX(0,MIN(10,5+IFERROR(VALUE(TRIM(MID(SUBSTITUTE(SUBSTITUTE(SUBSTITUTE(UPPER($P311)," ",""),"C",""),";",REPT(" ",30)),1,30))),0)+IFERROR(VALUE(TRIM(MID(SUBSTITUTE(SUBSTITUTE(SUBSTITUTE(UPPER($P311)," ",""),"C",""),";",REPT(" ",30)),31,30))),0)+IFERROR(VALUE(TRIM(MID(SUBSTITUTE(SUBSTITUTE(SUBSTITUTE(UPPER($P311)," ",""),"C",""),";",REPT(" ",30)),61,30))),0)+IFERROR(VALUE(TRIM(MID(SUBSTITUTE(SUBSTITUTE(SUBSTITUTE(UPPER($P311)," ",""),"C",""),";",REPT(" ",30)),91,30))),0)+IFERROR(VALUE(TRIM(MID(SUBSTITUTE(SUBSTITUTE(SUBSTITUTE(UPPER($P311)," ",""),"C",""),";",REPT(" ",30)),121,30))),0)+IFERROR(VALUE(TRIM(MID(SUBSTITUTE(SUBSTITUTE(SUBSTITUTE(UPPER($P311)," ",""),"C",""),";",REPT(" ",30)),151,30))),0)+IFERROR(VALUE(TRIM(MID(SUBSTITUTE(SUBSTITUTE(SUBSTITUTE(UPPER($P311)," ",""),"C",""),";",REPT(" ",30)),181,30))),0)+IFERROR(VALUE(TRIM(MID(SUBSTITUTE(SUBSTITUTE(SUBSTITUTE(UPPER($P311)," ",""),"C",""),";",REPT(" ",30)),211,30))),0)))))</f>
        <v/>
      </c>
      <c r="S311" s="26" t="n"/>
      <c r="T311" s="6" t="n"/>
      <c r="U311" s="13" t="n"/>
      <c r="V311" s="27">
        <f>IF($C311="","",IF($E311="Falta","-",MAX(0,MIN(10,5+IFERROR(VALUE(TRIM(MID(SUBSTITUTE(SUBSTITUTE(SUBSTITUTE(UPPER($T311)," ",""),"P",""),";",REPT(" ",30)),1,30))),0)+IFERROR(VALUE(TRIM(MID(SUBSTITUTE(SUBSTITUTE(SUBSTITUTE(UPPER($T311)," ",""),"P",""),";",REPT(" ",30)),31,30))),0)+IFERROR(VALUE(TRIM(MID(SUBSTITUTE(SUBSTITUTE(SUBSTITUTE(UPPER($T311)," ",""),"P",""),";",REPT(" ",30)),61,30))),0)+IFERROR(VALUE(TRIM(MID(SUBSTITUTE(SUBSTITUTE(SUBSTITUTE(UPPER($T311)," ",""),"P",""),";",REPT(" ",30)),91,30))),0)+IFERROR(VALUE(TRIM(MID(SUBSTITUTE(SUBSTITUTE(SUBSTITUTE(UPPER($T311)," ",""),"P",""),";",REPT(" ",30)),121,30))),0)+IFERROR(VALUE(TRIM(MID(SUBSTITUTE(SUBSTITUTE(SUBSTITUTE(UPPER($T311)," ",""),"P",""),";",REPT(" ",30)),151,30))),0)+IFERROR(VALUE(TRIM(MID(SUBSTITUTE(SUBSTITUTE(SUBSTITUTE(UPPER($T311)," ",""),"P",""),";",REPT(" ",30)),181,30))),0)+IFERROR(VALUE(TRIM(MID(SUBSTITUTE(SUBSTITUTE(SUBSTITUTE(UPPER($T311)," ",""),"P",""),";",REPT(" ",30)),211,30))),0)))))</f>
        <v/>
      </c>
      <c r="W311" s="26" t="n"/>
      <c r="X311" s="13" t="n"/>
    </row>
    <row r="312">
      <c r="A312" s="6">
        <f>IF($C312="","",62)</f>
        <v/>
      </c>
      <c r="B312" s="6">
        <f>IF($C312="","","4ª Sessão")</f>
        <v/>
      </c>
      <c r="C312" s="6">
        <f>IF(Preenchimento!$B$71="","",Preenchimento!$B$71)</f>
        <v/>
      </c>
      <c r="D312" s="6">
        <f>IF($C312="","",IF(Preenchimento!$C$71="","-",Preenchimento!$C$71))</f>
        <v/>
      </c>
      <c r="E312" s="6" t="n"/>
      <c r="F312" s="6" t="n"/>
      <c r="G312" s="26" t="n"/>
      <c r="H312" s="6" t="n"/>
      <c r="I312" s="13" t="n"/>
      <c r="J312" s="27">
        <f>IF($C312="","",IF($E312="Falta","-",MAX(0,MIN(10,8+IFERROR(VALUE(TRIM(MID(SUBSTITUTE(SUBSTITUTE(SUBSTITUTE(UPPER($H312)," ",""),"D",""),";",REPT(" ",30)),1,30))),0)+IFERROR(VALUE(TRIM(MID(SUBSTITUTE(SUBSTITUTE(SUBSTITUTE(UPPER($H312)," ",""),"D",""),";",REPT(" ",30)),31,30))),0)+IFERROR(VALUE(TRIM(MID(SUBSTITUTE(SUBSTITUTE(SUBSTITUTE(UPPER($H312)," ",""),"D",""),";",REPT(" ",30)),61,30))),0)+IFERROR(VALUE(TRIM(MID(SUBSTITUTE(SUBSTITUTE(SUBSTITUTE(UPPER($H312)," ",""),"D",""),";",REPT(" ",30)),91,30))),0)+IFERROR(VALUE(TRIM(MID(SUBSTITUTE(SUBSTITUTE(SUBSTITUTE(UPPER($H312)," ",""),"D",""),";",REPT(" ",30)),121,30))),0)+IFERROR(VALUE(TRIM(MID(SUBSTITUTE(SUBSTITUTE(SUBSTITUTE(UPPER($H312)," ",""),"D",""),";",REPT(" ",30)),151,30))),0)+IFERROR(VALUE(TRIM(MID(SUBSTITUTE(SUBSTITUTE(SUBSTITUTE(UPPER($H312)," ",""),"D",""),";",REPT(" ",30)),181,30))),0)+IFERROR(VALUE(TRIM(MID(SUBSTITUTE(SUBSTITUTE(SUBSTITUTE(UPPER($H312)," ",""),"D",""),";",REPT(" ",30)),211,30))),0)))))</f>
        <v/>
      </c>
      <c r="K312" s="26" t="n"/>
      <c r="L312" s="6" t="n"/>
      <c r="M312" s="13" t="n"/>
      <c r="N312" s="27">
        <f>IF($C312="","",IF($E312="Falta","-",MAX(0,MIN(10,8+IFERROR(VALUE(TRIM(MID(SUBSTITUTE(SUBSTITUTE(SUBSTITUTE(UPPER($L312)," ",""),"F",""),";",REPT(" ",30)),1,30))),0)+IFERROR(VALUE(TRIM(MID(SUBSTITUTE(SUBSTITUTE(SUBSTITUTE(UPPER($L312)," ",""),"F",""),";",REPT(" ",30)),31,30))),0)+IFERROR(VALUE(TRIM(MID(SUBSTITUTE(SUBSTITUTE(SUBSTITUTE(UPPER($L312)," ",""),"F",""),";",REPT(" ",30)),61,30))),0)+IFERROR(VALUE(TRIM(MID(SUBSTITUTE(SUBSTITUTE(SUBSTITUTE(UPPER($L312)," ",""),"F",""),";",REPT(" ",30)),91,30))),0)+IFERROR(VALUE(TRIM(MID(SUBSTITUTE(SUBSTITUTE(SUBSTITUTE(UPPER($L312)," ",""),"F",""),";",REPT(" ",30)),121,30))),0)+IFERROR(VALUE(TRIM(MID(SUBSTITUTE(SUBSTITUTE(SUBSTITUTE(UPPER($L312)," ",""),"F",""),";",REPT(" ",30)),151,30))),0)+IFERROR(VALUE(TRIM(MID(SUBSTITUTE(SUBSTITUTE(SUBSTITUTE(UPPER($L312)," ",""),"F",""),";",REPT(" ",30)),181,30))),0)+IFERROR(VALUE(TRIM(MID(SUBSTITUTE(SUBSTITUTE(SUBSTITUTE(UPPER($L312)," ",""),"F",""),";",REPT(" ",30)),211,30))),0)))))</f>
        <v/>
      </c>
      <c r="O312" s="26" t="n"/>
      <c r="P312" s="6" t="n"/>
      <c r="Q312" s="13" t="n"/>
      <c r="R312" s="27">
        <f>IF($C312="","",IF($E312="Falta","-",MAX(0,MIN(10,5+IFERROR(VALUE(TRIM(MID(SUBSTITUTE(SUBSTITUTE(SUBSTITUTE(UPPER($P312)," ",""),"C",""),";",REPT(" ",30)),1,30))),0)+IFERROR(VALUE(TRIM(MID(SUBSTITUTE(SUBSTITUTE(SUBSTITUTE(UPPER($P312)," ",""),"C",""),";",REPT(" ",30)),31,30))),0)+IFERROR(VALUE(TRIM(MID(SUBSTITUTE(SUBSTITUTE(SUBSTITUTE(UPPER($P312)," ",""),"C",""),";",REPT(" ",30)),61,30))),0)+IFERROR(VALUE(TRIM(MID(SUBSTITUTE(SUBSTITUTE(SUBSTITUTE(UPPER($P312)," ",""),"C",""),";",REPT(" ",30)),91,30))),0)+IFERROR(VALUE(TRIM(MID(SUBSTITUTE(SUBSTITUTE(SUBSTITUTE(UPPER($P312)," ",""),"C",""),";",REPT(" ",30)),121,30))),0)+IFERROR(VALUE(TRIM(MID(SUBSTITUTE(SUBSTITUTE(SUBSTITUTE(UPPER($P312)," ",""),"C",""),";",REPT(" ",30)),151,30))),0)+IFERROR(VALUE(TRIM(MID(SUBSTITUTE(SUBSTITUTE(SUBSTITUTE(UPPER($P312)," ",""),"C",""),";",REPT(" ",30)),181,30))),0)+IFERROR(VALUE(TRIM(MID(SUBSTITUTE(SUBSTITUTE(SUBSTITUTE(UPPER($P312)," ",""),"C",""),";",REPT(" ",30)),211,30))),0)))))</f>
        <v/>
      </c>
      <c r="S312" s="26" t="n"/>
      <c r="T312" s="6" t="n"/>
      <c r="U312" s="13" t="n"/>
      <c r="V312" s="27">
        <f>IF($C312="","",IF($E312="Falta","-",MAX(0,MIN(10,5+IFERROR(VALUE(TRIM(MID(SUBSTITUTE(SUBSTITUTE(SUBSTITUTE(UPPER($T312)," ",""),"P",""),";",REPT(" ",30)),1,30))),0)+IFERROR(VALUE(TRIM(MID(SUBSTITUTE(SUBSTITUTE(SUBSTITUTE(UPPER($T312)," ",""),"P",""),";",REPT(" ",30)),31,30))),0)+IFERROR(VALUE(TRIM(MID(SUBSTITUTE(SUBSTITUTE(SUBSTITUTE(UPPER($T312)," ",""),"P",""),";",REPT(" ",30)),61,30))),0)+IFERROR(VALUE(TRIM(MID(SUBSTITUTE(SUBSTITUTE(SUBSTITUTE(UPPER($T312)," ",""),"P",""),";",REPT(" ",30)),91,30))),0)+IFERROR(VALUE(TRIM(MID(SUBSTITUTE(SUBSTITUTE(SUBSTITUTE(UPPER($T312)," ",""),"P",""),";",REPT(" ",30)),121,30))),0)+IFERROR(VALUE(TRIM(MID(SUBSTITUTE(SUBSTITUTE(SUBSTITUTE(UPPER($T312)," ",""),"P",""),";",REPT(" ",30)),151,30))),0)+IFERROR(VALUE(TRIM(MID(SUBSTITUTE(SUBSTITUTE(SUBSTITUTE(UPPER($T312)," ",""),"P",""),";",REPT(" ",30)),181,30))),0)+IFERROR(VALUE(TRIM(MID(SUBSTITUTE(SUBSTITUTE(SUBSTITUTE(UPPER($T312)," ",""),"P",""),";",REPT(" ",30)),211,30))),0)))))</f>
        <v/>
      </c>
      <c r="W312" s="26" t="n"/>
      <c r="X312" s="13" t="n"/>
    </row>
    <row r="313">
      <c r="A313" s="6">
        <f>IF($C313="","",62)</f>
        <v/>
      </c>
      <c r="B313" s="6">
        <f>IF($C313="","","5ª Sessão")</f>
        <v/>
      </c>
      <c r="C313" s="6">
        <f>IF(Preenchimento!$B$71="","",Preenchimento!$B$71)</f>
        <v/>
      </c>
      <c r="D313" s="6">
        <f>IF($C313="","",IF(Preenchimento!$C$71="","-",Preenchimento!$C$71))</f>
        <v/>
      </c>
      <c r="E313" s="6" t="n"/>
      <c r="F313" s="6" t="n"/>
      <c r="G313" s="26" t="n"/>
      <c r="H313" s="6" t="n"/>
      <c r="I313" s="13" t="n"/>
      <c r="J313" s="27">
        <f>IF($C313="","",IF($E313="Falta","-",MAX(0,MIN(10,8+IFERROR(VALUE(TRIM(MID(SUBSTITUTE(SUBSTITUTE(SUBSTITUTE(UPPER($H313)," ",""),"D",""),";",REPT(" ",30)),1,30))),0)+IFERROR(VALUE(TRIM(MID(SUBSTITUTE(SUBSTITUTE(SUBSTITUTE(UPPER($H313)," ",""),"D",""),";",REPT(" ",30)),31,30))),0)+IFERROR(VALUE(TRIM(MID(SUBSTITUTE(SUBSTITUTE(SUBSTITUTE(UPPER($H313)," ",""),"D",""),";",REPT(" ",30)),61,30))),0)+IFERROR(VALUE(TRIM(MID(SUBSTITUTE(SUBSTITUTE(SUBSTITUTE(UPPER($H313)," ",""),"D",""),";",REPT(" ",30)),91,30))),0)+IFERROR(VALUE(TRIM(MID(SUBSTITUTE(SUBSTITUTE(SUBSTITUTE(UPPER($H313)," ",""),"D",""),";",REPT(" ",30)),121,30))),0)+IFERROR(VALUE(TRIM(MID(SUBSTITUTE(SUBSTITUTE(SUBSTITUTE(UPPER($H313)," ",""),"D",""),";",REPT(" ",30)),151,30))),0)+IFERROR(VALUE(TRIM(MID(SUBSTITUTE(SUBSTITUTE(SUBSTITUTE(UPPER($H313)," ",""),"D",""),";",REPT(" ",30)),181,30))),0)+IFERROR(VALUE(TRIM(MID(SUBSTITUTE(SUBSTITUTE(SUBSTITUTE(UPPER($H313)," ",""),"D",""),";",REPT(" ",30)),211,30))),0)))))</f>
        <v/>
      </c>
      <c r="K313" s="26" t="n"/>
      <c r="L313" s="6" t="n"/>
      <c r="M313" s="13" t="n"/>
      <c r="N313" s="27">
        <f>IF($C313="","",IF($E313="Falta","-",MAX(0,MIN(10,8+IFERROR(VALUE(TRIM(MID(SUBSTITUTE(SUBSTITUTE(SUBSTITUTE(UPPER($L313)," ",""),"F",""),";",REPT(" ",30)),1,30))),0)+IFERROR(VALUE(TRIM(MID(SUBSTITUTE(SUBSTITUTE(SUBSTITUTE(UPPER($L313)," ",""),"F",""),";",REPT(" ",30)),31,30))),0)+IFERROR(VALUE(TRIM(MID(SUBSTITUTE(SUBSTITUTE(SUBSTITUTE(UPPER($L313)," ",""),"F",""),";",REPT(" ",30)),61,30))),0)+IFERROR(VALUE(TRIM(MID(SUBSTITUTE(SUBSTITUTE(SUBSTITUTE(UPPER($L313)," ",""),"F",""),";",REPT(" ",30)),91,30))),0)+IFERROR(VALUE(TRIM(MID(SUBSTITUTE(SUBSTITUTE(SUBSTITUTE(UPPER($L313)," ",""),"F",""),";",REPT(" ",30)),121,30))),0)+IFERROR(VALUE(TRIM(MID(SUBSTITUTE(SUBSTITUTE(SUBSTITUTE(UPPER($L313)," ",""),"F",""),";",REPT(" ",30)),151,30))),0)+IFERROR(VALUE(TRIM(MID(SUBSTITUTE(SUBSTITUTE(SUBSTITUTE(UPPER($L313)," ",""),"F",""),";",REPT(" ",30)),181,30))),0)+IFERROR(VALUE(TRIM(MID(SUBSTITUTE(SUBSTITUTE(SUBSTITUTE(UPPER($L313)," ",""),"F",""),";",REPT(" ",30)),211,30))),0)))))</f>
        <v/>
      </c>
      <c r="O313" s="26" t="n"/>
      <c r="P313" s="6" t="n"/>
      <c r="Q313" s="13" t="n"/>
      <c r="R313" s="27">
        <f>IF($C313="","",IF($E313="Falta","-",MAX(0,MIN(10,5+IFERROR(VALUE(TRIM(MID(SUBSTITUTE(SUBSTITUTE(SUBSTITUTE(UPPER($P313)," ",""),"C",""),";",REPT(" ",30)),1,30))),0)+IFERROR(VALUE(TRIM(MID(SUBSTITUTE(SUBSTITUTE(SUBSTITUTE(UPPER($P313)," ",""),"C",""),";",REPT(" ",30)),31,30))),0)+IFERROR(VALUE(TRIM(MID(SUBSTITUTE(SUBSTITUTE(SUBSTITUTE(UPPER($P313)," ",""),"C",""),";",REPT(" ",30)),61,30))),0)+IFERROR(VALUE(TRIM(MID(SUBSTITUTE(SUBSTITUTE(SUBSTITUTE(UPPER($P313)," ",""),"C",""),";",REPT(" ",30)),91,30))),0)+IFERROR(VALUE(TRIM(MID(SUBSTITUTE(SUBSTITUTE(SUBSTITUTE(UPPER($P313)," ",""),"C",""),";",REPT(" ",30)),121,30))),0)+IFERROR(VALUE(TRIM(MID(SUBSTITUTE(SUBSTITUTE(SUBSTITUTE(UPPER($P313)," ",""),"C",""),";",REPT(" ",30)),151,30))),0)+IFERROR(VALUE(TRIM(MID(SUBSTITUTE(SUBSTITUTE(SUBSTITUTE(UPPER($P313)," ",""),"C",""),";",REPT(" ",30)),181,30))),0)+IFERROR(VALUE(TRIM(MID(SUBSTITUTE(SUBSTITUTE(SUBSTITUTE(UPPER($P313)," ",""),"C",""),";",REPT(" ",30)),211,30))),0)))))</f>
        <v/>
      </c>
      <c r="S313" s="26" t="n"/>
      <c r="T313" s="6" t="n"/>
      <c r="U313" s="13" t="n"/>
      <c r="V313" s="27">
        <f>IF($C313="","",IF($E313="Falta","-",MAX(0,MIN(10,5+IFERROR(VALUE(TRIM(MID(SUBSTITUTE(SUBSTITUTE(SUBSTITUTE(UPPER($T313)," ",""),"P",""),";",REPT(" ",30)),1,30))),0)+IFERROR(VALUE(TRIM(MID(SUBSTITUTE(SUBSTITUTE(SUBSTITUTE(UPPER($T313)," ",""),"P",""),";",REPT(" ",30)),31,30))),0)+IFERROR(VALUE(TRIM(MID(SUBSTITUTE(SUBSTITUTE(SUBSTITUTE(UPPER($T313)," ",""),"P",""),";",REPT(" ",30)),61,30))),0)+IFERROR(VALUE(TRIM(MID(SUBSTITUTE(SUBSTITUTE(SUBSTITUTE(UPPER($T313)," ",""),"P",""),";",REPT(" ",30)),91,30))),0)+IFERROR(VALUE(TRIM(MID(SUBSTITUTE(SUBSTITUTE(SUBSTITUTE(UPPER($T313)," ",""),"P",""),";",REPT(" ",30)),121,30))),0)+IFERROR(VALUE(TRIM(MID(SUBSTITUTE(SUBSTITUTE(SUBSTITUTE(UPPER($T313)," ",""),"P",""),";",REPT(" ",30)),151,30))),0)+IFERROR(VALUE(TRIM(MID(SUBSTITUTE(SUBSTITUTE(SUBSTITUTE(UPPER($T313)," ",""),"P",""),";",REPT(" ",30)),181,30))),0)+IFERROR(VALUE(TRIM(MID(SUBSTITUTE(SUBSTITUTE(SUBSTITUTE(UPPER($T313)," ",""),"P",""),";",REPT(" ",30)),211,30))),0)))))</f>
        <v/>
      </c>
      <c r="W313" s="26" t="n"/>
      <c r="X313" s="13" t="n"/>
    </row>
    <row r="314">
      <c r="A314" s="8">
        <f>IF($C314="","",63)</f>
        <v/>
      </c>
      <c r="B314" s="8">
        <f>IF($C314="","","1ª Sessão")</f>
        <v/>
      </c>
      <c r="C314" s="8">
        <f>IF(Preenchimento!$B$72="","",Preenchimento!$B$72)</f>
        <v/>
      </c>
      <c r="D314" s="8">
        <f>IF($C314="","",IF(Preenchimento!$C$72="","-",Preenchimento!$C$72))</f>
        <v/>
      </c>
      <c r="E314" s="8" t="n"/>
      <c r="F314" s="8" t="n"/>
      <c r="G314" s="24" t="n"/>
      <c r="H314" s="8" t="n"/>
      <c r="I314" s="14" t="n"/>
      <c r="J314" s="25">
        <f>IF($C314="","",IF($E314="Falta","-",MAX(0,MIN(10,8+IFERROR(VALUE(TRIM(MID(SUBSTITUTE(SUBSTITUTE(SUBSTITUTE(UPPER($H314)," ",""),"D",""),";",REPT(" ",30)),1,30))),0)+IFERROR(VALUE(TRIM(MID(SUBSTITUTE(SUBSTITUTE(SUBSTITUTE(UPPER($H314)," ",""),"D",""),";",REPT(" ",30)),31,30))),0)+IFERROR(VALUE(TRIM(MID(SUBSTITUTE(SUBSTITUTE(SUBSTITUTE(UPPER($H314)," ",""),"D",""),";",REPT(" ",30)),61,30))),0)+IFERROR(VALUE(TRIM(MID(SUBSTITUTE(SUBSTITUTE(SUBSTITUTE(UPPER($H314)," ",""),"D",""),";",REPT(" ",30)),91,30))),0)+IFERROR(VALUE(TRIM(MID(SUBSTITUTE(SUBSTITUTE(SUBSTITUTE(UPPER($H314)," ",""),"D",""),";",REPT(" ",30)),121,30))),0)+IFERROR(VALUE(TRIM(MID(SUBSTITUTE(SUBSTITUTE(SUBSTITUTE(UPPER($H314)," ",""),"D",""),";",REPT(" ",30)),151,30))),0)+IFERROR(VALUE(TRIM(MID(SUBSTITUTE(SUBSTITUTE(SUBSTITUTE(UPPER($H314)," ",""),"D",""),";",REPT(" ",30)),181,30))),0)+IFERROR(VALUE(TRIM(MID(SUBSTITUTE(SUBSTITUTE(SUBSTITUTE(UPPER($H314)," ",""),"D",""),";",REPT(" ",30)),211,30))),0)))))</f>
        <v/>
      </c>
      <c r="K314" s="24" t="n"/>
      <c r="L314" s="8" t="n"/>
      <c r="M314" s="14" t="n"/>
      <c r="N314" s="25">
        <f>IF($C314="","",IF($E314="Falta","-",MAX(0,MIN(10,8+IFERROR(VALUE(TRIM(MID(SUBSTITUTE(SUBSTITUTE(SUBSTITUTE(UPPER($L314)," ",""),"F",""),";",REPT(" ",30)),1,30))),0)+IFERROR(VALUE(TRIM(MID(SUBSTITUTE(SUBSTITUTE(SUBSTITUTE(UPPER($L314)," ",""),"F",""),";",REPT(" ",30)),31,30))),0)+IFERROR(VALUE(TRIM(MID(SUBSTITUTE(SUBSTITUTE(SUBSTITUTE(UPPER($L314)," ",""),"F",""),";",REPT(" ",30)),61,30))),0)+IFERROR(VALUE(TRIM(MID(SUBSTITUTE(SUBSTITUTE(SUBSTITUTE(UPPER($L314)," ",""),"F",""),";",REPT(" ",30)),91,30))),0)+IFERROR(VALUE(TRIM(MID(SUBSTITUTE(SUBSTITUTE(SUBSTITUTE(UPPER($L314)," ",""),"F",""),";",REPT(" ",30)),121,30))),0)+IFERROR(VALUE(TRIM(MID(SUBSTITUTE(SUBSTITUTE(SUBSTITUTE(UPPER($L314)," ",""),"F",""),";",REPT(" ",30)),151,30))),0)+IFERROR(VALUE(TRIM(MID(SUBSTITUTE(SUBSTITUTE(SUBSTITUTE(UPPER($L314)," ",""),"F",""),";",REPT(" ",30)),181,30))),0)+IFERROR(VALUE(TRIM(MID(SUBSTITUTE(SUBSTITUTE(SUBSTITUTE(UPPER($L314)," ",""),"F",""),";",REPT(" ",30)),211,30))),0)))))</f>
        <v/>
      </c>
      <c r="O314" s="24" t="n"/>
      <c r="P314" s="8" t="n"/>
      <c r="Q314" s="14" t="n"/>
      <c r="R314" s="25">
        <f>IF($C314="","",IF($E314="Falta","-",MAX(0,MIN(10,5+IFERROR(VALUE(TRIM(MID(SUBSTITUTE(SUBSTITUTE(SUBSTITUTE(UPPER($P314)," ",""),"C",""),";",REPT(" ",30)),1,30))),0)+IFERROR(VALUE(TRIM(MID(SUBSTITUTE(SUBSTITUTE(SUBSTITUTE(UPPER($P314)," ",""),"C",""),";",REPT(" ",30)),31,30))),0)+IFERROR(VALUE(TRIM(MID(SUBSTITUTE(SUBSTITUTE(SUBSTITUTE(UPPER($P314)," ",""),"C",""),";",REPT(" ",30)),61,30))),0)+IFERROR(VALUE(TRIM(MID(SUBSTITUTE(SUBSTITUTE(SUBSTITUTE(UPPER($P314)," ",""),"C",""),";",REPT(" ",30)),91,30))),0)+IFERROR(VALUE(TRIM(MID(SUBSTITUTE(SUBSTITUTE(SUBSTITUTE(UPPER($P314)," ",""),"C",""),";",REPT(" ",30)),121,30))),0)+IFERROR(VALUE(TRIM(MID(SUBSTITUTE(SUBSTITUTE(SUBSTITUTE(UPPER($P314)," ",""),"C",""),";",REPT(" ",30)),151,30))),0)+IFERROR(VALUE(TRIM(MID(SUBSTITUTE(SUBSTITUTE(SUBSTITUTE(UPPER($P314)," ",""),"C",""),";",REPT(" ",30)),181,30))),0)+IFERROR(VALUE(TRIM(MID(SUBSTITUTE(SUBSTITUTE(SUBSTITUTE(UPPER($P314)," ",""),"C",""),";",REPT(" ",30)),211,30))),0)))))</f>
        <v/>
      </c>
      <c r="S314" s="24" t="n"/>
      <c r="T314" s="8" t="n"/>
      <c r="U314" s="14" t="n"/>
      <c r="V314" s="25">
        <f>IF($C314="","",IF($E314="Falta","-",MAX(0,MIN(10,5+IFERROR(VALUE(TRIM(MID(SUBSTITUTE(SUBSTITUTE(SUBSTITUTE(UPPER($T314)," ",""),"P",""),";",REPT(" ",30)),1,30))),0)+IFERROR(VALUE(TRIM(MID(SUBSTITUTE(SUBSTITUTE(SUBSTITUTE(UPPER($T314)," ",""),"P",""),";",REPT(" ",30)),31,30))),0)+IFERROR(VALUE(TRIM(MID(SUBSTITUTE(SUBSTITUTE(SUBSTITUTE(UPPER($T314)," ",""),"P",""),";",REPT(" ",30)),61,30))),0)+IFERROR(VALUE(TRIM(MID(SUBSTITUTE(SUBSTITUTE(SUBSTITUTE(UPPER($T314)," ",""),"P",""),";",REPT(" ",30)),91,30))),0)+IFERROR(VALUE(TRIM(MID(SUBSTITUTE(SUBSTITUTE(SUBSTITUTE(UPPER($T314)," ",""),"P",""),";",REPT(" ",30)),121,30))),0)+IFERROR(VALUE(TRIM(MID(SUBSTITUTE(SUBSTITUTE(SUBSTITUTE(UPPER($T314)," ",""),"P",""),";",REPT(" ",30)),151,30))),0)+IFERROR(VALUE(TRIM(MID(SUBSTITUTE(SUBSTITUTE(SUBSTITUTE(UPPER($T314)," ",""),"P",""),";",REPT(" ",30)),181,30))),0)+IFERROR(VALUE(TRIM(MID(SUBSTITUTE(SUBSTITUTE(SUBSTITUTE(UPPER($T314)," ",""),"P",""),";",REPT(" ",30)),211,30))),0)))))</f>
        <v/>
      </c>
      <c r="W314" s="24" t="n"/>
      <c r="X314" s="14" t="n"/>
    </row>
    <row r="315">
      <c r="A315" s="8">
        <f>IF($C315="","",63)</f>
        <v/>
      </c>
      <c r="B315" s="8">
        <f>IF($C315="","","2ª Sessão")</f>
        <v/>
      </c>
      <c r="C315" s="8">
        <f>IF(Preenchimento!$B$72="","",Preenchimento!$B$72)</f>
        <v/>
      </c>
      <c r="D315" s="8">
        <f>IF($C315="","",IF(Preenchimento!$C$72="","-",Preenchimento!$C$72))</f>
        <v/>
      </c>
      <c r="E315" s="8" t="n"/>
      <c r="F315" s="8" t="n"/>
      <c r="G315" s="24" t="n"/>
      <c r="H315" s="8" t="n"/>
      <c r="I315" s="14" t="n"/>
      <c r="J315" s="25">
        <f>IF($C315="","",IF($E315="Falta","-",MAX(0,MIN(10,8+IFERROR(VALUE(TRIM(MID(SUBSTITUTE(SUBSTITUTE(SUBSTITUTE(UPPER($H315)," ",""),"D",""),";",REPT(" ",30)),1,30))),0)+IFERROR(VALUE(TRIM(MID(SUBSTITUTE(SUBSTITUTE(SUBSTITUTE(UPPER($H315)," ",""),"D",""),";",REPT(" ",30)),31,30))),0)+IFERROR(VALUE(TRIM(MID(SUBSTITUTE(SUBSTITUTE(SUBSTITUTE(UPPER($H315)," ",""),"D",""),";",REPT(" ",30)),61,30))),0)+IFERROR(VALUE(TRIM(MID(SUBSTITUTE(SUBSTITUTE(SUBSTITUTE(UPPER($H315)," ",""),"D",""),";",REPT(" ",30)),91,30))),0)+IFERROR(VALUE(TRIM(MID(SUBSTITUTE(SUBSTITUTE(SUBSTITUTE(UPPER($H315)," ",""),"D",""),";",REPT(" ",30)),121,30))),0)+IFERROR(VALUE(TRIM(MID(SUBSTITUTE(SUBSTITUTE(SUBSTITUTE(UPPER($H315)," ",""),"D",""),";",REPT(" ",30)),151,30))),0)+IFERROR(VALUE(TRIM(MID(SUBSTITUTE(SUBSTITUTE(SUBSTITUTE(UPPER($H315)," ",""),"D",""),";",REPT(" ",30)),181,30))),0)+IFERROR(VALUE(TRIM(MID(SUBSTITUTE(SUBSTITUTE(SUBSTITUTE(UPPER($H315)," ",""),"D",""),";",REPT(" ",30)),211,30))),0)))))</f>
        <v/>
      </c>
      <c r="K315" s="24" t="n"/>
      <c r="L315" s="8" t="n"/>
      <c r="M315" s="14" t="n"/>
      <c r="N315" s="25">
        <f>IF($C315="","",IF($E315="Falta","-",MAX(0,MIN(10,8+IFERROR(VALUE(TRIM(MID(SUBSTITUTE(SUBSTITUTE(SUBSTITUTE(UPPER($L315)," ",""),"F",""),";",REPT(" ",30)),1,30))),0)+IFERROR(VALUE(TRIM(MID(SUBSTITUTE(SUBSTITUTE(SUBSTITUTE(UPPER($L315)," ",""),"F",""),";",REPT(" ",30)),31,30))),0)+IFERROR(VALUE(TRIM(MID(SUBSTITUTE(SUBSTITUTE(SUBSTITUTE(UPPER($L315)," ",""),"F",""),";",REPT(" ",30)),61,30))),0)+IFERROR(VALUE(TRIM(MID(SUBSTITUTE(SUBSTITUTE(SUBSTITUTE(UPPER($L315)," ",""),"F",""),";",REPT(" ",30)),91,30))),0)+IFERROR(VALUE(TRIM(MID(SUBSTITUTE(SUBSTITUTE(SUBSTITUTE(UPPER($L315)," ",""),"F",""),";",REPT(" ",30)),121,30))),0)+IFERROR(VALUE(TRIM(MID(SUBSTITUTE(SUBSTITUTE(SUBSTITUTE(UPPER($L315)," ",""),"F",""),";",REPT(" ",30)),151,30))),0)+IFERROR(VALUE(TRIM(MID(SUBSTITUTE(SUBSTITUTE(SUBSTITUTE(UPPER($L315)," ",""),"F",""),";",REPT(" ",30)),181,30))),0)+IFERROR(VALUE(TRIM(MID(SUBSTITUTE(SUBSTITUTE(SUBSTITUTE(UPPER($L315)," ",""),"F",""),";",REPT(" ",30)),211,30))),0)))))</f>
        <v/>
      </c>
      <c r="O315" s="24" t="n"/>
      <c r="P315" s="8" t="n"/>
      <c r="Q315" s="14" t="n"/>
      <c r="R315" s="25">
        <f>IF($C315="","",IF($E315="Falta","-",MAX(0,MIN(10,5+IFERROR(VALUE(TRIM(MID(SUBSTITUTE(SUBSTITUTE(SUBSTITUTE(UPPER($P315)," ",""),"C",""),";",REPT(" ",30)),1,30))),0)+IFERROR(VALUE(TRIM(MID(SUBSTITUTE(SUBSTITUTE(SUBSTITUTE(UPPER($P315)," ",""),"C",""),";",REPT(" ",30)),31,30))),0)+IFERROR(VALUE(TRIM(MID(SUBSTITUTE(SUBSTITUTE(SUBSTITUTE(UPPER($P315)," ",""),"C",""),";",REPT(" ",30)),61,30))),0)+IFERROR(VALUE(TRIM(MID(SUBSTITUTE(SUBSTITUTE(SUBSTITUTE(UPPER($P315)," ",""),"C",""),";",REPT(" ",30)),91,30))),0)+IFERROR(VALUE(TRIM(MID(SUBSTITUTE(SUBSTITUTE(SUBSTITUTE(UPPER($P315)," ",""),"C",""),";",REPT(" ",30)),121,30))),0)+IFERROR(VALUE(TRIM(MID(SUBSTITUTE(SUBSTITUTE(SUBSTITUTE(UPPER($P315)," ",""),"C",""),";",REPT(" ",30)),151,30))),0)+IFERROR(VALUE(TRIM(MID(SUBSTITUTE(SUBSTITUTE(SUBSTITUTE(UPPER($P315)," ",""),"C",""),";",REPT(" ",30)),181,30))),0)+IFERROR(VALUE(TRIM(MID(SUBSTITUTE(SUBSTITUTE(SUBSTITUTE(UPPER($P315)," ",""),"C",""),";",REPT(" ",30)),211,30))),0)))))</f>
        <v/>
      </c>
      <c r="S315" s="24" t="n"/>
      <c r="T315" s="8" t="n"/>
      <c r="U315" s="14" t="n"/>
      <c r="V315" s="25">
        <f>IF($C315="","",IF($E315="Falta","-",MAX(0,MIN(10,5+IFERROR(VALUE(TRIM(MID(SUBSTITUTE(SUBSTITUTE(SUBSTITUTE(UPPER($T315)," ",""),"P",""),";",REPT(" ",30)),1,30))),0)+IFERROR(VALUE(TRIM(MID(SUBSTITUTE(SUBSTITUTE(SUBSTITUTE(UPPER($T315)," ",""),"P",""),";",REPT(" ",30)),31,30))),0)+IFERROR(VALUE(TRIM(MID(SUBSTITUTE(SUBSTITUTE(SUBSTITUTE(UPPER($T315)," ",""),"P",""),";",REPT(" ",30)),61,30))),0)+IFERROR(VALUE(TRIM(MID(SUBSTITUTE(SUBSTITUTE(SUBSTITUTE(UPPER($T315)," ",""),"P",""),";",REPT(" ",30)),91,30))),0)+IFERROR(VALUE(TRIM(MID(SUBSTITUTE(SUBSTITUTE(SUBSTITUTE(UPPER($T315)," ",""),"P",""),";",REPT(" ",30)),121,30))),0)+IFERROR(VALUE(TRIM(MID(SUBSTITUTE(SUBSTITUTE(SUBSTITUTE(UPPER($T315)," ",""),"P",""),";",REPT(" ",30)),151,30))),0)+IFERROR(VALUE(TRIM(MID(SUBSTITUTE(SUBSTITUTE(SUBSTITUTE(UPPER($T315)," ",""),"P",""),";",REPT(" ",30)),181,30))),0)+IFERROR(VALUE(TRIM(MID(SUBSTITUTE(SUBSTITUTE(SUBSTITUTE(UPPER($T315)," ",""),"P",""),";",REPT(" ",30)),211,30))),0)))))</f>
        <v/>
      </c>
      <c r="W315" s="24" t="n"/>
      <c r="X315" s="14" t="n"/>
    </row>
    <row r="316">
      <c r="A316" s="8">
        <f>IF($C316="","",63)</f>
        <v/>
      </c>
      <c r="B316" s="8">
        <f>IF($C316="","","3ª Sessão")</f>
        <v/>
      </c>
      <c r="C316" s="8">
        <f>IF(Preenchimento!$B$72="","",Preenchimento!$B$72)</f>
        <v/>
      </c>
      <c r="D316" s="8">
        <f>IF($C316="","",IF(Preenchimento!$C$72="","-",Preenchimento!$C$72))</f>
        <v/>
      </c>
      <c r="E316" s="8" t="n"/>
      <c r="F316" s="8" t="n"/>
      <c r="G316" s="24" t="n"/>
      <c r="H316" s="8" t="n"/>
      <c r="I316" s="14" t="n"/>
      <c r="J316" s="25">
        <f>IF($C316="","",IF($E316="Falta","-",MAX(0,MIN(10,8+IFERROR(VALUE(TRIM(MID(SUBSTITUTE(SUBSTITUTE(SUBSTITUTE(UPPER($H316)," ",""),"D",""),";",REPT(" ",30)),1,30))),0)+IFERROR(VALUE(TRIM(MID(SUBSTITUTE(SUBSTITUTE(SUBSTITUTE(UPPER($H316)," ",""),"D",""),";",REPT(" ",30)),31,30))),0)+IFERROR(VALUE(TRIM(MID(SUBSTITUTE(SUBSTITUTE(SUBSTITUTE(UPPER($H316)," ",""),"D",""),";",REPT(" ",30)),61,30))),0)+IFERROR(VALUE(TRIM(MID(SUBSTITUTE(SUBSTITUTE(SUBSTITUTE(UPPER($H316)," ",""),"D",""),";",REPT(" ",30)),91,30))),0)+IFERROR(VALUE(TRIM(MID(SUBSTITUTE(SUBSTITUTE(SUBSTITUTE(UPPER($H316)," ",""),"D",""),";",REPT(" ",30)),121,30))),0)+IFERROR(VALUE(TRIM(MID(SUBSTITUTE(SUBSTITUTE(SUBSTITUTE(UPPER($H316)," ",""),"D",""),";",REPT(" ",30)),151,30))),0)+IFERROR(VALUE(TRIM(MID(SUBSTITUTE(SUBSTITUTE(SUBSTITUTE(UPPER($H316)," ",""),"D",""),";",REPT(" ",30)),181,30))),0)+IFERROR(VALUE(TRIM(MID(SUBSTITUTE(SUBSTITUTE(SUBSTITUTE(UPPER($H316)," ",""),"D",""),";",REPT(" ",30)),211,30))),0)))))</f>
        <v/>
      </c>
      <c r="K316" s="24" t="n"/>
      <c r="L316" s="8" t="n"/>
      <c r="M316" s="14" t="n"/>
      <c r="N316" s="25">
        <f>IF($C316="","",IF($E316="Falta","-",MAX(0,MIN(10,8+IFERROR(VALUE(TRIM(MID(SUBSTITUTE(SUBSTITUTE(SUBSTITUTE(UPPER($L316)," ",""),"F",""),";",REPT(" ",30)),1,30))),0)+IFERROR(VALUE(TRIM(MID(SUBSTITUTE(SUBSTITUTE(SUBSTITUTE(UPPER($L316)," ",""),"F",""),";",REPT(" ",30)),31,30))),0)+IFERROR(VALUE(TRIM(MID(SUBSTITUTE(SUBSTITUTE(SUBSTITUTE(UPPER($L316)," ",""),"F",""),";",REPT(" ",30)),61,30))),0)+IFERROR(VALUE(TRIM(MID(SUBSTITUTE(SUBSTITUTE(SUBSTITUTE(UPPER($L316)," ",""),"F",""),";",REPT(" ",30)),91,30))),0)+IFERROR(VALUE(TRIM(MID(SUBSTITUTE(SUBSTITUTE(SUBSTITUTE(UPPER($L316)," ",""),"F",""),";",REPT(" ",30)),121,30))),0)+IFERROR(VALUE(TRIM(MID(SUBSTITUTE(SUBSTITUTE(SUBSTITUTE(UPPER($L316)," ",""),"F",""),";",REPT(" ",30)),151,30))),0)+IFERROR(VALUE(TRIM(MID(SUBSTITUTE(SUBSTITUTE(SUBSTITUTE(UPPER($L316)," ",""),"F",""),";",REPT(" ",30)),181,30))),0)+IFERROR(VALUE(TRIM(MID(SUBSTITUTE(SUBSTITUTE(SUBSTITUTE(UPPER($L316)," ",""),"F",""),";",REPT(" ",30)),211,30))),0)))))</f>
        <v/>
      </c>
      <c r="O316" s="24" t="n"/>
      <c r="P316" s="8" t="n"/>
      <c r="Q316" s="14" t="n"/>
      <c r="R316" s="25">
        <f>IF($C316="","",IF($E316="Falta","-",MAX(0,MIN(10,5+IFERROR(VALUE(TRIM(MID(SUBSTITUTE(SUBSTITUTE(SUBSTITUTE(UPPER($P316)," ",""),"C",""),";",REPT(" ",30)),1,30))),0)+IFERROR(VALUE(TRIM(MID(SUBSTITUTE(SUBSTITUTE(SUBSTITUTE(UPPER($P316)," ",""),"C",""),";",REPT(" ",30)),31,30))),0)+IFERROR(VALUE(TRIM(MID(SUBSTITUTE(SUBSTITUTE(SUBSTITUTE(UPPER($P316)," ",""),"C",""),";",REPT(" ",30)),61,30))),0)+IFERROR(VALUE(TRIM(MID(SUBSTITUTE(SUBSTITUTE(SUBSTITUTE(UPPER($P316)," ",""),"C",""),";",REPT(" ",30)),91,30))),0)+IFERROR(VALUE(TRIM(MID(SUBSTITUTE(SUBSTITUTE(SUBSTITUTE(UPPER($P316)," ",""),"C",""),";",REPT(" ",30)),121,30))),0)+IFERROR(VALUE(TRIM(MID(SUBSTITUTE(SUBSTITUTE(SUBSTITUTE(UPPER($P316)," ",""),"C",""),";",REPT(" ",30)),151,30))),0)+IFERROR(VALUE(TRIM(MID(SUBSTITUTE(SUBSTITUTE(SUBSTITUTE(UPPER($P316)," ",""),"C",""),";",REPT(" ",30)),181,30))),0)+IFERROR(VALUE(TRIM(MID(SUBSTITUTE(SUBSTITUTE(SUBSTITUTE(UPPER($P316)," ",""),"C",""),";",REPT(" ",30)),211,30))),0)))))</f>
        <v/>
      </c>
      <c r="S316" s="24" t="n"/>
      <c r="T316" s="8" t="n"/>
      <c r="U316" s="14" t="n"/>
      <c r="V316" s="25">
        <f>IF($C316="","",IF($E316="Falta","-",MAX(0,MIN(10,5+IFERROR(VALUE(TRIM(MID(SUBSTITUTE(SUBSTITUTE(SUBSTITUTE(UPPER($T316)," ",""),"P",""),";",REPT(" ",30)),1,30))),0)+IFERROR(VALUE(TRIM(MID(SUBSTITUTE(SUBSTITUTE(SUBSTITUTE(UPPER($T316)," ",""),"P",""),";",REPT(" ",30)),31,30))),0)+IFERROR(VALUE(TRIM(MID(SUBSTITUTE(SUBSTITUTE(SUBSTITUTE(UPPER($T316)," ",""),"P",""),";",REPT(" ",30)),61,30))),0)+IFERROR(VALUE(TRIM(MID(SUBSTITUTE(SUBSTITUTE(SUBSTITUTE(UPPER($T316)," ",""),"P",""),";",REPT(" ",30)),91,30))),0)+IFERROR(VALUE(TRIM(MID(SUBSTITUTE(SUBSTITUTE(SUBSTITUTE(UPPER($T316)," ",""),"P",""),";",REPT(" ",30)),121,30))),0)+IFERROR(VALUE(TRIM(MID(SUBSTITUTE(SUBSTITUTE(SUBSTITUTE(UPPER($T316)," ",""),"P",""),";",REPT(" ",30)),151,30))),0)+IFERROR(VALUE(TRIM(MID(SUBSTITUTE(SUBSTITUTE(SUBSTITUTE(UPPER($T316)," ",""),"P",""),";",REPT(" ",30)),181,30))),0)+IFERROR(VALUE(TRIM(MID(SUBSTITUTE(SUBSTITUTE(SUBSTITUTE(UPPER($T316)," ",""),"P",""),";",REPT(" ",30)),211,30))),0)))))</f>
        <v/>
      </c>
      <c r="W316" s="24" t="n"/>
      <c r="X316" s="14" t="n"/>
    </row>
    <row r="317">
      <c r="A317" s="8">
        <f>IF($C317="","",63)</f>
        <v/>
      </c>
      <c r="B317" s="8">
        <f>IF($C317="","","4ª Sessão")</f>
        <v/>
      </c>
      <c r="C317" s="8">
        <f>IF(Preenchimento!$B$72="","",Preenchimento!$B$72)</f>
        <v/>
      </c>
      <c r="D317" s="8">
        <f>IF($C317="","",IF(Preenchimento!$C$72="","-",Preenchimento!$C$72))</f>
        <v/>
      </c>
      <c r="E317" s="8" t="n"/>
      <c r="F317" s="8" t="n"/>
      <c r="G317" s="24" t="n"/>
      <c r="H317" s="8" t="n"/>
      <c r="I317" s="14" t="n"/>
      <c r="J317" s="25">
        <f>IF($C317="","",IF($E317="Falta","-",MAX(0,MIN(10,8+IFERROR(VALUE(TRIM(MID(SUBSTITUTE(SUBSTITUTE(SUBSTITUTE(UPPER($H317)," ",""),"D",""),";",REPT(" ",30)),1,30))),0)+IFERROR(VALUE(TRIM(MID(SUBSTITUTE(SUBSTITUTE(SUBSTITUTE(UPPER($H317)," ",""),"D",""),";",REPT(" ",30)),31,30))),0)+IFERROR(VALUE(TRIM(MID(SUBSTITUTE(SUBSTITUTE(SUBSTITUTE(UPPER($H317)," ",""),"D",""),";",REPT(" ",30)),61,30))),0)+IFERROR(VALUE(TRIM(MID(SUBSTITUTE(SUBSTITUTE(SUBSTITUTE(UPPER($H317)," ",""),"D",""),";",REPT(" ",30)),91,30))),0)+IFERROR(VALUE(TRIM(MID(SUBSTITUTE(SUBSTITUTE(SUBSTITUTE(UPPER($H317)," ",""),"D",""),";",REPT(" ",30)),121,30))),0)+IFERROR(VALUE(TRIM(MID(SUBSTITUTE(SUBSTITUTE(SUBSTITUTE(UPPER($H317)," ",""),"D",""),";",REPT(" ",30)),151,30))),0)+IFERROR(VALUE(TRIM(MID(SUBSTITUTE(SUBSTITUTE(SUBSTITUTE(UPPER($H317)," ",""),"D",""),";",REPT(" ",30)),181,30))),0)+IFERROR(VALUE(TRIM(MID(SUBSTITUTE(SUBSTITUTE(SUBSTITUTE(UPPER($H317)," ",""),"D",""),";",REPT(" ",30)),211,30))),0)))))</f>
        <v/>
      </c>
      <c r="K317" s="24" t="n"/>
      <c r="L317" s="8" t="n"/>
      <c r="M317" s="14" t="n"/>
      <c r="N317" s="25">
        <f>IF($C317="","",IF($E317="Falta","-",MAX(0,MIN(10,8+IFERROR(VALUE(TRIM(MID(SUBSTITUTE(SUBSTITUTE(SUBSTITUTE(UPPER($L317)," ",""),"F",""),";",REPT(" ",30)),1,30))),0)+IFERROR(VALUE(TRIM(MID(SUBSTITUTE(SUBSTITUTE(SUBSTITUTE(UPPER($L317)," ",""),"F",""),";",REPT(" ",30)),31,30))),0)+IFERROR(VALUE(TRIM(MID(SUBSTITUTE(SUBSTITUTE(SUBSTITUTE(UPPER($L317)," ",""),"F",""),";",REPT(" ",30)),61,30))),0)+IFERROR(VALUE(TRIM(MID(SUBSTITUTE(SUBSTITUTE(SUBSTITUTE(UPPER($L317)," ",""),"F",""),";",REPT(" ",30)),91,30))),0)+IFERROR(VALUE(TRIM(MID(SUBSTITUTE(SUBSTITUTE(SUBSTITUTE(UPPER($L317)," ",""),"F",""),";",REPT(" ",30)),121,30))),0)+IFERROR(VALUE(TRIM(MID(SUBSTITUTE(SUBSTITUTE(SUBSTITUTE(UPPER($L317)," ",""),"F",""),";",REPT(" ",30)),151,30))),0)+IFERROR(VALUE(TRIM(MID(SUBSTITUTE(SUBSTITUTE(SUBSTITUTE(UPPER($L317)," ",""),"F",""),";",REPT(" ",30)),181,30))),0)+IFERROR(VALUE(TRIM(MID(SUBSTITUTE(SUBSTITUTE(SUBSTITUTE(UPPER($L317)," ",""),"F",""),";",REPT(" ",30)),211,30))),0)))))</f>
        <v/>
      </c>
      <c r="O317" s="24" t="n"/>
      <c r="P317" s="8" t="n"/>
      <c r="Q317" s="14" t="n"/>
      <c r="R317" s="25">
        <f>IF($C317="","",IF($E317="Falta","-",MAX(0,MIN(10,5+IFERROR(VALUE(TRIM(MID(SUBSTITUTE(SUBSTITUTE(SUBSTITUTE(UPPER($P317)," ",""),"C",""),";",REPT(" ",30)),1,30))),0)+IFERROR(VALUE(TRIM(MID(SUBSTITUTE(SUBSTITUTE(SUBSTITUTE(UPPER($P317)," ",""),"C",""),";",REPT(" ",30)),31,30))),0)+IFERROR(VALUE(TRIM(MID(SUBSTITUTE(SUBSTITUTE(SUBSTITUTE(UPPER($P317)," ",""),"C",""),";",REPT(" ",30)),61,30))),0)+IFERROR(VALUE(TRIM(MID(SUBSTITUTE(SUBSTITUTE(SUBSTITUTE(UPPER($P317)," ",""),"C",""),";",REPT(" ",30)),91,30))),0)+IFERROR(VALUE(TRIM(MID(SUBSTITUTE(SUBSTITUTE(SUBSTITUTE(UPPER($P317)," ",""),"C",""),";",REPT(" ",30)),121,30))),0)+IFERROR(VALUE(TRIM(MID(SUBSTITUTE(SUBSTITUTE(SUBSTITUTE(UPPER($P317)," ",""),"C",""),";",REPT(" ",30)),151,30))),0)+IFERROR(VALUE(TRIM(MID(SUBSTITUTE(SUBSTITUTE(SUBSTITUTE(UPPER($P317)," ",""),"C",""),";",REPT(" ",30)),181,30))),0)+IFERROR(VALUE(TRIM(MID(SUBSTITUTE(SUBSTITUTE(SUBSTITUTE(UPPER($P317)," ",""),"C",""),";",REPT(" ",30)),211,30))),0)))))</f>
        <v/>
      </c>
      <c r="S317" s="24" t="n"/>
      <c r="T317" s="8" t="n"/>
      <c r="U317" s="14" t="n"/>
      <c r="V317" s="25">
        <f>IF($C317="","",IF($E317="Falta","-",MAX(0,MIN(10,5+IFERROR(VALUE(TRIM(MID(SUBSTITUTE(SUBSTITUTE(SUBSTITUTE(UPPER($T317)," ",""),"P",""),";",REPT(" ",30)),1,30))),0)+IFERROR(VALUE(TRIM(MID(SUBSTITUTE(SUBSTITUTE(SUBSTITUTE(UPPER($T317)," ",""),"P",""),";",REPT(" ",30)),31,30))),0)+IFERROR(VALUE(TRIM(MID(SUBSTITUTE(SUBSTITUTE(SUBSTITUTE(UPPER($T317)," ",""),"P",""),";",REPT(" ",30)),61,30))),0)+IFERROR(VALUE(TRIM(MID(SUBSTITUTE(SUBSTITUTE(SUBSTITUTE(UPPER($T317)," ",""),"P",""),";",REPT(" ",30)),91,30))),0)+IFERROR(VALUE(TRIM(MID(SUBSTITUTE(SUBSTITUTE(SUBSTITUTE(UPPER($T317)," ",""),"P",""),";",REPT(" ",30)),121,30))),0)+IFERROR(VALUE(TRIM(MID(SUBSTITUTE(SUBSTITUTE(SUBSTITUTE(UPPER($T317)," ",""),"P",""),";",REPT(" ",30)),151,30))),0)+IFERROR(VALUE(TRIM(MID(SUBSTITUTE(SUBSTITUTE(SUBSTITUTE(UPPER($T317)," ",""),"P",""),";",REPT(" ",30)),181,30))),0)+IFERROR(VALUE(TRIM(MID(SUBSTITUTE(SUBSTITUTE(SUBSTITUTE(UPPER($T317)," ",""),"P",""),";",REPT(" ",30)),211,30))),0)))))</f>
        <v/>
      </c>
      <c r="W317" s="24" t="n"/>
      <c r="X317" s="14" t="n"/>
    </row>
    <row r="318">
      <c r="A318" s="8">
        <f>IF($C318="","",63)</f>
        <v/>
      </c>
      <c r="B318" s="8">
        <f>IF($C318="","","5ª Sessão")</f>
        <v/>
      </c>
      <c r="C318" s="8">
        <f>IF(Preenchimento!$B$72="","",Preenchimento!$B$72)</f>
        <v/>
      </c>
      <c r="D318" s="8">
        <f>IF($C318="","",IF(Preenchimento!$C$72="","-",Preenchimento!$C$72))</f>
        <v/>
      </c>
      <c r="E318" s="8" t="n"/>
      <c r="F318" s="8" t="n"/>
      <c r="G318" s="24" t="n"/>
      <c r="H318" s="8" t="n"/>
      <c r="I318" s="14" t="n"/>
      <c r="J318" s="25">
        <f>IF($C318="","",IF($E318="Falta","-",MAX(0,MIN(10,8+IFERROR(VALUE(TRIM(MID(SUBSTITUTE(SUBSTITUTE(SUBSTITUTE(UPPER($H318)," ",""),"D",""),";",REPT(" ",30)),1,30))),0)+IFERROR(VALUE(TRIM(MID(SUBSTITUTE(SUBSTITUTE(SUBSTITUTE(UPPER($H318)," ",""),"D",""),";",REPT(" ",30)),31,30))),0)+IFERROR(VALUE(TRIM(MID(SUBSTITUTE(SUBSTITUTE(SUBSTITUTE(UPPER($H318)," ",""),"D",""),";",REPT(" ",30)),61,30))),0)+IFERROR(VALUE(TRIM(MID(SUBSTITUTE(SUBSTITUTE(SUBSTITUTE(UPPER($H318)," ",""),"D",""),";",REPT(" ",30)),91,30))),0)+IFERROR(VALUE(TRIM(MID(SUBSTITUTE(SUBSTITUTE(SUBSTITUTE(UPPER($H318)," ",""),"D",""),";",REPT(" ",30)),121,30))),0)+IFERROR(VALUE(TRIM(MID(SUBSTITUTE(SUBSTITUTE(SUBSTITUTE(UPPER($H318)," ",""),"D",""),";",REPT(" ",30)),151,30))),0)+IFERROR(VALUE(TRIM(MID(SUBSTITUTE(SUBSTITUTE(SUBSTITUTE(UPPER($H318)," ",""),"D",""),";",REPT(" ",30)),181,30))),0)+IFERROR(VALUE(TRIM(MID(SUBSTITUTE(SUBSTITUTE(SUBSTITUTE(UPPER($H318)," ",""),"D",""),";",REPT(" ",30)),211,30))),0)))))</f>
        <v/>
      </c>
      <c r="K318" s="24" t="n"/>
      <c r="L318" s="8" t="n"/>
      <c r="M318" s="14" t="n"/>
      <c r="N318" s="25">
        <f>IF($C318="","",IF($E318="Falta","-",MAX(0,MIN(10,8+IFERROR(VALUE(TRIM(MID(SUBSTITUTE(SUBSTITUTE(SUBSTITUTE(UPPER($L318)," ",""),"F",""),";",REPT(" ",30)),1,30))),0)+IFERROR(VALUE(TRIM(MID(SUBSTITUTE(SUBSTITUTE(SUBSTITUTE(UPPER($L318)," ",""),"F",""),";",REPT(" ",30)),31,30))),0)+IFERROR(VALUE(TRIM(MID(SUBSTITUTE(SUBSTITUTE(SUBSTITUTE(UPPER($L318)," ",""),"F",""),";",REPT(" ",30)),61,30))),0)+IFERROR(VALUE(TRIM(MID(SUBSTITUTE(SUBSTITUTE(SUBSTITUTE(UPPER($L318)," ",""),"F",""),";",REPT(" ",30)),91,30))),0)+IFERROR(VALUE(TRIM(MID(SUBSTITUTE(SUBSTITUTE(SUBSTITUTE(UPPER($L318)," ",""),"F",""),";",REPT(" ",30)),121,30))),0)+IFERROR(VALUE(TRIM(MID(SUBSTITUTE(SUBSTITUTE(SUBSTITUTE(UPPER($L318)," ",""),"F",""),";",REPT(" ",30)),151,30))),0)+IFERROR(VALUE(TRIM(MID(SUBSTITUTE(SUBSTITUTE(SUBSTITUTE(UPPER($L318)," ",""),"F",""),";",REPT(" ",30)),181,30))),0)+IFERROR(VALUE(TRIM(MID(SUBSTITUTE(SUBSTITUTE(SUBSTITUTE(UPPER($L318)," ",""),"F",""),";",REPT(" ",30)),211,30))),0)))))</f>
        <v/>
      </c>
      <c r="O318" s="24" t="n"/>
      <c r="P318" s="8" t="n"/>
      <c r="Q318" s="14" t="n"/>
      <c r="R318" s="25">
        <f>IF($C318="","",IF($E318="Falta","-",MAX(0,MIN(10,5+IFERROR(VALUE(TRIM(MID(SUBSTITUTE(SUBSTITUTE(SUBSTITUTE(UPPER($P318)," ",""),"C",""),";",REPT(" ",30)),1,30))),0)+IFERROR(VALUE(TRIM(MID(SUBSTITUTE(SUBSTITUTE(SUBSTITUTE(UPPER($P318)," ",""),"C",""),";",REPT(" ",30)),31,30))),0)+IFERROR(VALUE(TRIM(MID(SUBSTITUTE(SUBSTITUTE(SUBSTITUTE(UPPER($P318)," ",""),"C",""),";",REPT(" ",30)),61,30))),0)+IFERROR(VALUE(TRIM(MID(SUBSTITUTE(SUBSTITUTE(SUBSTITUTE(UPPER($P318)," ",""),"C",""),";",REPT(" ",30)),91,30))),0)+IFERROR(VALUE(TRIM(MID(SUBSTITUTE(SUBSTITUTE(SUBSTITUTE(UPPER($P318)," ",""),"C",""),";",REPT(" ",30)),121,30))),0)+IFERROR(VALUE(TRIM(MID(SUBSTITUTE(SUBSTITUTE(SUBSTITUTE(UPPER($P318)," ",""),"C",""),";",REPT(" ",30)),151,30))),0)+IFERROR(VALUE(TRIM(MID(SUBSTITUTE(SUBSTITUTE(SUBSTITUTE(UPPER($P318)," ",""),"C",""),";",REPT(" ",30)),181,30))),0)+IFERROR(VALUE(TRIM(MID(SUBSTITUTE(SUBSTITUTE(SUBSTITUTE(UPPER($P318)," ",""),"C",""),";",REPT(" ",30)),211,30))),0)))))</f>
        <v/>
      </c>
      <c r="S318" s="24" t="n"/>
      <c r="T318" s="8" t="n"/>
      <c r="U318" s="14" t="n"/>
      <c r="V318" s="25">
        <f>IF($C318="","",IF($E318="Falta","-",MAX(0,MIN(10,5+IFERROR(VALUE(TRIM(MID(SUBSTITUTE(SUBSTITUTE(SUBSTITUTE(UPPER($T318)," ",""),"P",""),";",REPT(" ",30)),1,30))),0)+IFERROR(VALUE(TRIM(MID(SUBSTITUTE(SUBSTITUTE(SUBSTITUTE(UPPER($T318)," ",""),"P",""),";",REPT(" ",30)),31,30))),0)+IFERROR(VALUE(TRIM(MID(SUBSTITUTE(SUBSTITUTE(SUBSTITUTE(UPPER($T318)," ",""),"P",""),";",REPT(" ",30)),61,30))),0)+IFERROR(VALUE(TRIM(MID(SUBSTITUTE(SUBSTITUTE(SUBSTITUTE(UPPER($T318)," ",""),"P",""),";",REPT(" ",30)),91,30))),0)+IFERROR(VALUE(TRIM(MID(SUBSTITUTE(SUBSTITUTE(SUBSTITUTE(UPPER($T318)," ",""),"P",""),";",REPT(" ",30)),121,30))),0)+IFERROR(VALUE(TRIM(MID(SUBSTITUTE(SUBSTITUTE(SUBSTITUTE(UPPER($T318)," ",""),"P",""),";",REPT(" ",30)),151,30))),0)+IFERROR(VALUE(TRIM(MID(SUBSTITUTE(SUBSTITUTE(SUBSTITUTE(UPPER($T318)," ",""),"P",""),";",REPT(" ",30)),181,30))),0)+IFERROR(VALUE(TRIM(MID(SUBSTITUTE(SUBSTITUTE(SUBSTITUTE(UPPER($T318)," ",""),"P",""),";",REPT(" ",30)),211,30))),0)))))</f>
        <v/>
      </c>
      <c r="W318" s="24" t="n"/>
      <c r="X318" s="14" t="n"/>
    </row>
    <row r="319">
      <c r="A319" s="6">
        <f>IF($C319="","",64)</f>
        <v/>
      </c>
      <c r="B319" s="6">
        <f>IF($C319="","","1ª Sessão")</f>
        <v/>
      </c>
      <c r="C319" s="6">
        <f>IF(Preenchimento!$B$73="","",Preenchimento!$B$73)</f>
        <v/>
      </c>
      <c r="D319" s="6">
        <f>IF($C319="","",IF(Preenchimento!$C$73="","-",Preenchimento!$C$73))</f>
        <v/>
      </c>
      <c r="E319" s="6" t="n"/>
      <c r="F319" s="6" t="n"/>
      <c r="G319" s="26" t="n"/>
      <c r="H319" s="6" t="n"/>
      <c r="I319" s="13" t="n"/>
      <c r="J319" s="27">
        <f>IF($C319="","",IF($E319="Falta","-",MAX(0,MIN(10,8+IFERROR(VALUE(TRIM(MID(SUBSTITUTE(SUBSTITUTE(SUBSTITUTE(UPPER($H319)," ",""),"D",""),";",REPT(" ",30)),1,30))),0)+IFERROR(VALUE(TRIM(MID(SUBSTITUTE(SUBSTITUTE(SUBSTITUTE(UPPER($H319)," ",""),"D",""),";",REPT(" ",30)),31,30))),0)+IFERROR(VALUE(TRIM(MID(SUBSTITUTE(SUBSTITUTE(SUBSTITUTE(UPPER($H319)," ",""),"D",""),";",REPT(" ",30)),61,30))),0)+IFERROR(VALUE(TRIM(MID(SUBSTITUTE(SUBSTITUTE(SUBSTITUTE(UPPER($H319)," ",""),"D",""),";",REPT(" ",30)),91,30))),0)+IFERROR(VALUE(TRIM(MID(SUBSTITUTE(SUBSTITUTE(SUBSTITUTE(UPPER($H319)," ",""),"D",""),";",REPT(" ",30)),121,30))),0)+IFERROR(VALUE(TRIM(MID(SUBSTITUTE(SUBSTITUTE(SUBSTITUTE(UPPER($H319)," ",""),"D",""),";",REPT(" ",30)),151,30))),0)+IFERROR(VALUE(TRIM(MID(SUBSTITUTE(SUBSTITUTE(SUBSTITUTE(UPPER($H319)," ",""),"D",""),";",REPT(" ",30)),181,30))),0)+IFERROR(VALUE(TRIM(MID(SUBSTITUTE(SUBSTITUTE(SUBSTITUTE(UPPER($H319)," ",""),"D",""),";",REPT(" ",30)),211,30))),0)))))</f>
        <v/>
      </c>
      <c r="K319" s="26" t="n"/>
      <c r="L319" s="6" t="n"/>
      <c r="M319" s="13" t="n"/>
      <c r="N319" s="27">
        <f>IF($C319="","",IF($E319="Falta","-",MAX(0,MIN(10,8+IFERROR(VALUE(TRIM(MID(SUBSTITUTE(SUBSTITUTE(SUBSTITUTE(UPPER($L319)," ",""),"F",""),";",REPT(" ",30)),1,30))),0)+IFERROR(VALUE(TRIM(MID(SUBSTITUTE(SUBSTITUTE(SUBSTITUTE(UPPER($L319)," ",""),"F",""),";",REPT(" ",30)),31,30))),0)+IFERROR(VALUE(TRIM(MID(SUBSTITUTE(SUBSTITUTE(SUBSTITUTE(UPPER($L319)," ",""),"F",""),";",REPT(" ",30)),61,30))),0)+IFERROR(VALUE(TRIM(MID(SUBSTITUTE(SUBSTITUTE(SUBSTITUTE(UPPER($L319)," ",""),"F",""),";",REPT(" ",30)),91,30))),0)+IFERROR(VALUE(TRIM(MID(SUBSTITUTE(SUBSTITUTE(SUBSTITUTE(UPPER($L319)," ",""),"F",""),";",REPT(" ",30)),121,30))),0)+IFERROR(VALUE(TRIM(MID(SUBSTITUTE(SUBSTITUTE(SUBSTITUTE(UPPER($L319)," ",""),"F",""),";",REPT(" ",30)),151,30))),0)+IFERROR(VALUE(TRIM(MID(SUBSTITUTE(SUBSTITUTE(SUBSTITUTE(UPPER($L319)," ",""),"F",""),";",REPT(" ",30)),181,30))),0)+IFERROR(VALUE(TRIM(MID(SUBSTITUTE(SUBSTITUTE(SUBSTITUTE(UPPER($L319)," ",""),"F",""),";",REPT(" ",30)),211,30))),0)))))</f>
        <v/>
      </c>
      <c r="O319" s="26" t="n"/>
      <c r="P319" s="6" t="n"/>
      <c r="Q319" s="13" t="n"/>
      <c r="R319" s="27">
        <f>IF($C319="","",IF($E319="Falta","-",MAX(0,MIN(10,5+IFERROR(VALUE(TRIM(MID(SUBSTITUTE(SUBSTITUTE(SUBSTITUTE(UPPER($P319)," ",""),"C",""),";",REPT(" ",30)),1,30))),0)+IFERROR(VALUE(TRIM(MID(SUBSTITUTE(SUBSTITUTE(SUBSTITUTE(UPPER($P319)," ",""),"C",""),";",REPT(" ",30)),31,30))),0)+IFERROR(VALUE(TRIM(MID(SUBSTITUTE(SUBSTITUTE(SUBSTITUTE(UPPER($P319)," ",""),"C",""),";",REPT(" ",30)),61,30))),0)+IFERROR(VALUE(TRIM(MID(SUBSTITUTE(SUBSTITUTE(SUBSTITUTE(UPPER($P319)," ",""),"C",""),";",REPT(" ",30)),91,30))),0)+IFERROR(VALUE(TRIM(MID(SUBSTITUTE(SUBSTITUTE(SUBSTITUTE(UPPER($P319)," ",""),"C",""),";",REPT(" ",30)),121,30))),0)+IFERROR(VALUE(TRIM(MID(SUBSTITUTE(SUBSTITUTE(SUBSTITUTE(UPPER($P319)," ",""),"C",""),";",REPT(" ",30)),151,30))),0)+IFERROR(VALUE(TRIM(MID(SUBSTITUTE(SUBSTITUTE(SUBSTITUTE(UPPER($P319)," ",""),"C",""),";",REPT(" ",30)),181,30))),0)+IFERROR(VALUE(TRIM(MID(SUBSTITUTE(SUBSTITUTE(SUBSTITUTE(UPPER($P319)," ",""),"C",""),";",REPT(" ",30)),211,30))),0)))))</f>
        <v/>
      </c>
      <c r="S319" s="26" t="n"/>
      <c r="T319" s="6" t="n"/>
      <c r="U319" s="13" t="n"/>
      <c r="V319" s="27">
        <f>IF($C319="","",IF($E319="Falta","-",MAX(0,MIN(10,5+IFERROR(VALUE(TRIM(MID(SUBSTITUTE(SUBSTITUTE(SUBSTITUTE(UPPER($T319)," ",""),"P",""),";",REPT(" ",30)),1,30))),0)+IFERROR(VALUE(TRIM(MID(SUBSTITUTE(SUBSTITUTE(SUBSTITUTE(UPPER($T319)," ",""),"P",""),";",REPT(" ",30)),31,30))),0)+IFERROR(VALUE(TRIM(MID(SUBSTITUTE(SUBSTITUTE(SUBSTITUTE(UPPER($T319)," ",""),"P",""),";",REPT(" ",30)),61,30))),0)+IFERROR(VALUE(TRIM(MID(SUBSTITUTE(SUBSTITUTE(SUBSTITUTE(UPPER($T319)," ",""),"P",""),";",REPT(" ",30)),91,30))),0)+IFERROR(VALUE(TRIM(MID(SUBSTITUTE(SUBSTITUTE(SUBSTITUTE(UPPER($T319)," ",""),"P",""),";",REPT(" ",30)),121,30))),0)+IFERROR(VALUE(TRIM(MID(SUBSTITUTE(SUBSTITUTE(SUBSTITUTE(UPPER($T319)," ",""),"P",""),";",REPT(" ",30)),151,30))),0)+IFERROR(VALUE(TRIM(MID(SUBSTITUTE(SUBSTITUTE(SUBSTITUTE(UPPER($T319)," ",""),"P",""),";",REPT(" ",30)),181,30))),0)+IFERROR(VALUE(TRIM(MID(SUBSTITUTE(SUBSTITUTE(SUBSTITUTE(UPPER($T319)," ",""),"P",""),";",REPT(" ",30)),211,30))),0)))))</f>
        <v/>
      </c>
      <c r="W319" s="26" t="n"/>
      <c r="X319" s="13" t="n"/>
    </row>
    <row r="320">
      <c r="A320" s="6">
        <f>IF($C320="","",64)</f>
        <v/>
      </c>
      <c r="B320" s="6">
        <f>IF($C320="","","2ª Sessão")</f>
        <v/>
      </c>
      <c r="C320" s="6">
        <f>IF(Preenchimento!$B$73="","",Preenchimento!$B$73)</f>
        <v/>
      </c>
      <c r="D320" s="6">
        <f>IF($C320="","",IF(Preenchimento!$C$73="","-",Preenchimento!$C$73))</f>
        <v/>
      </c>
      <c r="E320" s="6" t="n"/>
      <c r="F320" s="6" t="n"/>
      <c r="G320" s="26" t="n"/>
      <c r="H320" s="6" t="n"/>
      <c r="I320" s="13" t="n"/>
      <c r="J320" s="27">
        <f>IF($C320="","",IF($E320="Falta","-",MAX(0,MIN(10,8+IFERROR(VALUE(TRIM(MID(SUBSTITUTE(SUBSTITUTE(SUBSTITUTE(UPPER($H320)," ",""),"D",""),";",REPT(" ",30)),1,30))),0)+IFERROR(VALUE(TRIM(MID(SUBSTITUTE(SUBSTITUTE(SUBSTITUTE(UPPER($H320)," ",""),"D",""),";",REPT(" ",30)),31,30))),0)+IFERROR(VALUE(TRIM(MID(SUBSTITUTE(SUBSTITUTE(SUBSTITUTE(UPPER($H320)," ",""),"D",""),";",REPT(" ",30)),61,30))),0)+IFERROR(VALUE(TRIM(MID(SUBSTITUTE(SUBSTITUTE(SUBSTITUTE(UPPER($H320)," ",""),"D",""),";",REPT(" ",30)),91,30))),0)+IFERROR(VALUE(TRIM(MID(SUBSTITUTE(SUBSTITUTE(SUBSTITUTE(UPPER($H320)," ",""),"D",""),";",REPT(" ",30)),121,30))),0)+IFERROR(VALUE(TRIM(MID(SUBSTITUTE(SUBSTITUTE(SUBSTITUTE(UPPER($H320)," ",""),"D",""),";",REPT(" ",30)),151,30))),0)+IFERROR(VALUE(TRIM(MID(SUBSTITUTE(SUBSTITUTE(SUBSTITUTE(UPPER($H320)," ",""),"D",""),";",REPT(" ",30)),181,30))),0)+IFERROR(VALUE(TRIM(MID(SUBSTITUTE(SUBSTITUTE(SUBSTITUTE(UPPER($H320)," ",""),"D",""),";",REPT(" ",30)),211,30))),0)))))</f>
        <v/>
      </c>
      <c r="K320" s="26" t="n"/>
      <c r="L320" s="6" t="n"/>
      <c r="M320" s="13" t="n"/>
      <c r="N320" s="27">
        <f>IF($C320="","",IF($E320="Falta","-",MAX(0,MIN(10,8+IFERROR(VALUE(TRIM(MID(SUBSTITUTE(SUBSTITUTE(SUBSTITUTE(UPPER($L320)," ",""),"F",""),";",REPT(" ",30)),1,30))),0)+IFERROR(VALUE(TRIM(MID(SUBSTITUTE(SUBSTITUTE(SUBSTITUTE(UPPER($L320)," ",""),"F",""),";",REPT(" ",30)),31,30))),0)+IFERROR(VALUE(TRIM(MID(SUBSTITUTE(SUBSTITUTE(SUBSTITUTE(UPPER($L320)," ",""),"F",""),";",REPT(" ",30)),61,30))),0)+IFERROR(VALUE(TRIM(MID(SUBSTITUTE(SUBSTITUTE(SUBSTITUTE(UPPER($L320)," ",""),"F",""),";",REPT(" ",30)),91,30))),0)+IFERROR(VALUE(TRIM(MID(SUBSTITUTE(SUBSTITUTE(SUBSTITUTE(UPPER($L320)," ",""),"F",""),";",REPT(" ",30)),121,30))),0)+IFERROR(VALUE(TRIM(MID(SUBSTITUTE(SUBSTITUTE(SUBSTITUTE(UPPER($L320)," ",""),"F",""),";",REPT(" ",30)),151,30))),0)+IFERROR(VALUE(TRIM(MID(SUBSTITUTE(SUBSTITUTE(SUBSTITUTE(UPPER($L320)," ",""),"F",""),";",REPT(" ",30)),181,30))),0)+IFERROR(VALUE(TRIM(MID(SUBSTITUTE(SUBSTITUTE(SUBSTITUTE(UPPER($L320)," ",""),"F",""),";",REPT(" ",30)),211,30))),0)))))</f>
        <v/>
      </c>
      <c r="O320" s="26" t="n"/>
      <c r="P320" s="6" t="n"/>
      <c r="Q320" s="13" t="n"/>
      <c r="R320" s="27">
        <f>IF($C320="","",IF($E320="Falta","-",MAX(0,MIN(10,5+IFERROR(VALUE(TRIM(MID(SUBSTITUTE(SUBSTITUTE(SUBSTITUTE(UPPER($P320)," ",""),"C",""),";",REPT(" ",30)),1,30))),0)+IFERROR(VALUE(TRIM(MID(SUBSTITUTE(SUBSTITUTE(SUBSTITUTE(UPPER($P320)," ",""),"C",""),";",REPT(" ",30)),31,30))),0)+IFERROR(VALUE(TRIM(MID(SUBSTITUTE(SUBSTITUTE(SUBSTITUTE(UPPER($P320)," ",""),"C",""),";",REPT(" ",30)),61,30))),0)+IFERROR(VALUE(TRIM(MID(SUBSTITUTE(SUBSTITUTE(SUBSTITUTE(UPPER($P320)," ",""),"C",""),";",REPT(" ",30)),91,30))),0)+IFERROR(VALUE(TRIM(MID(SUBSTITUTE(SUBSTITUTE(SUBSTITUTE(UPPER($P320)," ",""),"C",""),";",REPT(" ",30)),121,30))),0)+IFERROR(VALUE(TRIM(MID(SUBSTITUTE(SUBSTITUTE(SUBSTITUTE(UPPER($P320)," ",""),"C",""),";",REPT(" ",30)),151,30))),0)+IFERROR(VALUE(TRIM(MID(SUBSTITUTE(SUBSTITUTE(SUBSTITUTE(UPPER($P320)," ",""),"C",""),";",REPT(" ",30)),181,30))),0)+IFERROR(VALUE(TRIM(MID(SUBSTITUTE(SUBSTITUTE(SUBSTITUTE(UPPER($P320)," ",""),"C",""),";",REPT(" ",30)),211,30))),0)))))</f>
        <v/>
      </c>
      <c r="S320" s="26" t="n"/>
      <c r="T320" s="6" t="n"/>
      <c r="U320" s="13" t="n"/>
      <c r="V320" s="27">
        <f>IF($C320="","",IF($E320="Falta","-",MAX(0,MIN(10,5+IFERROR(VALUE(TRIM(MID(SUBSTITUTE(SUBSTITUTE(SUBSTITUTE(UPPER($T320)," ",""),"P",""),";",REPT(" ",30)),1,30))),0)+IFERROR(VALUE(TRIM(MID(SUBSTITUTE(SUBSTITUTE(SUBSTITUTE(UPPER($T320)," ",""),"P",""),";",REPT(" ",30)),31,30))),0)+IFERROR(VALUE(TRIM(MID(SUBSTITUTE(SUBSTITUTE(SUBSTITUTE(UPPER($T320)," ",""),"P",""),";",REPT(" ",30)),61,30))),0)+IFERROR(VALUE(TRIM(MID(SUBSTITUTE(SUBSTITUTE(SUBSTITUTE(UPPER($T320)," ",""),"P",""),";",REPT(" ",30)),91,30))),0)+IFERROR(VALUE(TRIM(MID(SUBSTITUTE(SUBSTITUTE(SUBSTITUTE(UPPER($T320)," ",""),"P",""),";",REPT(" ",30)),121,30))),0)+IFERROR(VALUE(TRIM(MID(SUBSTITUTE(SUBSTITUTE(SUBSTITUTE(UPPER($T320)," ",""),"P",""),";",REPT(" ",30)),151,30))),0)+IFERROR(VALUE(TRIM(MID(SUBSTITUTE(SUBSTITUTE(SUBSTITUTE(UPPER($T320)," ",""),"P",""),";",REPT(" ",30)),181,30))),0)+IFERROR(VALUE(TRIM(MID(SUBSTITUTE(SUBSTITUTE(SUBSTITUTE(UPPER($T320)," ",""),"P",""),";",REPT(" ",30)),211,30))),0)))))</f>
        <v/>
      </c>
      <c r="W320" s="26" t="n"/>
      <c r="X320" s="13" t="n"/>
    </row>
    <row r="321">
      <c r="A321" s="6">
        <f>IF($C321="","",64)</f>
        <v/>
      </c>
      <c r="B321" s="6">
        <f>IF($C321="","","3ª Sessão")</f>
        <v/>
      </c>
      <c r="C321" s="6">
        <f>IF(Preenchimento!$B$73="","",Preenchimento!$B$73)</f>
        <v/>
      </c>
      <c r="D321" s="6">
        <f>IF($C321="","",IF(Preenchimento!$C$73="","-",Preenchimento!$C$73))</f>
        <v/>
      </c>
      <c r="E321" s="6" t="n"/>
      <c r="F321" s="6" t="n"/>
      <c r="G321" s="26" t="n"/>
      <c r="H321" s="6" t="n"/>
      <c r="I321" s="13" t="n"/>
      <c r="J321" s="27">
        <f>IF($C321="","",IF($E321="Falta","-",MAX(0,MIN(10,8+IFERROR(VALUE(TRIM(MID(SUBSTITUTE(SUBSTITUTE(SUBSTITUTE(UPPER($H321)," ",""),"D",""),";",REPT(" ",30)),1,30))),0)+IFERROR(VALUE(TRIM(MID(SUBSTITUTE(SUBSTITUTE(SUBSTITUTE(UPPER($H321)," ",""),"D",""),";",REPT(" ",30)),31,30))),0)+IFERROR(VALUE(TRIM(MID(SUBSTITUTE(SUBSTITUTE(SUBSTITUTE(UPPER($H321)," ",""),"D",""),";",REPT(" ",30)),61,30))),0)+IFERROR(VALUE(TRIM(MID(SUBSTITUTE(SUBSTITUTE(SUBSTITUTE(UPPER($H321)," ",""),"D",""),";",REPT(" ",30)),91,30))),0)+IFERROR(VALUE(TRIM(MID(SUBSTITUTE(SUBSTITUTE(SUBSTITUTE(UPPER($H321)," ",""),"D",""),";",REPT(" ",30)),121,30))),0)+IFERROR(VALUE(TRIM(MID(SUBSTITUTE(SUBSTITUTE(SUBSTITUTE(UPPER($H321)," ",""),"D",""),";",REPT(" ",30)),151,30))),0)+IFERROR(VALUE(TRIM(MID(SUBSTITUTE(SUBSTITUTE(SUBSTITUTE(UPPER($H321)," ",""),"D",""),";",REPT(" ",30)),181,30))),0)+IFERROR(VALUE(TRIM(MID(SUBSTITUTE(SUBSTITUTE(SUBSTITUTE(UPPER($H321)," ",""),"D",""),";",REPT(" ",30)),211,30))),0)))))</f>
        <v/>
      </c>
      <c r="K321" s="26" t="n"/>
      <c r="L321" s="6" t="n"/>
      <c r="M321" s="13" t="n"/>
      <c r="N321" s="27">
        <f>IF($C321="","",IF($E321="Falta","-",MAX(0,MIN(10,8+IFERROR(VALUE(TRIM(MID(SUBSTITUTE(SUBSTITUTE(SUBSTITUTE(UPPER($L321)," ",""),"F",""),";",REPT(" ",30)),1,30))),0)+IFERROR(VALUE(TRIM(MID(SUBSTITUTE(SUBSTITUTE(SUBSTITUTE(UPPER($L321)," ",""),"F",""),";",REPT(" ",30)),31,30))),0)+IFERROR(VALUE(TRIM(MID(SUBSTITUTE(SUBSTITUTE(SUBSTITUTE(UPPER($L321)," ",""),"F",""),";",REPT(" ",30)),61,30))),0)+IFERROR(VALUE(TRIM(MID(SUBSTITUTE(SUBSTITUTE(SUBSTITUTE(UPPER($L321)," ",""),"F",""),";",REPT(" ",30)),91,30))),0)+IFERROR(VALUE(TRIM(MID(SUBSTITUTE(SUBSTITUTE(SUBSTITUTE(UPPER($L321)," ",""),"F",""),";",REPT(" ",30)),121,30))),0)+IFERROR(VALUE(TRIM(MID(SUBSTITUTE(SUBSTITUTE(SUBSTITUTE(UPPER($L321)," ",""),"F",""),";",REPT(" ",30)),151,30))),0)+IFERROR(VALUE(TRIM(MID(SUBSTITUTE(SUBSTITUTE(SUBSTITUTE(UPPER($L321)," ",""),"F",""),";",REPT(" ",30)),181,30))),0)+IFERROR(VALUE(TRIM(MID(SUBSTITUTE(SUBSTITUTE(SUBSTITUTE(UPPER($L321)," ",""),"F",""),";",REPT(" ",30)),211,30))),0)))))</f>
        <v/>
      </c>
      <c r="O321" s="26" t="n"/>
      <c r="P321" s="6" t="n"/>
      <c r="Q321" s="13" t="n"/>
      <c r="R321" s="27">
        <f>IF($C321="","",IF($E321="Falta","-",MAX(0,MIN(10,5+IFERROR(VALUE(TRIM(MID(SUBSTITUTE(SUBSTITUTE(SUBSTITUTE(UPPER($P321)," ",""),"C",""),";",REPT(" ",30)),1,30))),0)+IFERROR(VALUE(TRIM(MID(SUBSTITUTE(SUBSTITUTE(SUBSTITUTE(UPPER($P321)," ",""),"C",""),";",REPT(" ",30)),31,30))),0)+IFERROR(VALUE(TRIM(MID(SUBSTITUTE(SUBSTITUTE(SUBSTITUTE(UPPER($P321)," ",""),"C",""),";",REPT(" ",30)),61,30))),0)+IFERROR(VALUE(TRIM(MID(SUBSTITUTE(SUBSTITUTE(SUBSTITUTE(UPPER($P321)," ",""),"C",""),";",REPT(" ",30)),91,30))),0)+IFERROR(VALUE(TRIM(MID(SUBSTITUTE(SUBSTITUTE(SUBSTITUTE(UPPER($P321)," ",""),"C",""),";",REPT(" ",30)),121,30))),0)+IFERROR(VALUE(TRIM(MID(SUBSTITUTE(SUBSTITUTE(SUBSTITUTE(UPPER($P321)," ",""),"C",""),";",REPT(" ",30)),151,30))),0)+IFERROR(VALUE(TRIM(MID(SUBSTITUTE(SUBSTITUTE(SUBSTITUTE(UPPER($P321)," ",""),"C",""),";",REPT(" ",30)),181,30))),0)+IFERROR(VALUE(TRIM(MID(SUBSTITUTE(SUBSTITUTE(SUBSTITUTE(UPPER($P321)," ",""),"C",""),";",REPT(" ",30)),211,30))),0)))))</f>
        <v/>
      </c>
      <c r="S321" s="26" t="n"/>
      <c r="T321" s="6" t="n"/>
      <c r="U321" s="13" t="n"/>
      <c r="V321" s="27">
        <f>IF($C321="","",IF($E321="Falta","-",MAX(0,MIN(10,5+IFERROR(VALUE(TRIM(MID(SUBSTITUTE(SUBSTITUTE(SUBSTITUTE(UPPER($T321)," ",""),"P",""),";",REPT(" ",30)),1,30))),0)+IFERROR(VALUE(TRIM(MID(SUBSTITUTE(SUBSTITUTE(SUBSTITUTE(UPPER($T321)," ",""),"P",""),";",REPT(" ",30)),31,30))),0)+IFERROR(VALUE(TRIM(MID(SUBSTITUTE(SUBSTITUTE(SUBSTITUTE(UPPER($T321)," ",""),"P",""),";",REPT(" ",30)),61,30))),0)+IFERROR(VALUE(TRIM(MID(SUBSTITUTE(SUBSTITUTE(SUBSTITUTE(UPPER($T321)," ",""),"P",""),";",REPT(" ",30)),91,30))),0)+IFERROR(VALUE(TRIM(MID(SUBSTITUTE(SUBSTITUTE(SUBSTITUTE(UPPER($T321)," ",""),"P",""),";",REPT(" ",30)),121,30))),0)+IFERROR(VALUE(TRIM(MID(SUBSTITUTE(SUBSTITUTE(SUBSTITUTE(UPPER($T321)," ",""),"P",""),";",REPT(" ",30)),151,30))),0)+IFERROR(VALUE(TRIM(MID(SUBSTITUTE(SUBSTITUTE(SUBSTITUTE(UPPER($T321)," ",""),"P",""),";",REPT(" ",30)),181,30))),0)+IFERROR(VALUE(TRIM(MID(SUBSTITUTE(SUBSTITUTE(SUBSTITUTE(UPPER($T321)," ",""),"P",""),";",REPT(" ",30)),211,30))),0)))))</f>
        <v/>
      </c>
      <c r="W321" s="26" t="n"/>
      <c r="X321" s="13" t="n"/>
    </row>
    <row r="322">
      <c r="A322" s="6">
        <f>IF($C322="","",64)</f>
        <v/>
      </c>
      <c r="B322" s="6">
        <f>IF($C322="","","4ª Sessão")</f>
        <v/>
      </c>
      <c r="C322" s="6">
        <f>IF(Preenchimento!$B$73="","",Preenchimento!$B$73)</f>
        <v/>
      </c>
      <c r="D322" s="6">
        <f>IF($C322="","",IF(Preenchimento!$C$73="","-",Preenchimento!$C$73))</f>
        <v/>
      </c>
      <c r="E322" s="6" t="n"/>
      <c r="F322" s="6" t="n"/>
      <c r="G322" s="26" t="n"/>
      <c r="H322" s="6" t="n"/>
      <c r="I322" s="13" t="n"/>
      <c r="J322" s="27">
        <f>IF($C322="","",IF($E322="Falta","-",MAX(0,MIN(10,8+IFERROR(VALUE(TRIM(MID(SUBSTITUTE(SUBSTITUTE(SUBSTITUTE(UPPER($H322)," ",""),"D",""),";",REPT(" ",30)),1,30))),0)+IFERROR(VALUE(TRIM(MID(SUBSTITUTE(SUBSTITUTE(SUBSTITUTE(UPPER($H322)," ",""),"D",""),";",REPT(" ",30)),31,30))),0)+IFERROR(VALUE(TRIM(MID(SUBSTITUTE(SUBSTITUTE(SUBSTITUTE(UPPER($H322)," ",""),"D",""),";",REPT(" ",30)),61,30))),0)+IFERROR(VALUE(TRIM(MID(SUBSTITUTE(SUBSTITUTE(SUBSTITUTE(UPPER($H322)," ",""),"D",""),";",REPT(" ",30)),91,30))),0)+IFERROR(VALUE(TRIM(MID(SUBSTITUTE(SUBSTITUTE(SUBSTITUTE(UPPER($H322)," ",""),"D",""),";",REPT(" ",30)),121,30))),0)+IFERROR(VALUE(TRIM(MID(SUBSTITUTE(SUBSTITUTE(SUBSTITUTE(UPPER($H322)," ",""),"D",""),";",REPT(" ",30)),151,30))),0)+IFERROR(VALUE(TRIM(MID(SUBSTITUTE(SUBSTITUTE(SUBSTITUTE(UPPER($H322)," ",""),"D",""),";",REPT(" ",30)),181,30))),0)+IFERROR(VALUE(TRIM(MID(SUBSTITUTE(SUBSTITUTE(SUBSTITUTE(UPPER($H322)," ",""),"D",""),";",REPT(" ",30)),211,30))),0)))))</f>
        <v/>
      </c>
      <c r="K322" s="26" t="n"/>
      <c r="L322" s="6" t="n"/>
      <c r="M322" s="13" t="n"/>
      <c r="N322" s="27">
        <f>IF($C322="","",IF($E322="Falta","-",MAX(0,MIN(10,8+IFERROR(VALUE(TRIM(MID(SUBSTITUTE(SUBSTITUTE(SUBSTITUTE(UPPER($L322)," ",""),"F",""),";",REPT(" ",30)),1,30))),0)+IFERROR(VALUE(TRIM(MID(SUBSTITUTE(SUBSTITUTE(SUBSTITUTE(UPPER($L322)," ",""),"F",""),";",REPT(" ",30)),31,30))),0)+IFERROR(VALUE(TRIM(MID(SUBSTITUTE(SUBSTITUTE(SUBSTITUTE(UPPER($L322)," ",""),"F",""),";",REPT(" ",30)),61,30))),0)+IFERROR(VALUE(TRIM(MID(SUBSTITUTE(SUBSTITUTE(SUBSTITUTE(UPPER($L322)," ",""),"F",""),";",REPT(" ",30)),91,30))),0)+IFERROR(VALUE(TRIM(MID(SUBSTITUTE(SUBSTITUTE(SUBSTITUTE(UPPER($L322)," ",""),"F",""),";",REPT(" ",30)),121,30))),0)+IFERROR(VALUE(TRIM(MID(SUBSTITUTE(SUBSTITUTE(SUBSTITUTE(UPPER($L322)," ",""),"F",""),";",REPT(" ",30)),151,30))),0)+IFERROR(VALUE(TRIM(MID(SUBSTITUTE(SUBSTITUTE(SUBSTITUTE(UPPER($L322)," ",""),"F",""),";",REPT(" ",30)),181,30))),0)+IFERROR(VALUE(TRIM(MID(SUBSTITUTE(SUBSTITUTE(SUBSTITUTE(UPPER($L322)," ",""),"F",""),";",REPT(" ",30)),211,30))),0)))))</f>
        <v/>
      </c>
      <c r="O322" s="26" t="n"/>
      <c r="P322" s="6" t="n"/>
      <c r="Q322" s="13" t="n"/>
      <c r="R322" s="27">
        <f>IF($C322="","",IF($E322="Falta","-",MAX(0,MIN(10,5+IFERROR(VALUE(TRIM(MID(SUBSTITUTE(SUBSTITUTE(SUBSTITUTE(UPPER($P322)," ",""),"C",""),";",REPT(" ",30)),1,30))),0)+IFERROR(VALUE(TRIM(MID(SUBSTITUTE(SUBSTITUTE(SUBSTITUTE(UPPER($P322)," ",""),"C",""),";",REPT(" ",30)),31,30))),0)+IFERROR(VALUE(TRIM(MID(SUBSTITUTE(SUBSTITUTE(SUBSTITUTE(UPPER($P322)," ",""),"C",""),";",REPT(" ",30)),61,30))),0)+IFERROR(VALUE(TRIM(MID(SUBSTITUTE(SUBSTITUTE(SUBSTITUTE(UPPER($P322)," ",""),"C",""),";",REPT(" ",30)),91,30))),0)+IFERROR(VALUE(TRIM(MID(SUBSTITUTE(SUBSTITUTE(SUBSTITUTE(UPPER($P322)," ",""),"C",""),";",REPT(" ",30)),121,30))),0)+IFERROR(VALUE(TRIM(MID(SUBSTITUTE(SUBSTITUTE(SUBSTITUTE(UPPER($P322)," ",""),"C",""),";",REPT(" ",30)),151,30))),0)+IFERROR(VALUE(TRIM(MID(SUBSTITUTE(SUBSTITUTE(SUBSTITUTE(UPPER($P322)," ",""),"C",""),";",REPT(" ",30)),181,30))),0)+IFERROR(VALUE(TRIM(MID(SUBSTITUTE(SUBSTITUTE(SUBSTITUTE(UPPER($P322)," ",""),"C",""),";",REPT(" ",30)),211,30))),0)))))</f>
        <v/>
      </c>
      <c r="S322" s="26" t="n"/>
      <c r="T322" s="6" t="n"/>
      <c r="U322" s="13" t="n"/>
      <c r="V322" s="27">
        <f>IF($C322="","",IF($E322="Falta","-",MAX(0,MIN(10,5+IFERROR(VALUE(TRIM(MID(SUBSTITUTE(SUBSTITUTE(SUBSTITUTE(UPPER($T322)," ",""),"P",""),";",REPT(" ",30)),1,30))),0)+IFERROR(VALUE(TRIM(MID(SUBSTITUTE(SUBSTITUTE(SUBSTITUTE(UPPER($T322)," ",""),"P",""),";",REPT(" ",30)),31,30))),0)+IFERROR(VALUE(TRIM(MID(SUBSTITUTE(SUBSTITUTE(SUBSTITUTE(UPPER($T322)," ",""),"P",""),";",REPT(" ",30)),61,30))),0)+IFERROR(VALUE(TRIM(MID(SUBSTITUTE(SUBSTITUTE(SUBSTITUTE(UPPER($T322)," ",""),"P",""),";",REPT(" ",30)),91,30))),0)+IFERROR(VALUE(TRIM(MID(SUBSTITUTE(SUBSTITUTE(SUBSTITUTE(UPPER($T322)," ",""),"P",""),";",REPT(" ",30)),121,30))),0)+IFERROR(VALUE(TRIM(MID(SUBSTITUTE(SUBSTITUTE(SUBSTITUTE(UPPER($T322)," ",""),"P",""),";",REPT(" ",30)),151,30))),0)+IFERROR(VALUE(TRIM(MID(SUBSTITUTE(SUBSTITUTE(SUBSTITUTE(UPPER($T322)," ",""),"P",""),";",REPT(" ",30)),181,30))),0)+IFERROR(VALUE(TRIM(MID(SUBSTITUTE(SUBSTITUTE(SUBSTITUTE(UPPER($T322)," ",""),"P",""),";",REPT(" ",30)),211,30))),0)))))</f>
        <v/>
      </c>
      <c r="W322" s="26" t="n"/>
      <c r="X322" s="13" t="n"/>
    </row>
    <row r="323">
      <c r="A323" s="6">
        <f>IF($C323="","",64)</f>
        <v/>
      </c>
      <c r="B323" s="6">
        <f>IF($C323="","","5ª Sessão")</f>
        <v/>
      </c>
      <c r="C323" s="6">
        <f>IF(Preenchimento!$B$73="","",Preenchimento!$B$73)</f>
        <v/>
      </c>
      <c r="D323" s="6">
        <f>IF($C323="","",IF(Preenchimento!$C$73="","-",Preenchimento!$C$73))</f>
        <v/>
      </c>
      <c r="E323" s="6" t="n"/>
      <c r="F323" s="6" t="n"/>
      <c r="G323" s="26" t="n"/>
      <c r="H323" s="6" t="n"/>
      <c r="I323" s="13" t="n"/>
      <c r="J323" s="27">
        <f>IF($C323="","",IF($E323="Falta","-",MAX(0,MIN(10,8+IFERROR(VALUE(TRIM(MID(SUBSTITUTE(SUBSTITUTE(SUBSTITUTE(UPPER($H323)," ",""),"D",""),";",REPT(" ",30)),1,30))),0)+IFERROR(VALUE(TRIM(MID(SUBSTITUTE(SUBSTITUTE(SUBSTITUTE(UPPER($H323)," ",""),"D",""),";",REPT(" ",30)),31,30))),0)+IFERROR(VALUE(TRIM(MID(SUBSTITUTE(SUBSTITUTE(SUBSTITUTE(UPPER($H323)," ",""),"D",""),";",REPT(" ",30)),61,30))),0)+IFERROR(VALUE(TRIM(MID(SUBSTITUTE(SUBSTITUTE(SUBSTITUTE(UPPER($H323)," ",""),"D",""),";",REPT(" ",30)),91,30))),0)+IFERROR(VALUE(TRIM(MID(SUBSTITUTE(SUBSTITUTE(SUBSTITUTE(UPPER($H323)," ",""),"D",""),";",REPT(" ",30)),121,30))),0)+IFERROR(VALUE(TRIM(MID(SUBSTITUTE(SUBSTITUTE(SUBSTITUTE(UPPER($H323)," ",""),"D",""),";",REPT(" ",30)),151,30))),0)+IFERROR(VALUE(TRIM(MID(SUBSTITUTE(SUBSTITUTE(SUBSTITUTE(UPPER($H323)," ",""),"D",""),";",REPT(" ",30)),181,30))),0)+IFERROR(VALUE(TRIM(MID(SUBSTITUTE(SUBSTITUTE(SUBSTITUTE(UPPER($H323)," ",""),"D",""),";",REPT(" ",30)),211,30))),0)))))</f>
        <v/>
      </c>
      <c r="K323" s="26" t="n"/>
      <c r="L323" s="6" t="n"/>
      <c r="M323" s="13" t="n"/>
      <c r="N323" s="27">
        <f>IF($C323="","",IF($E323="Falta","-",MAX(0,MIN(10,8+IFERROR(VALUE(TRIM(MID(SUBSTITUTE(SUBSTITUTE(SUBSTITUTE(UPPER($L323)," ",""),"F",""),";",REPT(" ",30)),1,30))),0)+IFERROR(VALUE(TRIM(MID(SUBSTITUTE(SUBSTITUTE(SUBSTITUTE(UPPER($L323)," ",""),"F",""),";",REPT(" ",30)),31,30))),0)+IFERROR(VALUE(TRIM(MID(SUBSTITUTE(SUBSTITUTE(SUBSTITUTE(UPPER($L323)," ",""),"F",""),";",REPT(" ",30)),61,30))),0)+IFERROR(VALUE(TRIM(MID(SUBSTITUTE(SUBSTITUTE(SUBSTITUTE(UPPER($L323)," ",""),"F",""),";",REPT(" ",30)),91,30))),0)+IFERROR(VALUE(TRIM(MID(SUBSTITUTE(SUBSTITUTE(SUBSTITUTE(UPPER($L323)," ",""),"F",""),";",REPT(" ",30)),121,30))),0)+IFERROR(VALUE(TRIM(MID(SUBSTITUTE(SUBSTITUTE(SUBSTITUTE(UPPER($L323)," ",""),"F",""),";",REPT(" ",30)),151,30))),0)+IFERROR(VALUE(TRIM(MID(SUBSTITUTE(SUBSTITUTE(SUBSTITUTE(UPPER($L323)," ",""),"F",""),";",REPT(" ",30)),181,30))),0)+IFERROR(VALUE(TRIM(MID(SUBSTITUTE(SUBSTITUTE(SUBSTITUTE(UPPER($L323)," ",""),"F",""),";",REPT(" ",30)),211,30))),0)))))</f>
        <v/>
      </c>
      <c r="O323" s="26" t="n"/>
      <c r="P323" s="6" t="n"/>
      <c r="Q323" s="13" t="n"/>
      <c r="R323" s="27">
        <f>IF($C323="","",IF($E323="Falta","-",MAX(0,MIN(10,5+IFERROR(VALUE(TRIM(MID(SUBSTITUTE(SUBSTITUTE(SUBSTITUTE(UPPER($P323)," ",""),"C",""),";",REPT(" ",30)),1,30))),0)+IFERROR(VALUE(TRIM(MID(SUBSTITUTE(SUBSTITUTE(SUBSTITUTE(UPPER($P323)," ",""),"C",""),";",REPT(" ",30)),31,30))),0)+IFERROR(VALUE(TRIM(MID(SUBSTITUTE(SUBSTITUTE(SUBSTITUTE(UPPER($P323)," ",""),"C",""),";",REPT(" ",30)),61,30))),0)+IFERROR(VALUE(TRIM(MID(SUBSTITUTE(SUBSTITUTE(SUBSTITUTE(UPPER($P323)," ",""),"C",""),";",REPT(" ",30)),91,30))),0)+IFERROR(VALUE(TRIM(MID(SUBSTITUTE(SUBSTITUTE(SUBSTITUTE(UPPER($P323)," ",""),"C",""),";",REPT(" ",30)),121,30))),0)+IFERROR(VALUE(TRIM(MID(SUBSTITUTE(SUBSTITUTE(SUBSTITUTE(UPPER($P323)," ",""),"C",""),";",REPT(" ",30)),151,30))),0)+IFERROR(VALUE(TRIM(MID(SUBSTITUTE(SUBSTITUTE(SUBSTITUTE(UPPER($P323)," ",""),"C",""),";",REPT(" ",30)),181,30))),0)+IFERROR(VALUE(TRIM(MID(SUBSTITUTE(SUBSTITUTE(SUBSTITUTE(UPPER($P323)," ",""),"C",""),";",REPT(" ",30)),211,30))),0)))))</f>
        <v/>
      </c>
      <c r="S323" s="26" t="n"/>
      <c r="T323" s="6" t="n"/>
      <c r="U323" s="13" t="n"/>
      <c r="V323" s="27">
        <f>IF($C323="","",IF($E323="Falta","-",MAX(0,MIN(10,5+IFERROR(VALUE(TRIM(MID(SUBSTITUTE(SUBSTITUTE(SUBSTITUTE(UPPER($T323)," ",""),"P",""),";",REPT(" ",30)),1,30))),0)+IFERROR(VALUE(TRIM(MID(SUBSTITUTE(SUBSTITUTE(SUBSTITUTE(UPPER($T323)," ",""),"P",""),";",REPT(" ",30)),31,30))),0)+IFERROR(VALUE(TRIM(MID(SUBSTITUTE(SUBSTITUTE(SUBSTITUTE(UPPER($T323)," ",""),"P",""),";",REPT(" ",30)),61,30))),0)+IFERROR(VALUE(TRIM(MID(SUBSTITUTE(SUBSTITUTE(SUBSTITUTE(UPPER($T323)," ",""),"P",""),";",REPT(" ",30)),91,30))),0)+IFERROR(VALUE(TRIM(MID(SUBSTITUTE(SUBSTITUTE(SUBSTITUTE(UPPER($T323)," ",""),"P",""),";",REPT(" ",30)),121,30))),0)+IFERROR(VALUE(TRIM(MID(SUBSTITUTE(SUBSTITUTE(SUBSTITUTE(UPPER($T323)," ",""),"P",""),";",REPT(" ",30)),151,30))),0)+IFERROR(VALUE(TRIM(MID(SUBSTITUTE(SUBSTITUTE(SUBSTITUTE(UPPER($T323)," ",""),"P",""),";",REPT(" ",30)),181,30))),0)+IFERROR(VALUE(TRIM(MID(SUBSTITUTE(SUBSTITUTE(SUBSTITUTE(UPPER($T323)," ",""),"P",""),";",REPT(" ",30)),211,30))),0)))))</f>
        <v/>
      </c>
      <c r="W323" s="26" t="n"/>
      <c r="X323" s="13" t="n"/>
    </row>
    <row r="324">
      <c r="A324" s="8">
        <f>IF($C324="","",65)</f>
        <v/>
      </c>
      <c r="B324" s="8">
        <f>IF($C324="","","1ª Sessão")</f>
        <v/>
      </c>
      <c r="C324" s="8">
        <f>IF(Preenchimento!$B$74="","",Preenchimento!$B$74)</f>
        <v/>
      </c>
      <c r="D324" s="8">
        <f>IF($C324="","",IF(Preenchimento!$C$74="","-",Preenchimento!$C$74))</f>
        <v/>
      </c>
      <c r="E324" s="8" t="n"/>
      <c r="F324" s="8" t="n"/>
      <c r="G324" s="24" t="n"/>
      <c r="H324" s="8" t="n"/>
      <c r="I324" s="14" t="n"/>
      <c r="J324" s="25">
        <f>IF($C324="","",IF($E324="Falta","-",MAX(0,MIN(10,8+IFERROR(VALUE(TRIM(MID(SUBSTITUTE(SUBSTITUTE(SUBSTITUTE(UPPER($H324)," ",""),"D",""),";",REPT(" ",30)),1,30))),0)+IFERROR(VALUE(TRIM(MID(SUBSTITUTE(SUBSTITUTE(SUBSTITUTE(UPPER($H324)," ",""),"D",""),";",REPT(" ",30)),31,30))),0)+IFERROR(VALUE(TRIM(MID(SUBSTITUTE(SUBSTITUTE(SUBSTITUTE(UPPER($H324)," ",""),"D",""),";",REPT(" ",30)),61,30))),0)+IFERROR(VALUE(TRIM(MID(SUBSTITUTE(SUBSTITUTE(SUBSTITUTE(UPPER($H324)," ",""),"D",""),";",REPT(" ",30)),91,30))),0)+IFERROR(VALUE(TRIM(MID(SUBSTITUTE(SUBSTITUTE(SUBSTITUTE(UPPER($H324)," ",""),"D",""),";",REPT(" ",30)),121,30))),0)+IFERROR(VALUE(TRIM(MID(SUBSTITUTE(SUBSTITUTE(SUBSTITUTE(UPPER($H324)," ",""),"D",""),";",REPT(" ",30)),151,30))),0)+IFERROR(VALUE(TRIM(MID(SUBSTITUTE(SUBSTITUTE(SUBSTITUTE(UPPER($H324)," ",""),"D",""),";",REPT(" ",30)),181,30))),0)+IFERROR(VALUE(TRIM(MID(SUBSTITUTE(SUBSTITUTE(SUBSTITUTE(UPPER($H324)," ",""),"D",""),";",REPT(" ",30)),211,30))),0)))))</f>
        <v/>
      </c>
      <c r="K324" s="24" t="n"/>
      <c r="L324" s="8" t="n"/>
      <c r="M324" s="14" t="n"/>
      <c r="N324" s="25">
        <f>IF($C324="","",IF($E324="Falta","-",MAX(0,MIN(10,8+IFERROR(VALUE(TRIM(MID(SUBSTITUTE(SUBSTITUTE(SUBSTITUTE(UPPER($L324)," ",""),"F",""),";",REPT(" ",30)),1,30))),0)+IFERROR(VALUE(TRIM(MID(SUBSTITUTE(SUBSTITUTE(SUBSTITUTE(UPPER($L324)," ",""),"F",""),";",REPT(" ",30)),31,30))),0)+IFERROR(VALUE(TRIM(MID(SUBSTITUTE(SUBSTITUTE(SUBSTITUTE(UPPER($L324)," ",""),"F",""),";",REPT(" ",30)),61,30))),0)+IFERROR(VALUE(TRIM(MID(SUBSTITUTE(SUBSTITUTE(SUBSTITUTE(UPPER($L324)," ",""),"F",""),";",REPT(" ",30)),91,30))),0)+IFERROR(VALUE(TRIM(MID(SUBSTITUTE(SUBSTITUTE(SUBSTITUTE(UPPER($L324)," ",""),"F",""),";",REPT(" ",30)),121,30))),0)+IFERROR(VALUE(TRIM(MID(SUBSTITUTE(SUBSTITUTE(SUBSTITUTE(UPPER($L324)," ",""),"F",""),";",REPT(" ",30)),151,30))),0)+IFERROR(VALUE(TRIM(MID(SUBSTITUTE(SUBSTITUTE(SUBSTITUTE(UPPER($L324)," ",""),"F",""),";",REPT(" ",30)),181,30))),0)+IFERROR(VALUE(TRIM(MID(SUBSTITUTE(SUBSTITUTE(SUBSTITUTE(UPPER($L324)," ",""),"F",""),";",REPT(" ",30)),211,30))),0)))))</f>
        <v/>
      </c>
      <c r="O324" s="24" t="n"/>
      <c r="P324" s="8" t="n"/>
      <c r="Q324" s="14" t="n"/>
      <c r="R324" s="25">
        <f>IF($C324="","",IF($E324="Falta","-",MAX(0,MIN(10,5+IFERROR(VALUE(TRIM(MID(SUBSTITUTE(SUBSTITUTE(SUBSTITUTE(UPPER($P324)," ",""),"C",""),";",REPT(" ",30)),1,30))),0)+IFERROR(VALUE(TRIM(MID(SUBSTITUTE(SUBSTITUTE(SUBSTITUTE(UPPER($P324)," ",""),"C",""),";",REPT(" ",30)),31,30))),0)+IFERROR(VALUE(TRIM(MID(SUBSTITUTE(SUBSTITUTE(SUBSTITUTE(UPPER($P324)," ",""),"C",""),";",REPT(" ",30)),61,30))),0)+IFERROR(VALUE(TRIM(MID(SUBSTITUTE(SUBSTITUTE(SUBSTITUTE(UPPER($P324)," ",""),"C",""),";",REPT(" ",30)),91,30))),0)+IFERROR(VALUE(TRIM(MID(SUBSTITUTE(SUBSTITUTE(SUBSTITUTE(UPPER($P324)," ",""),"C",""),";",REPT(" ",30)),121,30))),0)+IFERROR(VALUE(TRIM(MID(SUBSTITUTE(SUBSTITUTE(SUBSTITUTE(UPPER($P324)," ",""),"C",""),";",REPT(" ",30)),151,30))),0)+IFERROR(VALUE(TRIM(MID(SUBSTITUTE(SUBSTITUTE(SUBSTITUTE(UPPER($P324)," ",""),"C",""),";",REPT(" ",30)),181,30))),0)+IFERROR(VALUE(TRIM(MID(SUBSTITUTE(SUBSTITUTE(SUBSTITUTE(UPPER($P324)," ",""),"C",""),";",REPT(" ",30)),211,30))),0)))))</f>
        <v/>
      </c>
      <c r="S324" s="24" t="n"/>
      <c r="T324" s="8" t="n"/>
      <c r="U324" s="14" t="n"/>
      <c r="V324" s="25">
        <f>IF($C324="","",IF($E324="Falta","-",MAX(0,MIN(10,5+IFERROR(VALUE(TRIM(MID(SUBSTITUTE(SUBSTITUTE(SUBSTITUTE(UPPER($T324)," ",""),"P",""),";",REPT(" ",30)),1,30))),0)+IFERROR(VALUE(TRIM(MID(SUBSTITUTE(SUBSTITUTE(SUBSTITUTE(UPPER($T324)," ",""),"P",""),";",REPT(" ",30)),31,30))),0)+IFERROR(VALUE(TRIM(MID(SUBSTITUTE(SUBSTITUTE(SUBSTITUTE(UPPER($T324)," ",""),"P",""),";",REPT(" ",30)),61,30))),0)+IFERROR(VALUE(TRIM(MID(SUBSTITUTE(SUBSTITUTE(SUBSTITUTE(UPPER($T324)," ",""),"P",""),";",REPT(" ",30)),91,30))),0)+IFERROR(VALUE(TRIM(MID(SUBSTITUTE(SUBSTITUTE(SUBSTITUTE(UPPER($T324)," ",""),"P",""),";",REPT(" ",30)),121,30))),0)+IFERROR(VALUE(TRIM(MID(SUBSTITUTE(SUBSTITUTE(SUBSTITUTE(UPPER($T324)," ",""),"P",""),";",REPT(" ",30)),151,30))),0)+IFERROR(VALUE(TRIM(MID(SUBSTITUTE(SUBSTITUTE(SUBSTITUTE(UPPER($T324)," ",""),"P",""),";",REPT(" ",30)),181,30))),0)+IFERROR(VALUE(TRIM(MID(SUBSTITUTE(SUBSTITUTE(SUBSTITUTE(UPPER($T324)," ",""),"P",""),";",REPT(" ",30)),211,30))),0)))))</f>
        <v/>
      </c>
      <c r="W324" s="24" t="n"/>
      <c r="X324" s="14" t="n"/>
    </row>
    <row r="325">
      <c r="A325" s="8">
        <f>IF($C325="","",65)</f>
        <v/>
      </c>
      <c r="B325" s="8">
        <f>IF($C325="","","2ª Sessão")</f>
        <v/>
      </c>
      <c r="C325" s="8">
        <f>IF(Preenchimento!$B$74="","",Preenchimento!$B$74)</f>
        <v/>
      </c>
      <c r="D325" s="8">
        <f>IF($C325="","",IF(Preenchimento!$C$74="","-",Preenchimento!$C$74))</f>
        <v/>
      </c>
      <c r="E325" s="8" t="n"/>
      <c r="F325" s="8" t="n"/>
      <c r="G325" s="24" t="n"/>
      <c r="H325" s="8" t="n"/>
      <c r="I325" s="14" t="n"/>
      <c r="J325" s="25">
        <f>IF($C325="","",IF($E325="Falta","-",MAX(0,MIN(10,8+IFERROR(VALUE(TRIM(MID(SUBSTITUTE(SUBSTITUTE(SUBSTITUTE(UPPER($H325)," ",""),"D",""),";",REPT(" ",30)),1,30))),0)+IFERROR(VALUE(TRIM(MID(SUBSTITUTE(SUBSTITUTE(SUBSTITUTE(UPPER($H325)," ",""),"D",""),";",REPT(" ",30)),31,30))),0)+IFERROR(VALUE(TRIM(MID(SUBSTITUTE(SUBSTITUTE(SUBSTITUTE(UPPER($H325)," ",""),"D",""),";",REPT(" ",30)),61,30))),0)+IFERROR(VALUE(TRIM(MID(SUBSTITUTE(SUBSTITUTE(SUBSTITUTE(UPPER($H325)," ",""),"D",""),";",REPT(" ",30)),91,30))),0)+IFERROR(VALUE(TRIM(MID(SUBSTITUTE(SUBSTITUTE(SUBSTITUTE(UPPER($H325)," ",""),"D",""),";",REPT(" ",30)),121,30))),0)+IFERROR(VALUE(TRIM(MID(SUBSTITUTE(SUBSTITUTE(SUBSTITUTE(UPPER($H325)," ",""),"D",""),";",REPT(" ",30)),151,30))),0)+IFERROR(VALUE(TRIM(MID(SUBSTITUTE(SUBSTITUTE(SUBSTITUTE(UPPER($H325)," ",""),"D",""),";",REPT(" ",30)),181,30))),0)+IFERROR(VALUE(TRIM(MID(SUBSTITUTE(SUBSTITUTE(SUBSTITUTE(UPPER($H325)," ",""),"D",""),";",REPT(" ",30)),211,30))),0)))))</f>
        <v/>
      </c>
      <c r="K325" s="24" t="n"/>
      <c r="L325" s="8" t="n"/>
      <c r="M325" s="14" t="n"/>
      <c r="N325" s="25">
        <f>IF($C325="","",IF($E325="Falta","-",MAX(0,MIN(10,8+IFERROR(VALUE(TRIM(MID(SUBSTITUTE(SUBSTITUTE(SUBSTITUTE(UPPER($L325)," ",""),"F",""),";",REPT(" ",30)),1,30))),0)+IFERROR(VALUE(TRIM(MID(SUBSTITUTE(SUBSTITUTE(SUBSTITUTE(UPPER($L325)," ",""),"F",""),";",REPT(" ",30)),31,30))),0)+IFERROR(VALUE(TRIM(MID(SUBSTITUTE(SUBSTITUTE(SUBSTITUTE(UPPER($L325)," ",""),"F",""),";",REPT(" ",30)),61,30))),0)+IFERROR(VALUE(TRIM(MID(SUBSTITUTE(SUBSTITUTE(SUBSTITUTE(UPPER($L325)," ",""),"F",""),";",REPT(" ",30)),91,30))),0)+IFERROR(VALUE(TRIM(MID(SUBSTITUTE(SUBSTITUTE(SUBSTITUTE(UPPER($L325)," ",""),"F",""),";",REPT(" ",30)),121,30))),0)+IFERROR(VALUE(TRIM(MID(SUBSTITUTE(SUBSTITUTE(SUBSTITUTE(UPPER($L325)," ",""),"F",""),";",REPT(" ",30)),151,30))),0)+IFERROR(VALUE(TRIM(MID(SUBSTITUTE(SUBSTITUTE(SUBSTITUTE(UPPER($L325)," ",""),"F",""),";",REPT(" ",30)),181,30))),0)+IFERROR(VALUE(TRIM(MID(SUBSTITUTE(SUBSTITUTE(SUBSTITUTE(UPPER($L325)," ",""),"F",""),";",REPT(" ",30)),211,30))),0)))))</f>
        <v/>
      </c>
      <c r="O325" s="24" t="n"/>
      <c r="P325" s="8" t="n"/>
      <c r="Q325" s="14" t="n"/>
      <c r="R325" s="25">
        <f>IF($C325="","",IF($E325="Falta","-",MAX(0,MIN(10,5+IFERROR(VALUE(TRIM(MID(SUBSTITUTE(SUBSTITUTE(SUBSTITUTE(UPPER($P325)," ",""),"C",""),";",REPT(" ",30)),1,30))),0)+IFERROR(VALUE(TRIM(MID(SUBSTITUTE(SUBSTITUTE(SUBSTITUTE(UPPER($P325)," ",""),"C",""),";",REPT(" ",30)),31,30))),0)+IFERROR(VALUE(TRIM(MID(SUBSTITUTE(SUBSTITUTE(SUBSTITUTE(UPPER($P325)," ",""),"C",""),";",REPT(" ",30)),61,30))),0)+IFERROR(VALUE(TRIM(MID(SUBSTITUTE(SUBSTITUTE(SUBSTITUTE(UPPER($P325)," ",""),"C",""),";",REPT(" ",30)),91,30))),0)+IFERROR(VALUE(TRIM(MID(SUBSTITUTE(SUBSTITUTE(SUBSTITUTE(UPPER($P325)," ",""),"C",""),";",REPT(" ",30)),121,30))),0)+IFERROR(VALUE(TRIM(MID(SUBSTITUTE(SUBSTITUTE(SUBSTITUTE(UPPER($P325)," ",""),"C",""),";",REPT(" ",30)),151,30))),0)+IFERROR(VALUE(TRIM(MID(SUBSTITUTE(SUBSTITUTE(SUBSTITUTE(UPPER($P325)," ",""),"C",""),";",REPT(" ",30)),181,30))),0)+IFERROR(VALUE(TRIM(MID(SUBSTITUTE(SUBSTITUTE(SUBSTITUTE(UPPER($P325)," ",""),"C",""),";",REPT(" ",30)),211,30))),0)))))</f>
        <v/>
      </c>
      <c r="S325" s="24" t="n"/>
      <c r="T325" s="8" t="n"/>
      <c r="U325" s="14" t="n"/>
      <c r="V325" s="25">
        <f>IF($C325="","",IF($E325="Falta","-",MAX(0,MIN(10,5+IFERROR(VALUE(TRIM(MID(SUBSTITUTE(SUBSTITUTE(SUBSTITUTE(UPPER($T325)," ",""),"P",""),";",REPT(" ",30)),1,30))),0)+IFERROR(VALUE(TRIM(MID(SUBSTITUTE(SUBSTITUTE(SUBSTITUTE(UPPER($T325)," ",""),"P",""),";",REPT(" ",30)),31,30))),0)+IFERROR(VALUE(TRIM(MID(SUBSTITUTE(SUBSTITUTE(SUBSTITUTE(UPPER($T325)," ",""),"P",""),";",REPT(" ",30)),61,30))),0)+IFERROR(VALUE(TRIM(MID(SUBSTITUTE(SUBSTITUTE(SUBSTITUTE(UPPER($T325)," ",""),"P",""),";",REPT(" ",30)),91,30))),0)+IFERROR(VALUE(TRIM(MID(SUBSTITUTE(SUBSTITUTE(SUBSTITUTE(UPPER($T325)," ",""),"P",""),";",REPT(" ",30)),121,30))),0)+IFERROR(VALUE(TRIM(MID(SUBSTITUTE(SUBSTITUTE(SUBSTITUTE(UPPER($T325)," ",""),"P",""),";",REPT(" ",30)),151,30))),0)+IFERROR(VALUE(TRIM(MID(SUBSTITUTE(SUBSTITUTE(SUBSTITUTE(UPPER($T325)," ",""),"P",""),";",REPT(" ",30)),181,30))),0)+IFERROR(VALUE(TRIM(MID(SUBSTITUTE(SUBSTITUTE(SUBSTITUTE(UPPER($T325)," ",""),"P",""),";",REPT(" ",30)),211,30))),0)))))</f>
        <v/>
      </c>
      <c r="W325" s="24" t="n"/>
      <c r="X325" s="14" t="n"/>
    </row>
    <row r="326">
      <c r="A326" s="8">
        <f>IF($C326="","",65)</f>
        <v/>
      </c>
      <c r="B326" s="8">
        <f>IF($C326="","","3ª Sessão")</f>
        <v/>
      </c>
      <c r="C326" s="8">
        <f>IF(Preenchimento!$B$74="","",Preenchimento!$B$74)</f>
        <v/>
      </c>
      <c r="D326" s="8">
        <f>IF($C326="","",IF(Preenchimento!$C$74="","-",Preenchimento!$C$74))</f>
        <v/>
      </c>
      <c r="E326" s="8" t="n"/>
      <c r="F326" s="8" t="n"/>
      <c r="G326" s="24" t="n"/>
      <c r="H326" s="8" t="n"/>
      <c r="I326" s="14" t="n"/>
      <c r="J326" s="25">
        <f>IF($C326="","",IF($E326="Falta","-",MAX(0,MIN(10,8+IFERROR(VALUE(TRIM(MID(SUBSTITUTE(SUBSTITUTE(SUBSTITUTE(UPPER($H326)," ",""),"D",""),";",REPT(" ",30)),1,30))),0)+IFERROR(VALUE(TRIM(MID(SUBSTITUTE(SUBSTITUTE(SUBSTITUTE(UPPER($H326)," ",""),"D",""),";",REPT(" ",30)),31,30))),0)+IFERROR(VALUE(TRIM(MID(SUBSTITUTE(SUBSTITUTE(SUBSTITUTE(UPPER($H326)," ",""),"D",""),";",REPT(" ",30)),61,30))),0)+IFERROR(VALUE(TRIM(MID(SUBSTITUTE(SUBSTITUTE(SUBSTITUTE(UPPER($H326)," ",""),"D",""),";",REPT(" ",30)),91,30))),0)+IFERROR(VALUE(TRIM(MID(SUBSTITUTE(SUBSTITUTE(SUBSTITUTE(UPPER($H326)," ",""),"D",""),";",REPT(" ",30)),121,30))),0)+IFERROR(VALUE(TRIM(MID(SUBSTITUTE(SUBSTITUTE(SUBSTITUTE(UPPER($H326)," ",""),"D",""),";",REPT(" ",30)),151,30))),0)+IFERROR(VALUE(TRIM(MID(SUBSTITUTE(SUBSTITUTE(SUBSTITUTE(UPPER($H326)," ",""),"D",""),";",REPT(" ",30)),181,30))),0)+IFERROR(VALUE(TRIM(MID(SUBSTITUTE(SUBSTITUTE(SUBSTITUTE(UPPER($H326)," ",""),"D",""),";",REPT(" ",30)),211,30))),0)))))</f>
        <v/>
      </c>
      <c r="K326" s="24" t="n"/>
      <c r="L326" s="8" t="n"/>
      <c r="M326" s="14" t="n"/>
      <c r="N326" s="25">
        <f>IF($C326="","",IF($E326="Falta","-",MAX(0,MIN(10,8+IFERROR(VALUE(TRIM(MID(SUBSTITUTE(SUBSTITUTE(SUBSTITUTE(UPPER($L326)," ",""),"F",""),";",REPT(" ",30)),1,30))),0)+IFERROR(VALUE(TRIM(MID(SUBSTITUTE(SUBSTITUTE(SUBSTITUTE(UPPER($L326)," ",""),"F",""),";",REPT(" ",30)),31,30))),0)+IFERROR(VALUE(TRIM(MID(SUBSTITUTE(SUBSTITUTE(SUBSTITUTE(UPPER($L326)," ",""),"F",""),";",REPT(" ",30)),61,30))),0)+IFERROR(VALUE(TRIM(MID(SUBSTITUTE(SUBSTITUTE(SUBSTITUTE(UPPER($L326)," ",""),"F",""),";",REPT(" ",30)),91,30))),0)+IFERROR(VALUE(TRIM(MID(SUBSTITUTE(SUBSTITUTE(SUBSTITUTE(UPPER($L326)," ",""),"F",""),";",REPT(" ",30)),121,30))),0)+IFERROR(VALUE(TRIM(MID(SUBSTITUTE(SUBSTITUTE(SUBSTITUTE(UPPER($L326)," ",""),"F",""),";",REPT(" ",30)),151,30))),0)+IFERROR(VALUE(TRIM(MID(SUBSTITUTE(SUBSTITUTE(SUBSTITUTE(UPPER($L326)," ",""),"F",""),";",REPT(" ",30)),181,30))),0)+IFERROR(VALUE(TRIM(MID(SUBSTITUTE(SUBSTITUTE(SUBSTITUTE(UPPER($L326)," ",""),"F",""),";",REPT(" ",30)),211,30))),0)))))</f>
        <v/>
      </c>
      <c r="O326" s="24" t="n"/>
      <c r="P326" s="8" t="n"/>
      <c r="Q326" s="14" t="n"/>
      <c r="R326" s="25">
        <f>IF($C326="","",IF($E326="Falta","-",MAX(0,MIN(10,5+IFERROR(VALUE(TRIM(MID(SUBSTITUTE(SUBSTITUTE(SUBSTITUTE(UPPER($P326)," ",""),"C",""),";",REPT(" ",30)),1,30))),0)+IFERROR(VALUE(TRIM(MID(SUBSTITUTE(SUBSTITUTE(SUBSTITUTE(UPPER($P326)," ",""),"C",""),";",REPT(" ",30)),31,30))),0)+IFERROR(VALUE(TRIM(MID(SUBSTITUTE(SUBSTITUTE(SUBSTITUTE(UPPER($P326)," ",""),"C",""),";",REPT(" ",30)),61,30))),0)+IFERROR(VALUE(TRIM(MID(SUBSTITUTE(SUBSTITUTE(SUBSTITUTE(UPPER($P326)," ",""),"C",""),";",REPT(" ",30)),91,30))),0)+IFERROR(VALUE(TRIM(MID(SUBSTITUTE(SUBSTITUTE(SUBSTITUTE(UPPER($P326)," ",""),"C",""),";",REPT(" ",30)),121,30))),0)+IFERROR(VALUE(TRIM(MID(SUBSTITUTE(SUBSTITUTE(SUBSTITUTE(UPPER($P326)," ",""),"C",""),";",REPT(" ",30)),151,30))),0)+IFERROR(VALUE(TRIM(MID(SUBSTITUTE(SUBSTITUTE(SUBSTITUTE(UPPER($P326)," ",""),"C",""),";",REPT(" ",30)),181,30))),0)+IFERROR(VALUE(TRIM(MID(SUBSTITUTE(SUBSTITUTE(SUBSTITUTE(UPPER($P326)," ",""),"C",""),";",REPT(" ",30)),211,30))),0)))))</f>
        <v/>
      </c>
      <c r="S326" s="24" t="n"/>
      <c r="T326" s="8" t="n"/>
      <c r="U326" s="14" t="n"/>
      <c r="V326" s="25">
        <f>IF($C326="","",IF($E326="Falta","-",MAX(0,MIN(10,5+IFERROR(VALUE(TRIM(MID(SUBSTITUTE(SUBSTITUTE(SUBSTITUTE(UPPER($T326)," ",""),"P",""),";",REPT(" ",30)),1,30))),0)+IFERROR(VALUE(TRIM(MID(SUBSTITUTE(SUBSTITUTE(SUBSTITUTE(UPPER($T326)," ",""),"P",""),";",REPT(" ",30)),31,30))),0)+IFERROR(VALUE(TRIM(MID(SUBSTITUTE(SUBSTITUTE(SUBSTITUTE(UPPER($T326)," ",""),"P",""),";",REPT(" ",30)),61,30))),0)+IFERROR(VALUE(TRIM(MID(SUBSTITUTE(SUBSTITUTE(SUBSTITUTE(UPPER($T326)," ",""),"P",""),";",REPT(" ",30)),91,30))),0)+IFERROR(VALUE(TRIM(MID(SUBSTITUTE(SUBSTITUTE(SUBSTITUTE(UPPER($T326)," ",""),"P",""),";",REPT(" ",30)),121,30))),0)+IFERROR(VALUE(TRIM(MID(SUBSTITUTE(SUBSTITUTE(SUBSTITUTE(UPPER($T326)," ",""),"P",""),";",REPT(" ",30)),151,30))),0)+IFERROR(VALUE(TRIM(MID(SUBSTITUTE(SUBSTITUTE(SUBSTITUTE(UPPER($T326)," ",""),"P",""),";",REPT(" ",30)),181,30))),0)+IFERROR(VALUE(TRIM(MID(SUBSTITUTE(SUBSTITUTE(SUBSTITUTE(UPPER($T326)," ",""),"P",""),";",REPT(" ",30)),211,30))),0)))))</f>
        <v/>
      </c>
      <c r="W326" s="24" t="n"/>
      <c r="X326" s="14" t="n"/>
    </row>
    <row r="327">
      <c r="A327" s="8">
        <f>IF($C327="","",65)</f>
        <v/>
      </c>
      <c r="B327" s="8">
        <f>IF($C327="","","4ª Sessão")</f>
        <v/>
      </c>
      <c r="C327" s="8">
        <f>IF(Preenchimento!$B$74="","",Preenchimento!$B$74)</f>
        <v/>
      </c>
      <c r="D327" s="8">
        <f>IF($C327="","",IF(Preenchimento!$C$74="","-",Preenchimento!$C$74))</f>
        <v/>
      </c>
      <c r="E327" s="8" t="n"/>
      <c r="F327" s="8" t="n"/>
      <c r="G327" s="24" t="n"/>
      <c r="H327" s="8" t="n"/>
      <c r="I327" s="14" t="n"/>
      <c r="J327" s="25">
        <f>IF($C327="","",IF($E327="Falta","-",MAX(0,MIN(10,8+IFERROR(VALUE(TRIM(MID(SUBSTITUTE(SUBSTITUTE(SUBSTITUTE(UPPER($H327)," ",""),"D",""),";",REPT(" ",30)),1,30))),0)+IFERROR(VALUE(TRIM(MID(SUBSTITUTE(SUBSTITUTE(SUBSTITUTE(UPPER($H327)," ",""),"D",""),";",REPT(" ",30)),31,30))),0)+IFERROR(VALUE(TRIM(MID(SUBSTITUTE(SUBSTITUTE(SUBSTITUTE(UPPER($H327)," ",""),"D",""),";",REPT(" ",30)),61,30))),0)+IFERROR(VALUE(TRIM(MID(SUBSTITUTE(SUBSTITUTE(SUBSTITUTE(UPPER($H327)," ",""),"D",""),";",REPT(" ",30)),91,30))),0)+IFERROR(VALUE(TRIM(MID(SUBSTITUTE(SUBSTITUTE(SUBSTITUTE(UPPER($H327)," ",""),"D",""),";",REPT(" ",30)),121,30))),0)+IFERROR(VALUE(TRIM(MID(SUBSTITUTE(SUBSTITUTE(SUBSTITUTE(UPPER($H327)," ",""),"D",""),";",REPT(" ",30)),151,30))),0)+IFERROR(VALUE(TRIM(MID(SUBSTITUTE(SUBSTITUTE(SUBSTITUTE(UPPER($H327)," ",""),"D",""),";",REPT(" ",30)),181,30))),0)+IFERROR(VALUE(TRIM(MID(SUBSTITUTE(SUBSTITUTE(SUBSTITUTE(UPPER($H327)," ",""),"D",""),";",REPT(" ",30)),211,30))),0)))))</f>
        <v/>
      </c>
      <c r="K327" s="24" t="n"/>
      <c r="L327" s="8" t="n"/>
      <c r="M327" s="14" t="n"/>
      <c r="N327" s="25">
        <f>IF($C327="","",IF($E327="Falta","-",MAX(0,MIN(10,8+IFERROR(VALUE(TRIM(MID(SUBSTITUTE(SUBSTITUTE(SUBSTITUTE(UPPER($L327)," ",""),"F",""),";",REPT(" ",30)),1,30))),0)+IFERROR(VALUE(TRIM(MID(SUBSTITUTE(SUBSTITUTE(SUBSTITUTE(UPPER($L327)," ",""),"F",""),";",REPT(" ",30)),31,30))),0)+IFERROR(VALUE(TRIM(MID(SUBSTITUTE(SUBSTITUTE(SUBSTITUTE(UPPER($L327)," ",""),"F",""),";",REPT(" ",30)),61,30))),0)+IFERROR(VALUE(TRIM(MID(SUBSTITUTE(SUBSTITUTE(SUBSTITUTE(UPPER($L327)," ",""),"F",""),";",REPT(" ",30)),91,30))),0)+IFERROR(VALUE(TRIM(MID(SUBSTITUTE(SUBSTITUTE(SUBSTITUTE(UPPER($L327)," ",""),"F",""),";",REPT(" ",30)),121,30))),0)+IFERROR(VALUE(TRIM(MID(SUBSTITUTE(SUBSTITUTE(SUBSTITUTE(UPPER($L327)," ",""),"F",""),";",REPT(" ",30)),151,30))),0)+IFERROR(VALUE(TRIM(MID(SUBSTITUTE(SUBSTITUTE(SUBSTITUTE(UPPER($L327)," ",""),"F",""),";",REPT(" ",30)),181,30))),0)+IFERROR(VALUE(TRIM(MID(SUBSTITUTE(SUBSTITUTE(SUBSTITUTE(UPPER($L327)," ",""),"F",""),";",REPT(" ",30)),211,30))),0)))))</f>
        <v/>
      </c>
      <c r="O327" s="24" t="n"/>
      <c r="P327" s="8" t="n"/>
      <c r="Q327" s="14" t="n"/>
      <c r="R327" s="25">
        <f>IF($C327="","",IF($E327="Falta","-",MAX(0,MIN(10,5+IFERROR(VALUE(TRIM(MID(SUBSTITUTE(SUBSTITUTE(SUBSTITUTE(UPPER($P327)," ",""),"C",""),";",REPT(" ",30)),1,30))),0)+IFERROR(VALUE(TRIM(MID(SUBSTITUTE(SUBSTITUTE(SUBSTITUTE(UPPER($P327)," ",""),"C",""),";",REPT(" ",30)),31,30))),0)+IFERROR(VALUE(TRIM(MID(SUBSTITUTE(SUBSTITUTE(SUBSTITUTE(UPPER($P327)," ",""),"C",""),";",REPT(" ",30)),61,30))),0)+IFERROR(VALUE(TRIM(MID(SUBSTITUTE(SUBSTITUTE(SUBSTITUTE(UPPER($P327)," ",""),"C",""),";",REPT(" ",30)),91,30))),0)+IFERROR(VALUE(TRIM(MID(SUBSTITUTE(SUBSTITUTE(SUBSTITUTE(UPPER($P327)," ",""),"C",""),";",REPT(" ",30)),121,30))),0)+IFERROR(VALUE(TRIM(MID(SUBSTITUTE(SUBSTITUTE(SUBSTITUTE(UPPER($P327)," ",""),"C",""),";",REPT(" ",30)),151,30))),0)+IFERROR(VALUE(TRIM(MID(SUBSTITUTE(SUBSTITUTE(SUBSTITUTE(UPPER($P327)," ",""),"C",""),";",REPT(" ",30)),181,30))),0)+IFERROR(VALUE(TRIM(MID(SUBSTITUTE(SUBSTITUTE(SUBSTITUTE(UPPER($P327)," ",""),"C",""),";",REPT(" ",30)),211,30))),0)))))</f>
        <v/>
      </c>
      <c r="S327" s="24" t="n"/>
      <c r="T327" s="8" t="n"/>
      <c r="U327" s="14" t="n"/>
      <c r="V327" s="25">
        <f>IF($C327="","",IF($E327="Falta","-",MAX(0,MIN(10,5+IFERROR(VALUE(TRIM(MID(SUBSTITUTE(SUBSTITUTE(SUBSTITUTE(UPPER($T327)," ",""),"P",""),";",REPT(" ",30)),1,30))),0)+IFERROR(VALUE(TRIM(MID(SUBSTITUTE(SUBSTITUTE(SUBSTITUTE(UPPER($T327)," ",""),"P",""),";",REPT(" ",30)),31,30))),0)+IFERROR(VALUE(TRIM(MID(SUBSTITUTE(SUBSTITUTE(SUBSTITUTE(UPPER($T327)," ",""),"P",""),";",REPT(" ",30)),61,30))),0)+IFERROR(VALUE(TRIM(MID(SUBSTITUTE(SUBSTITUTE(SUBSTITUTE(UPPER($T327)," ",""),"P",""),";",REPT(" ",30)),91,30))),0)+IFERROR(VALUE(TRIM(MID(SUBSTITUTE(SUBSTITUTE(SUBSTITUTE(UPPER($T327)," ",""),"P",""),";",REPT(" ",30)),121,30))),0)+IFERROR(VALUE(TRIM(MID(SUBSTITUTE(SUBSTITUTE(SUBSTITUTE(UPPER($T327)," ",""),"P",""),";",REPT(" ",30)),151,30))),0)+IFERROR(VALUE(TRIM(MID(SUBSTITUTE(SUBSTITUTE(SUBSTITUTE(UPPER($T327)," ",""),"P",""),";",REPT(" ",30)),181,30))),0)+IFERROR(VALUE(TRIM(MID(SUBSTITUTE(SUBSTITUTE(SUBSTITUTE(UPPER($T327)," ",""),"P",""),";",REPT(" ",30)),211,30))),0)))))</f>
        <v/>
      </c>
      <c r="W327" s="24" t="n"/>
      <c r="X327" s="14" t="n"/>
    </row>
    <row r="328">
      <c r="A328" s="8">
        <f>IF($C328="","",65)</f>
        <v/>
      </c>
      <c r="B328" s="8">
        <f>IF($C328="","","5ª Sessão")</f>
        <v/>
      </c>
      <c r="C328" s="8">
        <f>IF(Preenchimento!$B$74="","",Preenchimento!$B$74)</f>
        <v/>
      </c>
      <c r="D328" s="8">
        <f>IF($C328="","",IF(Preenchimento!$C$74="","-",Preenchimento!$C$74))</f>
        <v/>
      </c>
      <c r="E328" s="8" t="n"/>
      <c r="F328" s="8" t="n"/>
      <c r="G328" s="24" t="n"/>
      <c r="H328" s="8" t="n"/>
      <c r="I328" s="14" t="n"/>
      <c r="J328" s="25">
        <f>IF($C328="","",IF($E328="Falta","-",MAX(0,MIN(10,8+IFERROR(VALUE(TRIM(MID(SUBSTITUTE(SUBSTITUTE(SUBSTITUTE(UPPER($H328)," ",""),"D",""),";",REPT(" ",30)),1,30))),0)+IFERROR(VALUE(TRIM(MID(SUBSTITUTE(SUBSTITUTE(SUBSTITUTE(UPPER($H328)," ",""),"D",""),";",REPT(" ",30)),31,30))),0)+IFERROR(VALUE(TRIM(MID(SUBSTITUTE(SUBSTITUTE(SUBSTITUTE(UPPER($H328)," ",""),"D",""),";",REPT(" ",30)),61,30))),0)+IFERROR(VALUE(TRIM(MID(SUBSTITUTE(SUBSTITUTE(SUBSTITUTE(UPPER($H328)," ",""),"D",""),";",REPT(" ",30)),91,30))),0)+IFERROR(VALUE(TRIM(MID(SUBSTITUTE(SUBSTITUTE(SUBSTITUTE(UPPER($H328)," ",""),"D",""),";",REPT(" ",30)),121,30))),0)+IFERROR(VALUE(TRIM(MID(SUBSTITUTE(SUBSTITUTE(SUBSTITUTE(UPPER($H328)," ",""),"D",""),";",REPT(" ",30)),151,30))),0)+IFERROR(VALUE(TRIM(MID(SUBSTITUTE(SUBSTITUTE(SUBSTITUTE(UPPER($H328)," ",""),"D",""),";",REPT(" ",30)),181,30))),0)+IFERROR(VALUE(TRIM(MID(SUBSTITUTE(SUBSTITUTE(SUBSTITUTE(UPPER($H328)," ",""),"D",""),";",REPT(" ",30)),211,30))),0)))))</f>
        <v/>
      </c>
      <c r="K328" s="24" t="n"/>
      <c r="L328" s="8" t="n"/>
      <c r="M328" s="14" t="n"/>
      <c r="N328" s="25">
        <f>IF($C328="","",IF($E328="Falta","-",MAX(0,MIN(10,8+IFERROR(VALUE(TRIM(MID(SUBSTITUTE(SUBSTITUTE(SUBSTITUTE(UPPER($L328)," ",""),"F",""),";",REPT(" ",30)),1,30))),0)+IFERROR(VALUE(TRIM(MID(SUBSTITUTE(SUBSTITUTE(SUBSTITUTE(UPPER($L328)," ",""),"F",""),";",REPT(" ",30)),31,30))),0)+IFERROR(VALUE(TRIM(MID(SUBSTITUTE(SUBSTITUTE(SUBSTITUTE(UPPER($L328)," ",""),"F",""),";",REPT(" ",30)),61,30))),0)+IFERROR(VALUE(TRIM(MID(SUBSTITUTE(SUBSTITUTE(SUBSTITUTE(UPPER($L328)," ",""),"F",""),";",REPT(" ",30)),91,30))),0)+IFERROR(VALUE(TRIM(MID(SUBSTITUTE(SUBSTITUTE(SUBSTITUTE(UPPER($L328)," ",""),"F",""),";",REPT(" ",30)),121,30))),0)+IFERROR(VALUE(TRIM(MID(SUBSTITUTE(SUBSTITUTE(SUBSTITUTE(UPPER($L328)," ",""),"F",""),";",REPT(" ",30)),151,30))),0)+IFERROR(VALUE(TRIM(MID(SUBSTITUTE(SUBSTITUTE(SUBSTITUTE(UPPER($L328)," ",""),"F",""),";",REPT(" ",30)),181,30))),0)+IFERROR(VALUE(TRIM(MID(SUBSTITUTE(SUBSTITUTE(SUBSTITUTE(UPPER($L328)," ",""),"F",""),";",REPT(" ",30)),211,30))),0)))))</f>
        <v/>
      </c>
      <c r="O328" s="24" t="n"/>
      <c r="P328" s="8" t="n"/>
      <c r="Q328" s="14" t="n"/>
      <c r="R328" s="25">
        <f>IF($C328="","",IF($E328="Falta","-",MAX(0,MIN(10,5+IFERROR(VALUE(TRIM(MID(SUBSTITUTE(SUBSTITUTE(SUBSTITUTE(UPPER($P328)," ",""),"C",""),";",REPT(" ",30)),1,30))),0)+IFERROR(VALUE(TRIM(MID(SUBSTITUTE(SUBSTITUTE(SUBSTITUTE(UPPER($P328)," ",""),"C",""),";",REPT(" ",30)),31,30))),0)+IFERROR(VALUE(TRIM(MID(SUBSTITUTE(SUBSTITUTE(SUBSTITUTE(UPPER($P328)," ",""),"C",""),";",REPT(" ",30)),61,30))),0)+IFERROR(VALUE(TRIM(MID(SUBSTITUTE(SUBSTITUTE(SUBSTITUTE(UPPER($P328)," ",""),"C",""),";",REPT(" ",30)),91,30))),0)+IFERROR(VALUE(TRIM(MID(SUBSTITUTE(SUBSTITUTE(SUBSTITUTE(UPPER($P328)," ",""),"C",""),";",REPT(" ",30)),121,30))),0)+IFERROR(VALUE(TRIM(MID(SUBSTITUTE(SUBSTITUTE(SUBSTITUTE(UPPER($P328)," ",""),"C",""),";",REPT(" ",30)),151,30))),0)+IFERROR(VALUE(TRIM(MID(SUBSTITUTE(SUBSTITUTE(SUBSTITUTE(UPPER($P328)," ",""),"C",""),";",REPT(" ",30)),181,30))),0)+IFERROR(VALUE(TRIM(MID(SUBSTITUTE(SUBSTITUTE(SUBSTITUTE(UPPER($P328)," ",""),"C",""),";",REPT(" ",30)),211,30))),0)))))</f>
        <v/>
      </c>
      <c r="S328" s="24" t="n"/>
      <c r="T328" s="8" t="n"/>
      <c r="U328" s="14" t="n"/>
      <c r="V328" s="25">
        <f>IF($C328="","",IF($E328="Falta","-",MAX(0,MIN(10,5+IFERROR(VALUE(TRIM(MID(SUBSTITUTE(SUBSTITUTE(SUBSTITUTE(UPPER($T328)," ",""),"P",""),";",REPT(" ",30)),1,30))),0)+IFERROR(VALUE(TRIM(MID(SUBSTITUTE(SUBSTITUTE(SUBSTITUTE(UPPER($T328)," ",""),"P",""),";",REPT(" ",30)),31,30))),0)+IFERROR(VALUE(TRIM(MID(SUBSTITUTE(SUBSTITUTE(SUBSTITUTE(UPPER($T328)," ",""),"P",""),";",REPT(" ",30)),61,30))),0)+IFERROR(VALUE(TRIM(MID(SUBSTITUTE(SUBSTITUTE(SUBSTITUTE(UPPER($T328)," ",""),"P",""),";",REPT(" ",30)),91,30))),0)+IFERROR(VALUE(TRIM(MID(SUBSTITUTE(SUBSTITUTE(SUBSTITUTE(UPPER($T328)," ",""),"P",""),";",REPT(" ",30)),121,30))),0)+IFERROR(VALUE(TRIM(MID(SUBSTITUTE(SUBSTITUTE(SUBSTITUTE(UPPER($T328)," ",""),"P",""),";",REPT(" ",30)),151,30))),0)+IFERROR(VALUE(TRIM(MID(SUBSTITUTE(SUBSTITUTE(SUBSTITUTE(UPPER($T328)," ",""),"P",""),";",REPT(" ",30)),181,30))),0)+IFERROR(VALUE(TRIM(MID(SUBSTITUTE(SUBSTITUTE(SUBSTITUTE(UPPER($T328)," ",""),"P",""),";",REPT(" ",30)),211,30))),0)))))</f>
        <v/>
      </c>
      <c r="W328" s="24" t="n"/>
      <c r="X328" s="14" t="n"/>
    </row>
    <row r="329">
      <c r="A329" s="6">
        <f>IF($C329="","",66)</f>
        <v/>
      </c>
      <c r="B329" s="6">
        <f>IF($C329="","","1ª Sessão")</f>
        <v/>
      </c>
      <c r="C329" s="6">
        <f>IF(Preenchimento!$B$75="","",Preenchimento!$B$75)</f>
        <v/>
      </c>
      <c r="D329" s="6">
        <f>IF($C329="","",IF(Preenchimento!$C$75="","-",Preenchimento!$C$75))</f>
        <v/>
      </c>
      <c r="E329" s="6" t="n"/>
      <c r="F329" s="6" t="n"/>
      <c r="G329" s="26" t="n"/>
      <c r="H329" s="6" t="n"/>
      <c r="I329" s="13" t="n"/>
      <c r="J329" s="27">
        <f>IF($C329="","",IF($E329="Falta","-",MAX(0,MIN(10,8+IFERROR(VALUE(TRIM(MID(SUBSTITUTE(SUBSTITUTE(SUBSTITUTE(UPPER($H329)," ",""),"D",""),";",REPT(" ",30)),1,30))),0)+IFERROR(VALUE(TRIM(MID(SUBSTITUTE(SUBSTITUTE(SUBSTITUTE(UPPER($H329)," ",""),"D",""),";",REPT(" ",30)),31,30))),0)+IFERROR(VALUE(TRIM(MID(SUBSTITUTE(SUBSTITUTE(SUBSTITUTE(UPPER($H329)," ",""),"D",""),";",REPT(" ",30)),61,30))),0)+IFERROR(VALUE(TRIM(MID(SUBSTITUTE(SUBSTITUTE(SUBSTITUTE(UPPER($H329)," ",""),"D",""),";",REPT(" ",30)),91,30))),0)+IFERROR(VALUE(TRIM(MID(SUBSTITUTE(SUBSTITUTE(SUBSTITUTE(UPPER($H329)," ",""),"D",""),";",REPT(" ",30)),121,30))),0)+IFERROR(VALUE(TRIM(MID(SUBSTITUTE(SUBSTITUTE(SUBSTITUTE(UPPER($H329)," ",""),"D",""),";",REPT(" ",30)),151,30))),0)+IFERROR(VALUE(TRIM(MID(SUBSTITUTE(SUBSTITUTE(SUBSTITUTE(UPPER($H329)," ",""),"D",""),";",REPT(" ",30)),181,30))),0)+IFERROR(VALUE(TRIM(MID(SUBSTITUTE(SUBSTITUTE(SUBSTITUTE(UPPER($H329)," ",""),"D",""),";",REPT(" ",30)),211,30))),0)))))</f>
        <v/>
      </c>
      <c r="K329" s="26" t="n"/>
      <c r="L329" s="6" t="n"/>
      <c r="M329" s="13" t="n"/>
      <c r="N329" s="27">
        <f>IF($C329="","",IF($E329="Falta","-",MAX(0,MIN(10,8+IFERROR(VALUE(TRIM(MID(SUBSTITUTE(SUBSTITUTE(SUBSTITUTE(UPPER($L329)," ",""),"F",""),";",REPT(" ",30)),1,30))),0)+IFERROR(VALUE(TRIM(MID(SUBSTITUTE(SUBSTITUTE(SUBSTITUTE(UPPER($L329)," ",""),"F",""),";",REPT(" ",30)),31,30))),0)+IFERROR(VALUE(TRIM(MID(SUBSTITUTE(SUBSTITUTE(SUBSTITUTE(UPPER($L329)," ",""),"F",""),";",REPT(" ",30)),61,30))),0)+IFERROR(VALUE(TRIM(MID(SUBSTITUTE(SUBSTITUTE(SUBSTITUTE(UPPER($L329)," ",""),"F",""),";",REPT(" ",30)),91,30))),0)+IFERROR(VALUE(TRIM(MID(SUBSTITUTE(SUBSTITUTE(SUBSTITUTE(UPPER($L329)," ",""),"F",""),";",REPT(" ",30)),121,30))),0)+IFERROR(VALUE(TRIM(MID(SUBSTITUTE(SUBSTITUTE(SUBSTITUTE(UPPER($L329)," ",""),"F",""),";",REPT(" ",30)),151,30))),0)+IFERROR(VALUE(TRIM(MID(SUBSTITUTE(SUBSTITUTE(SUBSTITUTE(UPPER($L329)," ",""),"F",""),";",REPT(" ",30)),181,30))),0)+IFERROR(VALUE(TRIM(MID(SUBSTITUTE(SUBSTITUTE(SUBSTITUTE(UPPER($L329)," ",""),"F",""),";",REPT(" ",30)),211,30))),0)))))</f>
        <v/>
      </c>
      <c r="O329" s="26" t="n"/>
      <c r="P329" s="6" t="n"/>
      <c r="Q329" s="13" t="n"/>
      <c r="R329" s="27">
        <f>IF($C329="","",IF($E329="Falta","-",MAX(0,MIN(10,5+IFERROR(VALUE(TRIM(MID(SUBSTITUTE(SUBSTITUTE(SUBSTITUTE(UPPER($P329)," ",""),"C",""),";",REPT(" ",30)),1,30))),0)+IFERROR(VALUE(TRIM(MID(SUBSTITUTE(SUBSTITUTE(SUBSTITUTE(UPPER($P329)," ",""),"C",""),";",REPT(" ",30)),31,30))),0)+IFERROR(VALUE(TRIM(MID(SUBSTITUTE(SUBSTITUTE(SUBSTITUTE(UPPER($P329)," ",""),"C",""),";",REPT(" ",30)),61,30))),0)+IFERROR(VALUE(TRIM(MID(SUBSTITUTE(SUBSTITUTE(SUBSTITUTE(UPPER($P329)," ",""),"C",""),";",REPT(" ",30)),91,30))),0)+IFERROR(VALUE(TRIM(MID(SUBSTITUTE(SUBSTITUTE(SUBSTITUTE(UPPER($P329)," ",""),"C",""),";",REPT(" ",30)),121,30))),0)+IFERROR(VALUE(TRIM(MID(SUBSTITUTE(SUBSTITUTE(SUBSTITUTE(UPPER($P329)," ",""),"C",""),";",REPT(" ",30)),151,30))),0)+IFERROR(VALUE(TRIM(MID(SUBSTITUTE(SUBSTITUTE(SUBSTITUTE(UPPER($P329)," ",""),"C",""),";",REPT(" ",30)),181,30))),0)+IFERROR(VALUE(TRIM(MID(SUBSTITUTE(SUBSTITUTE(SUBSTITUTE(UPPER($P329)," ",""),"C",""),";",REPT(" ",30)),211,30))),0)))))</f>
        <v/>
      </c>
      <c r="S329" s="26" t="n"/>
      <c r="T329" s="6" t="n"/>
      <c r="U329" s="13" t="n"/>
      <c r="V329" s="27">
        <f>IF($C329="","",IF($E329="Falta","-",MAX(0,MIN(10,5+IFERROR(VALUE(TRIM(MID(SUBSTITUTE(SUBSTITUTE(SUBSTITUTE(UPPER($T329)," ",""),"P",""),";",REPT(" ",30)),1,30))),0)+IFERROR(VALUE(TRIM(MID(SUBSTITUTE(SUBSTITUTE(SUBSTITUTE(UPPER($T329)," ",""),"P",""),";",REPT(" ",30)),31,30))),0)+IFERROR(VALUE(TRIM(MID(SUBSTITUTE(SUBSTITUTE(SUBSTITUTE(UPPER($T329)," ",""),"P",""),";",REPT(" ",30)),61,30))),0)+IFERROR(VALUE(TRIM(MID(SUBSTITUTE(SUBSTITUTE(SUBSTITUTE(UPPER($T329)," ",""),"P",""),";",REPT(" ",30)),91,30))),0)+IFERROR(VALUE(TRIM(MID(SUBSTITUTE(SUBSTITUTE(SUBSTITUTE(UPPER($T329)," ",""),"P",""),";",REPT(" ",30)),121,30))),0)+IFERROR(VALUE(TRIM(MID(SUBSTITUTE(SUBSTITUTE(SUBSTITUTE(UPPER($T329)," ",""),"P",""),";",REPT(" ",30)),151,30))),0)+IFERROR(VALUE(TRIM(MID(SUBSTITUTE(SUBSTITUTE(SUBSTITUTE(UPPER($T329)," ",""),"P",""),";",REPT(" ",30)),181,30))),0)+IFERROR(VALUE(TRIM(MID(SUBSTITUTE(SUBSTITUTE(SUBSTITUTE(UPPER($T329)," ",""),"P",""),";",REPT(" ",30)),211,30))),0)))))</f>
        <v/>
      </c>
      <c r="W329" s="26" t="n"/>
      <c r="X329" s="13" t="n"/>
    </row>
    <row r="330">
      <c r="A330" s="6">
        <f>IF($C330="","",66)</f>
        <v/>
      </c>
      <c r="B330" s="6">
        <f>IF($C330="","","2ª Sessão")</f>
        <v/>
      </c>
      <c r="C330" s="6">
        <f>IF(Preenchimento!$B$75="","",Preenchimento!$B$75)</f>
        <v/>
      </c>
      <c r="D330" s="6">
        <f>IF($C330="","",IF(Preenchimento!$C$75="","-",Preenchimento!$C$75))</f>
        <v/>
      </c>
      <c r="E330" s="6" t="n"/>
      <c r="F330" s="6" t="n"/>
      <c r="G330" s="26" t="n"/>
      <c r="H330" s="6" t="n"/>
      <c r="I330" s="13" t="n"/>
      <c r="J330" s="27">
        <f>IF($C330="","",IF($E330="Falta","-",MAX(0,MIN(10,8+IFERROR(VALUE(TRIM(MID(SUBSTITUTE(SUBSTITUTE(SUBSTITUTE(UPPER($H330)," ",""),"D",""),";",REPT(" ",30)),1,30))),0)+IFERROR(VALUE(TRIM(MID(SUBSTITUTE(SUBSTITUTE(SUBSTITUTE(UPPER($H330)," ",""),"D",""),";",REPT(" ",30)),31,30))),0)+IFERROR(VALUE(TRIM(MID(SUBSTITUTE(SUBSTITUTE(SUBSTITUTE(UPPER($H330)," ",""),"D",""),";",REPT(" ",30)),61,30))),0)+IFERROR(VALUE(TRIM(MID(SUBSTITUTE(SUBSTITUTE(SUBSTITUTE(UPPER($H330)," ",""),"D",""),";",REPT(" ",30)),91,30))),0)+IFERROR(VALUE(TRIM(MID(SUBSTITUTE(SUBSTITUTE(SUBSTITUTE(UPPER($H330)," ",""),"D",""),";",REPT(" ",30)),121,30))),0)+IFERROR(VALUE(TRIM(MID(SUBSTITUTE(SUBSTITUTE(SUBSTITUTE(UPPER($H330)," ",""),"D",""),";",REPT(" ",30)),151,30))),0)+IFERROR(VALUE(TRIM(MID(SUBSTITUTE(SUBSTITUTE(SUBSTITUTE(UPPER($H330)," ",""),"D",""),";",REPT(" ",30)),181,30))),0)+IFERROR(VALUE(TRIM(MID(SUBSTITUTE(SUBSTITUTE(SUBSTITUTE(UPPER($H330)," ",""),"D",""),";",REPT(" ",30)),211,30))),0)))))</f>
        <v/>
      </c>
      <c r="K330" s="26" t="n"/>
      <c r="L330" s="6" t="n"/>
      <c r="M330" s="13" t="n"/>
      <c r="N330" s="27">
        <f>IF($C330="","",IF($E330="Falta","-",MAX(0,MIN(10,8+IFERROR(VALUE(TRIM(MID(SUBSTITUTE(SUBSTITUTE(SUBSTITUTE(UPPER($L330)," ",""),"F",""),";",REPT(" ",30)),1,30))),0)+IFERROR(VALUE(TRIM(MID(SUBSTITUTE(SUBSTITUTE(SUBSTITUTE(UPPER($L330)," ",""),"F",""),";",REPT(" ",30)),31,30))),0)+IFERROR(VALUE(TRIM(MID(SUBSTITUTE(SUBSTITUTE(SUBSTITUTE(UPPER($L330)," ",""),"F",""),";",REPT(" ",30)),61,30))),0)+IFERROR(VALUE(TRIM(MID(SUBSTITUTE(SUBSTITUTE(SUBSTITUTE(UPPER($L330)," ",""),"F",""),";",REPT(" ",30)),91,30))),0)+IFERROR(VALUE(TRIM(MID(SUBSTITUTE(SUBSTITUTE(SUBSTITUTE(UPPER($L330)," ",""),"F",""),";",REPT(" ",30)),121,30))),0)+IFERROR(VALUE(TRIM(MID(SUBSTITUTE(SUBSTITUTE(SUBSTITUTE(UPPER($L330)," ",""),"F",""),";",REPT(" ",30)),151,30))),0)+IFERROR(VALUE(TRIM(MID(SUBSTITUTE(SUBSTITUTE(SUBSTITUTE(UPPER($L330)," ",""),"F",""),";",REPT(" ",30)),181,30))),0)+IFERROR(VALUE(TRIM(MID(SUBSTITUTE(SUBSTITUTE(SUBSTITUTE(UPPER($L330)," ",""),"F",""),";",REPT(" ",30)),211,30))),0)))))</f>
        <v/>
      </c>
      <c r="O330" s="26" t="n"/>
      <c r="P330" s="6" t="n"/>
      <c r="Q330" s="13" t="n"/>
      <c r="R330" s="27">
        <f>IF($C330="","",IF($E330="Falta","-",MAX(0,MIN(10,5+IFERROR(VALUE(TRIM(MID(SUBSTITUTE(SUBSTITUTE(SUBSTITUTE(UPPER($P330)," ",""),"C",""),";",REPT(" ",30)),1,30))),0)+IFERROR(VALUE(TRIM(MID(SUBSTITUTE(SUBSTITUTE(SUBSTITUTE(UPPER($P330)," ",""),"C",""),";",REPT(" ",30)),31,30))),0)+IFERROR(VALUE(TRIM(MID(SUBSTITUTE(SUBSTITUTE(SUBSTITUTE(UPPER($P330)," ",""),"C",""),";",REPT(" ",30)),61,30))),0)+IFERROR(VALUE(TRIM(MID(SUBSTITUTE(SUBSTITUTE(SUBSTITUTE(UPPER($P330)," ",""),"C",""),";",REPT(" ",30)),91,30))),0)+IFERROR(VALUE(TRIM(MID(SUBSTITUTE(SUBSTITUTE(SUBSTITUTE(UPPER($P330)," ",""),"C",""),";",REPT(" ",30)),121,30))),0)+IFERROR(VALUE(TRIM(MID(SUBSTITUTE(SUBSTITUTE(SUBSTITUTE(UPPER($P330)," ",""),"C",""),";",REPT(" ",30)),151,30))),0)+IFERROR(VALUE(TRIM(MID(SUBSTITUTE(SUBSTITUTE(SUBSTITUTE(UPPER($P330)," ",""),"C",""),";",REPT(" ",30)),181,30))),0)+IFERROR(VALUE(TRIM(MID(SUBSTITUTE(SUBSTITUTE(SUBSTITUTE(UPPER($P330)," ",""),"C",""),";",REPT(" ",30)),211,30))),0)))))</f>
        <v/>
      </c>
      <c r="S330" s="26" t="n"/>
      <c r="T330" s="6" t="n"/>
      <c r="U330" s="13" t="n"/>
      <c r="V330" s="27">
        <f>IF($C330="","",IF($E330="Falta","-",MAX(0,MIN(10,5+IFERROR(VALUE(TRIM(MID(SUBSTITUTE(SUBSTITUTE(SUBSTITUTE(UPPER($T330)," ",""),"P",""),";",REPT(" ",30)),1,30))),0)+IFERROR(VALUE(TRIM(MID(SUBSTITUTE(SUBSTITUTE(SUBSTITUTE(UPPER($T330)," ",""),"P",""),";",REPT(" ",30)),31,30))),0)+IFERROR(VALUE(TRIM(MID(SUBSTITUTE(SUBSTITUTE(SUBSTITUTE(UPPER($T330)," ",""),"P",""),";",REPT(" ",30)),61,30))),0)+IFERROR(VALUE(TRIM(MID(SUBSTITUTE(SUBSTITUTE(SUBSTITUTE(UPPER($T330)," ",""),"P",""),";",REPT(" ",30)),91,30))),0)+IFERROR(VALUE(TRIM(MID(SUBSTITUTE(SUBSTITUTE(SUBSTITUTE(UPPER($T330)," ",""),"P",""),";",REPT(" ",30)),121,30))),0)+IFERROR(VALUE(TRIM(MID(SUBSTITUTE(SUBSTITUTE(SUBSTITUTE(UPPER($T330)," ",""),"P",""),";",REPT(" ",30)),151,30))),0)+IFERROR(VALUE(TRIM(MID(SUBSTITUTE(SUBSTITUTE(SUBSTITUTE(UPPER($T330)," ",""),"P",""),";",REPT(" ",30)),181,30))),0)+IFERROR(VALUE(TRIM(MID(SUBSTITUTE(SUBSTITUTE(SUBSTITUTE(UPPER($T330)," ",""),"P",""),";",REPT(" ",30)),211,30))),0)))))</f>
        <v/>
      </c>
      <c r="W330" s="26" t="n"/>
      <c r="X330" s="13" t="n"/>
    </row>
    <row r="331">
      <c r="A331" s="6">
        <f>IF($C331="","",66)</f>
        <v/>
      </c>
      <c r="B331" s="6">
        <f>IF($C331="","","3ª Sessão")</f>
        <v/>
      </c>
      <c r="C331" s="6">
        <f>IF(Preenchimento!$B$75="","",Preenchimento!$B$75)</f>
        <v/>
      </c>
      <c r="D331" s="6">
        <f>IF($C331="","",IF(Preenchimento!$C$75="","-",Preenchimento!$C$75))</f>
        <v/>
      </c>
      <c r="E331" s="6" t="n"/>
      <c r="F331" s="6" t="n"/>
      <c r="G331" s="26" t="n"/>
      <c r="H331" s="6" t="n"/>
      <c r="I331" s="13" t="n"/>
      <c r="J331" s="27">
        <f>IF($C331="","",IF($E331="Falta","-",MAX(0,MIN(10,8+IFERROR(VALUE(TRIM(MID(SUBSTITUTE(SUBSTITUTE(SUBSTITUTE(UPPER($H331)," ",""),"D",""),";",REPT(" ",30)),1,30))),0)+IFERROR(VALUE(TRIM(MID(SUBSTITUTE(SUBSTITUTE(SUBSTITUTE(UPPER($H331)," ",""),"D",""),";",REPT(" ",30)),31,30))),0)+IFERROR(VALUE(TRIM(MID(SUBSTITUTE(SUBSTITUTE(SUBSTITUTE(UPPER($H331)," ",""),"D",""),";",REPT(" ",30)),61,30))),0)+IFERROR(VALUE(TRIM(MID(SUBSTITUTE(SUBSTITUTE(SUBSTITUTE(UPPER($H331)," ",""),"D",""),";",REPT(" ",30)),91,30))),0)+IFERROR(VALUE(TRIM(MID(SUBSTITUTE(SUBSTITUTE(SUBSTITUTE(UPPER($H331)," ",""),"D",""),";",REPT(" ",30)),121,30))),0)+IFERROR(VALUE(TRIM(MID(SUBSTITUTE(SUBSTITUTE(SUBSTITUTE(UPPER($H331)," ",""),"D",""),";",REPT(" ",30)),151,30))),0)+IFERROR(VALUE(TRIM(MID(SUBSTITUTE(SUBSTITUTE(SUBSTITUTE(UPPER($H331)," ",""),"D",""),";",REPT(" ",30)),181,30))),0)+IFERROR(VALUE(TRIM(MID(SUBSTITUTE(SUBSTITUTE(SUBSTITUTE(UPPER($H331)," ",""),"D",""),";",REPT(" ",30)),211,30))),0)))))</f>
        <v/>
      </c>
      <c r="K331" s="26" t="n"/>
      <c r="L331" s="6" t="n"/>
      <c r="M331" s="13" t="n"/>
      <c r="N331" s="27">
        <f>IF($C331="","",IF($E331="Falta","-",MAX(0,MIN(10,8+IFERROR(VALUE(TRIM(MID(SUBSTITUTE(SUBSTITUTE(SUBSTITUTE(UPPER($L331)," ",""),"F",""),";",REPT(" ",30)),1,30))),0)+IFERROR(VALUE(TRIM(MID(SUBSTITUTE(SUBSTITUTE(SUBSTITUTE(UPPER($L331)," ",""),"F",""),";",REPT(" ",30)),31,30))),0)+IFERROR(VALUE(TRIM(MID(SUBSTITUTE(SUBSTITUTE(SUBSTITUTE(UPPER($L331)," ",""),"F",""),";",REPT(" ",30)),61,30))),0)+IFERROR(VALUE(TRIM(MID(SUBSTITUTE(SUBSTITUTE(SUBSTITUTE(UPPER($L331)," ",""),"F",""),";",REPT(" ",30)),91,30))),0)+IFERROR(VALUE(TRIM(MID(SUBSTITUTE(SUBSTITUTE(SUBSTITUTE(UPPER($L331)," ",""),"F",""),";",REPT(" ",30)),121,30))),0)+IFERROR(VALUE(TRIM(MID(SUBSTITUTE(SUBSTITUTE(SUBSTITUTE(UPPER($L331)," ",""),"F",""),";",REPT(" ",30)),151,30))),0)+IFERROR(VALUE(TRIM(MID(SUBSTITUTE(SUBSTITUTE(SUBSTITUTE(UPPER($L331)," ",""),"F",""),";",REPT(" ",30)),181,30))),0)+IFERROR(VALUE(TRIM(MID(SUBSTITUTE(SUBSTITUTE(SUBSTITUTE(UPPER($L331)," ",""),"F",""),";",REPT(" ",30)),211,30))),0)))))</f>
        <v/>
      </c>
      <c r="O331" s="26" t="n"/>
      <c r="P331" s="6" t="n"/>
      <c r="Q331" s="13" t="n"/>
      <c r="R331" s="27">
        <f>IF($C331="","",IF($E331="Falta","-",MAX(0,MIN(10,5+IFERROR(VALUE(TRIM(MID(SUBSTITUTE(SUBSTITUTE(SUBSTITUTE(UPPER($P331)," ",""),"C",""),";",REPT(" ",30)),1,30))),0)+IFERROR(VALUE(TRIM(MID(SUBSTITUTE(SUBSTITUTE(SUBSTITUTE(UPPER($P331)," ",""),"C",""),";",REPT(" ",30)),31,30))),0)+IFERROR(VALUE(TRIM(MID(SUBSTITUTE(SUBSTITUTE(SUBSTITUTE(UPPER($P331)," ",""),"C",""),";",REPT(" ",30)),61,30))),0)+IFERROR(VALUE(TRIM(MID(SUBSTITUTE(SUBSTITUTE(SUBSTITUTE(UPPER($P331)," ",""),"C",""),";",REPT(" ",30)),91,30))),0)+IFERROR(VALUE(TRIM(MID(SUBSTITUTE(SUBSTITUTE(SUBSTITUTE(UPPER($P331)," ",""),"C",""),";",REPT(" ",30)),121,30))),0)+IFERROR(VALUE(TRIM(MID(SUBSTITUTE(SUBSTITUTE(SUBSTITUTE(UPPER($P331)," ",""),"C",""),";",REPT(" ",30)),151,30))),0)+IFERROR(VALUE(TRIM(MID(SUBSTITUTE(SUBSTITUTE(SUBSTITUTE(UPPER($P331)," ",""),"C",""),";",REPT(" ",30)),181,30))),0)+IFERROR(VALUE(TRIM(MID(SUBSTITUTE(SUBSTITUTE(SUBSTITUTE(UPPER($P331)," ",""),"C",""),";",REPT(" ",30)),211,30))),0)))))</f>
        <v/>
      </c>
      <c r="S331" s="26" t="n"/>
      <c r="T331" s="6" t="n"/>
      <c r="U331" s="13" t="n"/>
      <c r="V331" s="27">
        <f>IF($C331="","",IF($E331="Falta","-",MAX(0,MIN(10,5+IFERROR(VALUE(TRIM(MID(SUBSTITUTE(SUBSTITUTE(SUBSTITUTE(UPPER($T331)," ",""),"P",""),";",REPT(" ",30)),1,30))),0)+IFERROR(VALUE(TRIM(MID(SUBSTITUTE(SUBSTITUTE(SUBSTITUTE(UPPER($T331)," ",""),"P",""),";",REPT(" ",30)),31,30))),0)+IFERROR(VALUE(TRIM(MID(SUBSTITUTE(SUBSTITUTE(SUBSTITUTE(UPPER($T331)," ",""),"P",""),";",REPT(" ",30)),61,30))),0)+IFERROR(VALUE(TRIM(MID(SUBSTITUTE(SUBSTITUTE(SUBSTITUTE(UPPER($T331)," ",""),"P",""),";",REPT(" ",30)),91,30))),0)+IFERROR(VALUE(TRIM(MID(SUBSTITUTE(SUBSTITUTE(SUBSTITUTE(UPPER($T331)," ",""),"P",""),";",REPT(" ",30)),121,30))),0)+IFERROR(VALUE(TRIM(MID(SUBSTITUTE(SUBSTITUTE(SUBSTITUTE(UPPER($T331)," ",""),"P",""),";",REPT(" ",30)),151,30))),0)+IFERROR(VALUE(TRIM(MID(SUBSTITUTE(SUBSTITUTE(SUBSTITUTE(UPPER($T331)," ",""),"P",""),";",REPT(" ",30)),181,30))),0)+IFERROR(VALUE(TRIM(MID(SUBSTITUTE(SUBSTITUTE(SUBSTITUTE(UPPER($T331)," ",""),"P",""),";",REPT(" ",30)),211,30))),0)))))</f>
        <v/>
      </c>
      <c r="W331" s="26" t="n"/>
      <c r="X331" s="13" t="n"/>
    </row>
    <row r="332">
      <c r="A332" s="6">
        <f>IF($C332="","",66)</f>
        <v/>
      </c>
      <c r="B332" s="6">
        <f>IF($C332="","","4ª Sessão")</f>
        <v/>
      </c>
      <c r="C332" s="6">
        <f>IF(Preenchimento!$B$75="","",Preenchimento!$B$75)</f>
        <v/>
      </c>
      <c r="D332" s="6">
        <f>IF($C332="","",IF(Preenchimento!$C$75="","-",Preenchimento!$C$75))</f>
        <v/>
      </c>
      <c r="E332" s="6" t="n"/>
      <c r="F332" s="6" t="n"/>
      <c r="G332" s="26" t="n"/>
      <c r="H332" s="6" t="n"/>
      <c r="I332" s="13" t="n"/>
      <c r="J332" s="27">
        <f>IF($C332="","",IF($E332="Falta","-",MAX(0,MIN(10,8+IFERROR(VALUE(TRIM(MID(SUBSTITUTE(SUBSTITUTE(SUBSTITUTE(UPPER($H332)," ",""),"D",""),";",REPT(" ",30)),1,30))),0)+IFERROR(VALUE(TRIM(MID(SUBSTITUTE(SUBSTITUTE(SUBSTITUTE(UPPER($H332)," ",""),"D",""),";",REPT(" ",30)),31,30))),0)+IFERROR(VALUE(TRIM(MID(SUBSTITUTE(SUBSTITUTE(SUBSTITUTE(UPPER($H332)," ",""),"D",""),";",REPT(" ",30)),61,30))),0)+IFERROR(VALUE(TRIM(MID(SUBSTITUTE(SUBSTITUTE(SUBSTITUTE(UPPER($H332)," ",""),"D",""),";",REPT(" ",30)),91,30))),0)+IFERROR(VALUE(TRIM(MID(SUBSTITUTE(SUBSTITUTE(SUBSTITUTE(UPPER($H332)," ",""),"D",""),";",REPT(" ",30)),121,30))),0)+IFERROR(VALUE(TRIM(MID(SUBSTITUTE(SUBSTITUTE(SUBSTITUTE(UPPER($H332)," ",""),"D",""),";",REPT(" ",30)),151,30))),0)+IFERROR(VALUE(TRIM(MID(SUBSTITUTE(SUBSTITUTE(SUBSTITUTE(UPPER($H332)," ",""),"D",""),";",REPT(" ",30)),181,30))),0)+IFERROR(VALUE(TRIM(MID(SUBSTITUTE(SUBSTITUTE(SUBSTITUTE(UPPER($H332)," ",""),"D",""),";",REPT(" ",30)),211,30))),0)))))</f>
        <v/>
      </c>
      <c r="K332" s="26" t="n"/>
      <c r="L332" s="6" t="n"/>
      <c r="M332" s="13" t="n"/>
      <c r="N332" s="27">
        <f>IF($C332="","",IF($E332="Falta","-",MAX(0,MIN(10,8+IFERROR(VALUE(TRIM(MID(SUBSTITUTE(SUBSTITUTE(SUBSTITUTE(UPPER($L332)," ",""),"F",""),";",REPT(" ",30)),1,30))),0)+IFERROR(VALUE(TRIM(MID(SUBSTITUTE(SUBSTITUTE(SUBSTITUTE(UPPER($L332)," ",""),"F",""),";",REPT(" ",30)),31,30))),0)+IFERROR(VALUE(TRIM(MID(SUBSTITUTE(SUBSTITUTE(SUBSTITUTE(UPPER($L332)," ",""),"F",""),";",REPT(" ",30)),61,30))),0)+IFERROR(VALUE(TRIM(MID(SUBSTITUTE(SUBSTITUTE(SUBSTITUTE(UPPER($L332)," ",""),"F",""),";",REPT(" ",30)),91,30))),0)+IFERROR(VALUE(TRIM(MID(SUBSTITUTE(SUBSTITUTE(SUBSTITUTE(UPPER($L332)," ",""),"F",""),";",REPT(" ",30)),121,30))),0)+IFERROR(VALUE(TRIM(MID(SUBSTITUTE(SUBSTITUTE(SUBSTITUTE(UPPER($L332)," ",""),"F",""),";",REPT(" ",30)),151,30))),0)+IFERROR(VALUE(TRIM(MID(SUBSTITUTE(SUBSTITUTE(SUBSTITUTE(UPPER($L332)," ",""),"F",""),";",REPT(" ",30)),181,30))),0)+IFERROR(VALUE(TRIM(MID(SUBSTITUTE(SUBSTITUTE(SUBSTITUTE(UPPER($L332)," ",""),"F",""),";",REPT(" ",30)),211,30))),0)))))</f>
        <v/>
      </c>
      <c r="O332" s="26" t="n"/>
      <c r="P332" s="6" t="n"/>
      <c r="Q332" s="13" t="n"/>
      <c r="R332" s="27">
        <f>IF($C332="","",IF($E332="Falta","-",MAX(0,MIN(10,5+IFERROR(VALUE(TRIM(MID(SUBSTITUTE(SUBSTITUTE(SUBSTITUTE(UPPER($P332)," ",""),"C",""),";",REPT(" ",30)),1,30))),0)+IFERROR(VALUE(TRIM(MID(SUBSTITUTE(SUBSTITUTE(SUBSTITUTE(UPPER($P332)," ",""),"C",""),";",REPT(" ",30)),31,30))),0)+IFERROR(VALUE(TRIM(MID(SUBSTITUTE(SUBSTITUTE(SUBSTITUTE(UPPER($P332)," ",""),"C",""),";",REPT(" ",30)),61,30))),0)+IFERROR(VALUE(TRIM(MID(SUBSTITUTE(SUBSTITUTE(SUBSTITUTE(UPPER($P332)," ",""),"C",""),";",REPT(" ",30)),91,30))),0)+IFERROR(VALUE(TRIM(MID(SUBSTITUTE(SUBSTITUTE(SUBSTITUTE(UPPER($P332)," ",""),"C",""),";",REPT(" ",30)),121,30))),0)+IFERROR(VALUE(TRIM(MID(SUBSTITUTE(SUBSTITUTE(SUBSTITUTE(UPPER($P332)," ",""),"C",""),";",REPT(" ",30)),151,30))),0)+IFERROR(VALUE(TRIM(MID(SUBSTITUTE(SUBSTITUTE(SUBSTITUTE(UPPER($P332)," ",""),"C",""),";",REPT(" ",30)),181,30))),0)+IFERROR(VALUE(TRIM(MID(SUBSTITUTE(SUBSTITUTE(SUBSTITUTE(UPPER($P332)," ",""),"C",""),";",REPT(" ",30)),211,30))),0)))))</f>
        <v/>
      </c>
      <c r="S332" s="26" t="n"/>
      <c r="T332" s="6" t="n"/>
      <c r="U332" s="13" t="n"/>
      <c r="V332" s="27">
        <f>IF($C332="","",IF($E332="Falta","-",MAX(0,MIN(10,5+IFERROR(VALUE(TRIM(MID(SUBSTITUTE(SUBSTITUTE(SUBSTITUTE(UPPER($T332)," ",""),"P",""),";",REPT(" ",30)),1,30))),0)+IFERROR(VALUE(TRIM(MID(SUBSTITUTE(SUBSTITUTE(SUBSTITUTE(UPPER($T332)," ",""),"P",""),";",REPT(" ",30)),31,30))),0)+IFERROR(VALUE(TRIM(MID(SUBSTITUTE(SUBSTITUTE(SUBSTITUTE(UPPER($T332)," ",""),"P",""),";",REPT(" ",30)),61,30))),0)+IFERROR(VALUE(TRIM(MID(SUBSTITUTE(SUBSTITUTE(SUBSTITUTE(UPPER($T332)," ",""),"P",""),";",REPT(" ",30)),91,30))),0)+IFERROR(VALUE(TRIM(MID(SUBSTITUTE(SUBSTITUTE(SUBSTITUTE(UPPER($T332)," ",""),"P",""),";",REPT(" ",30)),121,30))),0)+IFERROR(VALUE(TRIM(MID(SUBSTITUTE(SUBSTITUTE(SUBSTITUTE(UPPER($T332)," ",""),"P",""),";",REPT(" ",30)),151,30))),0)+IFERROR(VALUE(TRIM(MID(SUBSTITUTE(SUBSTITUTE(SUBSTITUTE(UPPER($T332)," ",""),"P",""),";",REPT(" ",30)),181,30))),0)+IFERROR(VALUE(TRIM(MID(SUBSTITUTE(SUBSTITUTE(SUBSTITUTE(UPPER($T332)," ",""),"P",""),";",REPT(" ",30)),211,30))),0)))))</f>
        <v/>
      </c>
      <c r="W332" s="26" t="n"/>
      <c r="X332" s="13" t="n"/>
    </row>
    <row r="333">
      <c r="A333" s="6">
        <f>IF($C333="","",66)</f>
        <v/>
      </c>
      <c r="B333" s="6">
        <f>IF($C333="","","5ª Sessão")</f>
        <v/>
      </c>
      <c r="C333" s="6">
        <f>IF(Preenchimento!$B$75="","",Preenchimento!$B$75)</f>
        <v/>
      </c>
      <c r="D333" s="6">
        <f>IF($C333="","",IF(Preenchimento!$C$75="","-",Preenchimento!$C$75))</f>
        <v/>
      </c>
      <c r="E333" s="6" t="n"/>
      <c r="F333" s="6" t="n"/>
      <c r="G333" s="26" t="n"/>
      <c r="H333" s="6" t="n"/>
      <c r="I333" s="13" t="n"/>
      <c r="J333" s="27">
        <f>IF($C333="","",IF($E333="Falta","-",MAX(0,MIN(10,8+IFERROR(VALUE(TRIM(MID(SUBSTITUTE(SUBSTITUTE(SUBSTITUTE(UPPER($H333)," ",""),"D",""),";",REPT(" ",30)),1,30))),0)+IFERROR(VALUE(TRIM(MID(SUBSTITUTE(SUBSTITUTE(SUBSTITUTE(UPPER($H333)," ",""),"D",""),";",REPT(" ",30)),31,30))),0)+IFERROR(VALUE(TRIM(MID(SUBSTITUTE(SUBSTITUTE(SUBSTITUTE(UPPER($H333)," ",""),"D",""),";",REPT(" ",30)),61,30))),0)+IFERROR(VALUE(TRIM(MID(SUBSTITUTE(SUBSTITUTE(SUBSTITUTE(UPPER($H333)," ",""),"D",""),";",REPT(" ",30)),91,30))),0)+IFERROR(VALUE(TRIM(MID(SUBSTITUTE(SUBSTITUTE(SUBSTITUTE(UPPER($H333)," ",""),"D",""),";",REPT(" ",30)),121,30))),0)+IFERROR(VALUE(TRIM(MID(SUBSTITUTE(SUBSTITUTE(SUBSTITUTE(UPPER($H333)," ",""),"D",""),";",REPT(" ",30)),151,30))),0)+IFERROR(VALUE(TRIM(MID(SUBSTITUTE(SUBSTITUTE(SUBSTITUTE(UPPER($H333)," ",""),"D",""),";",REPT(" ",30)),181,30))),0)+IFERROR(VALUE(TRIM(MID(SUBSTITUTE(SUBSTITUTE(SUBSTITUTE(UPPER($H333)," ",""),"D",""),";",REPT(" ",30)),211,30))),0)))))</f>
        <v/>
      </c>
      <c r="K333" s="26" t="n"/>
      <c r="L333" s="6" t="n"/>
      <c r="M333" s="13" t="n"/>
      <c r="N333" s="27">
        <f>IF($C333="","",IF($E333="Falta","-",MAX(0,MIN(10,8+IFERROR(VALUE(TRIM(MID(SUBSTITUTE(SUBSTITUTE(SUBSTITUTE(UPPER($L333)," ",""),"F",""),";",REPT(" ",30)),1,30))),0)+IFERROR(VALUE(TRIM(MID(SUBSTITUTE(SUBSTITUTE(SUBSTITUTE(UPPER($L333)," ",""),"F",""),";",REPT(" ",30)),31,30))),0)+IFERROR(VALUE(TRIM(MID(SUBSTITUTE(SUBSTITUTE(SUBSTITUTE(UPPER($L333)," ",""),"F",""),";",REPT(" ",30)),61,30))),0)+IFERROR(VALUE(TRIM(MID(SUBSTITUTE(SUBSTITUTE(SUBSTITUTE(UPPER($L333)," ",""),"F",""),";",REPT(" ",30)),91,30))),0)+IFERROR(VALUE(TRIM(MID(SUBSTITUTE(SUBSTITUTE(SUBSTITUTE(UPPER($L333)," ",""),"F",""),";",REPT(" ",30)),121,30))),0)+IFERROR(VALUE(TRIM(MID(SUBSTITUTE(SUBSTITUTE(SUBSTITUTE(UPPER($L333)," ",""),"F",""),";",REPT(" ",30)),151,30))),0)+IFERROR(VALUE(TRIM(MID(SUBSTITUTE(SUBSTITUTE(SUBSTITUTE(UPPER($L333)," ",""),"F",""),";",REPT(" ",30)),181,30))),0)+IFERROR(VALUE(TRIM(MID(SUBSTITUTE(SUBSTITUTE(SUBSTITUTE(UPPER($L333)," ",""),"F",""),";",REPT(" ",30)),211,30))),0)))))</f>
        <v/>
      </c>
      <c r="O333" s="26" t="n"/>
      <c r="P333" s="6" t="n"/>
      <c r="Q333" s="13" t="n"/>
      <c r="R333" s="27">
        <f>IF($C333="","",IF($E333="Falta","-",MAX(0,MIN(10,5+IFERROR(VALUE(TRIM(MID(SUBSTITUTE(SUBSTITUTE(SUBSTITUTE(UPPER($P333)," ",""),"C",""),";",REPT(" ",30)),1,30))),0)+IFERROR(VALUE(TRIM(MID(SUBSTITUTE(SUBSTITUTE(SUBSTITUTE(UPPER($P333)," ",""),"C",""),";",REPT(" ",30)),31,30))),0)+IFERROR(VALUE(TRIM(MID(SUBSTITUTE(SUBSTITUTE(SUBSTITUTE(UPPER($P333)," ",""),"C",""),";",REPT(" ",30)),61,30))),0)+IFERROR(VALUE(TRIM(MID(SUBSTITUTE(SUBSTITUTE(SUBSTITUTE(UPPER($P333)," ",""),"C",""),";",REPT(" ",30)),91,30))),0)+IFERROR(VALUE(TRIM(MID(SUBSTITUTE(SUBSTITUTE(SUBSTITUTE(UPPER($P333)," ",""),"C",""),";",REPT(" ",30)),121,30))),0)+IFERROR(VALUE(TRIM(MID(SUBSTITUTE(SUBSTITUTE(SUBSTITUTE(UPPER($P333)," ",""),"C",""),";",REPT(" ",30)),151,30))),0)+IFERROR(VALUE(TRIM(MID(SUBSTITUTE(SUBSTITUTE(SUBSTITUTE(UPPER($P333)," ",""),"C",""),";",REPT(" ",30)),181,30))),0)+IFERROR(VALUE(TRIM(MID(SUBSTITUTE(SUBSTITUTE(SUBSTITUTE(UPPER($P333)," ",""),"C",""),";",REPT(" ",30)),211,30))),0)))))</f>
        <v/>
      </c>
      <c r="S333" s="26" t="n"/>
      <c r="T333" s="6" t="n"/>
      <c r="U333" s="13" t="n"/>
      <c r="V333" s="27">
        <f>IF($C333="","",IF($E333="Falta","-",MAX(0,MIN(10,5+IFERROR(VALUE(TRIM(MID(SUBSTITUTE(SUBSTITUTE(SUBSTITUTE(UPPER($T333)," ",""),"P",""),";",REPT(" ",30)),1,30))),0)+IFERROR(VALUE(TRIM(MID(SUBSTITUTE(SUBSTITUTE(SUBSTITUTE(UPPER($T333)," ",""),"P",""),";",REPT(" ",30)),31,30))),0)+IFERROR(VALUE(TRIM(MID(SUBSTITUTE(SUBSTITUTE(SUBSTITUTE(UPPER($T333)," ",""),"P",""),";",REPT(" ",30)),61,30))),0)+IFERROR(VALUE(TRIM(MID(SUBSTITUTE(SUBSTITUTE(SUBSTITUTE(UPPER($T333)," ",""),"P",""),";",REPT(" ",30)),91,30))),0)+IFERROR(VALUE(TRIM(MID(SUBSTITUTE(SUBSTITUTE(SUBSTITUTE(UPPER($T333)," ",""),"P",""),";",REPT(" ",30)),121,30))),0)+IFERROR(VALUE(TRIM(MID(SUBSTITUTE(SUBSTITUTE(SUBSTITUTE(UPPER($T333)," ",""),"P",""),";",REPT(" ",30)),151,30))),0)+IFERROR(VALUE(TRIM(MID(SUBSTITUTE(SUBSTITUTE(SUBSTITUTE(UPPER($T333)," ",""),"P",""),";",REPT(" ",30)),181,30))),0)+IFERROR(VALUE(TRIM(MID(SUBSTITUTE(SUBSTITUTE(SUBSTITUTE(UPPER($T333)," ",""),"P",""),";",REPT(" ",30)),211,30))),0)))))</f>
        <v/>
      </c>
      <c r="W333" s="26" t="n"/>
      <c r="X333" s="13" t="n"/>
    </row>
    <row r="334">
      <c r="A334" s="8">
        <f>IF($C334="","",67)</f>
        <v/>
      </c>
      <c r="B334" s="8">
        <f>IF($C334="","","1ª Sessão")</f>
        <v/>
      </c>
      <c r="C334" s="8">
        <f>IF(Preenchimento!$B$76="","",Preenchimento!$B$76)</f>
        <v/>
      </c>
      <c r="D334" s="8">
        <f>IF($C334="","",IF(Preenchimento!$C$76="","-",Preenchimento!$C$76))</f>
        <v/>
      </c>
      <c r="E334" s="8" t="n"/>
      <c r="F334" s="8" t="n"/>
      <c r="G334" s="24" t="n"/>
      <c r="H334" s="8" t="n"/>
      <c r="I334" s="14" t="n"/>
      <c r="J334" s="25">
        <f>IF($C334="","",IF($E334="Falta","-",MAX(0,MIN(10,8+IFERROR(VALUE(TRIM(MID(SUBSTITUTE(SUBSTITUTE(SUBSTITUTE(UPPER($H334)," ",""),"D",""),";",REPT(" ",30)),1,30))),0)+IFERROR(VALUE(TRIM(MID(SUBSTITUTE(SUBSTITUTE(SUBSTITUTE(UPPER($H334)," ",""),"D",""),";",REPT(" ",30)),31,30))),0)+IFERROR(VALUE(TRIM(MID(SUBSTITUTE(SUBSTITUTE(SUBSTITUTE(UPPER($H334)," ",""),"D",""),";",REPT(" ",30)),61,30))),0)+IFERROR(VALUE(TRIM(MID(SUBSTITUTE(SUBSTITUTE(SUBSTITUTE(UPPER($H334)," ",""),"D",""),";",REPT(" ",30)),91,30))),0)+IFERROR(VALUE(TRIM(MID(SUBSTITUTE(SUBSTITUTE(SUBSTITUTE(UPPER($H334)," ",""),"D",""),";",REPT(" ",30)),121,30))),0)+IFERROR(VALUE(TRIM(MID(SUBSTITUTE(SUBSTITUTE(SUBSTITUTE(UPPER($H334)," ",""),"D",""),";",REPT(" ",30)),151,30))),0)+IFERROR(VALUE(TRIM(MID(SUBSTITUTE(SUBSTITUTE(SUBSTITUTE(UPPER($H334)," ",""),"D",""),";",REPT(" ",30)),181,30))),0)+IFERROR(VALUE(TRIM(MID(SUBSTITUTE(SUBSTITUTE(SUBSTITUTE(UPPER($H334)," ",""),"D",""),";",REPT(" ",30)),211,30))),0)))))</f>
        <v/>
      </c>
      <c r="K334" s="24" t="n"/>
      <c r="L334" s="8" t="n"/>
      <c r="M334" s="14" t="n"/>
      <c r="N334" s="25">
        <f>IF($C334="","",IF($E334="Falta","-",MAX(0,MIN(10,8+IFERROR(VALUE(TRIM(MID(SUBSTITUTE(SUBSTITUTE(SUBSTITUTE(UPPER($L334)," ",""),"F",""),";",REPT(" ",30)),1,30))),0)+IFERROR(VALUE(TRIM(MID(SUBSTITUTE(SUBSTITUTE(SUBSTITUTE(UPPER($L334)," ",""),"F",""),";",REPT(" ",30)),31,30))),0)+IFERROR(VALUE(TRIM(MID(SUBSTITUTE(SUBSTITUTE(SUBSTITUTE(UPPER($L334)," ",""),"F",""),";",REPT(" ",30)),61,30))),0)+IFERROR(VALUE(TRIM(MID(SUBSTITUTE(SUBSTITUTE(SUBSTITUTE(UPPER($L334)," ",""),"F",""),";",REPT(" ",30)),91,30))),0)+IFERROR(VALUE(TRIM(MID(SUBSTITUTE(SUBSTITUTE(SUBSTITUTE(UPPER($L334)," ",""),"F",""),";",REPT(" ",30)),121,30))),0)+IFERROR(VALUE(TRIM(MID(SUBSTITUTE(SUBSTITUTE(SUBSTITUTE(UPPER($L334)," ",""),"F",""),";",REPT(" ",30)),151,30))),0)+IFERROR(VALUE(TRIM(MID(SUBSTITUTE(SUBSTITUTE(SUBSTITUTE(UPPER($L334)," ",""),"F",""),";",REPT(" ",30)),181,30))),0)+IFERROR(VALUE(TRIM(MID(SUBSTITUTE(SUBSTITUTE(SUBSTITUTE(UPPER($L334)," ",""),"F",""),";",REPT(" ",30)),211,30))),0)))))</f>
        <v/>
      </c>
      <c r="O334" s="24" t="n"/>
      <c r="P334" s="8" t="n"/>
      <c r="Q334" s="14" t="n"/>
      <c r="R334" s="25">
        <f>IF($C334="","",IF($E334="Falta","-",MAX(0,MIN(10,5+IFERROR(VALUE(TRIM(MID(SUBSTITUTE(SUBSTITUTE(SUBSTITUTE(UPPER($P334)," ",""),"C",""),";",REPT(" ",30)),1,30))),0)+IFERROR(VALUE(TRIM(MID(SUBSTITUTE(SUBSTITUTE(SUBSTITUTE(UPPER($P334)," ",""),"C",""),";",REPT(" ",30)),31,30))),0)+IFERROR(VALUE(TRIM(MID(SUBSTITUTE(SUBSTITUTE(SUBSTITUTE(UPPER($P334)," ",""),"C",""),";",REPT(" ",30)),61,30))),0)+IFERROR(VALUE(TRIM(MID(SUBSTITUTE(SUBSTITUTE(SUBSTITUTE(UPPER($P334)," ",""),"C",""),";",REPT(" ",30)),91,30))),0)+IFERROR(VALUE(TRIM(MID(SUBSTITUTE(SUBSTITUTE(SUBSTITUTE(UPPER($P334)," ",""),"C",""),";",REPT(" ",30)),121,30))),0)+IFERROR(VALUE(TRIM(MID(SUBSTITUTE(SUBSTITUTE(SUBSTITUTE(UPPER($P334)," ",""),"C",""),";",REPT(" ",30)),151,30))),0)+IFERROR(VALUE(TRIM(MID(SUBSTITUTE(SUBSTITUTE(SUBSTITUTE(UPPER($P334)," ",""),"C",""),";",REPT(" ",30)),181,30))),0)+IFERROR(VALUE(TRIM(MID(SUBSTITUTE(SUBSTITUTE(SUBSTITUTE(UPPER($P334)," ",""),"C",""),";",REPT(" ",30)),211,30))),0)))))</f>
        <v/>
      </c>
      <c r="S334" s="24" t="n"/>
      <c r="T334" s="8" t="n"/>
      <c r="U334" s="14" t="n"/>
      <c r="V334" s="25">
        <f>IF($C334="","",IF($E334="Falta","-",MAX(0,MIN(10,5+IFERROR(VALUE(TRIM(MID(SUBSTITUTE(SUBSTITUTE(SUBSTITUTE(UPPER($T334)," ",""),"P",""),";",REPT(" ",30)),1,30))),0)+IFERROR(VALUE(TRIM(MID(SUBSTITUTE(SUBSTITUTE(SUBSTITUTE(UPPER($T334)," ",""),"P",""),";",REPT(" ",30)),31,30))),0)+IFERROR(VALUE(TRIM(MID(SUBSTITUTE(SUBSTITUTE(SUBSTITUTE(UPPER($T334)," ",""),"P",""),";",REPT(" ",30)),61,30))),0)+IFERROR(VALUE(TRIM(MID(SUBSTITUTE(SUBSTITUTE(SUBSTITUTE(UPPER($T334)," ",""),"P",""),";",REPT(" ",30)),91,30))),0)+IFERROR(VALUE(TRIM(MID(SUBSTITUTE(SUBSTITUTE(SUBSTITUTE(UPPER($T334)," ",""),"P",""),";",REPT(" ",30)),121,30))),0)+IFERROR(VALUE(TRIM(MID(SUBSTITUTE(SUBSTITUTE(SUBSTITUTE(UPPER($T334)," ",""),"P",""),";",REPT(" ",30)),151,30))),0)+IFERROR(VALUE(TRIM(MID(SUBSTITUTE(SUBSTITUTE(SUBSTITUTE(UPPER($T334)," ",""),"P",""),";",REPT(" ",30)),181,30))),0)+IFERROR(VALUE(TRIM(MID(SUBSTITUTE(SUBSTITUTE(SUBSTITUTE(UPPER($T334)," ",""),"P",""),";",REPT(" ",30)),211,30))),0)))))</f>
        <v/>
      </c>
      <c r="W334" s="24" t="n"/>
      <c r="X334" s="14" t="n"/>
    </row>
    <row r="335">
      <c r="A335" s="8">
        <f>IF($C335="","",67)</f>
        <v/>
      </c>
      <c r="B335" s="8">
        <f>IF($C335="","","2ª Sessão")</f>
        <v/>
      </c>
      <c r="C335" s="8">
        <f>IF(Preenchimento!$B$76="","",Preenchimento!$B$76)</f>
        <v/>
      </c>
      <c r="D335" s="8">
        <f>IF($C335="","",IF(Preenchimento!$C$76="","-",Preenchimento!$C$76))</f>
        <v/>
      </c>
      <c r="E335" s="8" t="n"/>
      <c r="F335" s="8" t="n"/>
      <c r="G335" s="24" t="n"/>
      <c r="H335" s="8" t="n"/>
      <c r="I335" s="14" t="n"/>
      <c r="J335" s="25">
        <f>IF($C335="","",IF($E335="Falta","-",MAX(0,MIN(10,8+IFERROR(VALUE(TRIM(MID(SUBSTITUTE(SUBSTITUTE(SUBSTITUTE(UPPER($H335)," ",""),"D",""),";",REPT(" ",30)),1,30))),0)+IFERROR(VALUE(TRIM(MID(SUBSTITUTE(SUBSTITUTE(SUBSTITUTE(UPPER($H335)," ",""),"D",""),";",REPT(" ",30)),31,30))),0)+IFERROR(VALUE(TRIM(MID(SUBSTITUTE(SUBSTITUTE(SUBSTITUTE(UPPER($H335)," ",""),"D",""),";",REPT(" ",30)),61,30))),0)+IFERROR(VALUE(TRIM(MID(SUBSTITUTE(SUBSTITUTE(SUBSTITUTE(UPPER($H335)," ",""),"D",""),";",REPT(" ",30)),91,30))),0)+IFERROR(VALUE(TRIM(MID(SUBSTITUTE(SUBSTITUTE(SUBSTITUTE(UPPER($H335)," ",""),"D",""),";",REPT(" ",30)),121,30))),0)+IFERROR(VALUE(TRIM(MID(SUBSTITUTE(SUBSTITUTE(SUBSTITUTE(UPPER($H335)," ",""),"D",""),";",REPT(" ",30)),151,30))),0)+IFERROR(VALUE(TRIM(MID(SUBSTITUTE(SUBSTITUTE(SUBSTITUTE(UPPER($H335)," ",""),"D",""),";",REPT(" ",30)),181,30))),0)+IFERROR(VALUE(TRIM(MID(SUBSTITUTE(SUBSTITUTE(SUBSTITUTE(UPPER($H335)," ",""),"D",""),";",REPT(" ",30)),211,30))),0)))))</f>
        <v/>
      </c>
      <c r="K335" s="24" t="n"/>
      <c r="L335" s="8" t="n"/>
      <c r="M335" s="14" t="n"/>
      <c r="N335" s="25">
        <f>IF($C335="","",IF($E335="Falta","-",MAX(0,MIN(10,8+IFERROR(VALUE(TRIM(MID(SUBSTITUTE(SUBSTITUTE(SUBSTITUTE(UPPER($L335)," ",""),"F",""),";",REPT(" ",30)),1,30))),0)+IFERROR(VALUE(TRIM(MID(SUBSTITUTE(SUBSTITUTE(SUBSTITUTE(UPPER($L335)," ",""),"F",""),";",REPT(" ",30)),31,30))),0)+IFERROR(VALUE(TRIM(MID(SUBSTITUTE(SUBSTITUTE(SUBSTITUTE(UPPER($L335)," ",""),"F",""),";",REPT(" ",30)),61,30))),0)+IFERROR(VALUE(TRIM(MID(SUBSTITUTE(SUBSTITUTE(SUBSTITUTE(UPPER($L335)," ",""),"F",""),";",REPT(" ",30)),91,30))),0)+IFERROR(VALUE(TRIM(MID(SUBSTITUTE(SUBSTITUTE(SUBSTITUTE(UPPER($L335)," ",""),"F",""),";",REPT(" ",30)),121,30))),0)+IFERROR(VALUE(TRIM(MID(SUBSTITUTE(SUBSTITUTE(SUBSTITUTE(UPPER($L335)," ",""),"F",""),";",REPT(" ",30)),151,30))),0)+IFERROR(VALUE(TRIM(MID(SUBSTITUTE(SUBSTITUTE(SUBSTITUTE(UPPER($L335)," ",""),"F",""),";",REPT(" ",30)),181,30))),0)+IFERROR(VALUE(TRIM(MID(SUBSTITUTE(SUBSTITUTE(SUBSTITUTE(UPPER($L335)," ",""),"F",""),";",REPT(" ",30)),211,30))),0)))))</f>
        <v/>
      </c>
      <c r="O335" s="24" t="n"/>
      <c r="P335" s="8" t="n"/>
      <c r="Q335" s="14" t="n"/>
      <c r="R335" s="25">
        <f>IF($C335="","",IF($E335="Falta","-",MAX(0,MIN(10,5+IFERROR(VALUE(TRIM(MID(SUBSTITUTE(SUBSTITUTE(SUBSTITUTE(UPPER($P335)," ",""),"C",""),";",REPT(" ",30)),1,30))),0)+IFERROR(VALUE(TRIM(MID(SUBSTITUTE(SUBSTITUTE(SUBSTITUTE(UPPER($P335)," ",""),"C",""),";",REPT(" ",30)),31,30))),0)+IFERROR(VALUE(TRIM(MID(SUBSTITUTE(SUBSTITUTE(SUBSTITUTE(UPPER($P335)," ",""),"C",""),";",REPT(" ",30)),61,30))),0)+IFERROR(VALUE(TRIM(MID(SUBSTITUTE(SUBSTITUTE(SUBSTITUTE(UPPER($P335)," ",""),"C",""),";",REPT(" ",30)),91,30))),0)+IFERROR(VALUE(TRIM(MID(SUBSTITUTE(SUBSTITUTE(SUBSTITUTE(UPPER($P335)," ",""),"C",""),";",REPT(" ",30)),121,30))),0)+IFERROR(VALUE(TRIM(MID(SUBSTITUTE(SUBSTITUTE(SUBSTITUTE(UPPER($P335)," ",""),"C",""),";",REPT(" ",30)),151,30))),0)+IFERROR(VALUE(TRIM(MID(SUBSTITUTE(SUBSTITUTE(SUBSTITUTE(UPPER($P335)," ",""),"C",""),";",REPT(" ",30)),181,30))),0)+IFERROR(VALUE(TRIM(MID(SUBSTITUTE(SUBSTITUTE(SUBSTITUTE(UPPER($P335)," ",""),"C",""),";",REPT(" ",30)),211,30))),0)))))</f>
        <v/>
      </c>
      <c r="S335" s="24" t="n"/>
      <c r="T335" s="8" t="n"/>
      <c r="U335" s="14" t="n"/>
      <c r="V335" s="25">
        <f>IF($C335="","",IF($E335="Falta","-",MAX(0,MIN(10,5+IFERROR(VALUE(TRIM(MID(SUBSTITUTE(SUBSTITUTE(SUBSTITUTE(UPPER($T335)," ",""),"P",""),";",REPT(" ",30)),1,30))),0)+IFERROR(VALUE(TRIM(MID(SUBSTITUTE(SUBSTITUTE(SUBSTITUTE(UPPER($T335)," ",""),"P",""),";",REPT(" ",30)),31,30))),0)+IFERROR(VALUE(TRIM(MID(SUBSTITUTE(SUBSTITUTE(SUBSTITUTE(UPPER($T335)," ",""),"P",""),";",REPT(" ",30)),61,30))),0)+IFERROR(VALUE(TRIM(MID(SUBSTITUTE(SUBSTITUTE(SUBSTITUTE(UPPER($T335)," ",""),"P",""),";",REPT(" ",30)),91,30))),0)+IFERROR(VALUE(TRIM(MID(SUBSTITUTE(SUBSTITUTE(SUBSTITUTE(UPPER($T335)," ",""),"P",""),";",REPT(" ",30)),121,30))),0)+IFERROR(VALUE(TRIM(MID(SUBSTITUTE(SUBSTITUTE(SUBSTITUTE(UPPER($T335)," ",""),"P",""),";",REPT(" ",30)),151,30))),0)+IFERROR(VALUE(TRIM(MID(SUBSTITUTE(SUBSTITUTE(SUBSTITUTE(UPPER($T335)," ",""),"P",""),";",REPT(" ",30)),181,30))),0)+IFERROR(VALUE(TRIM(MID(SUBSTITUTE(SUBSTITUTE(SUBSTITUTE(UPPER($T335)," ",""),"P",""),";",REPT(" ",30)),211,30))),0)))))</f>
        <v/>
      </c>
      <c r="W335" s="24" t="n"/>
      <c r="X335" s="14" t="n"/>
    </row>
    <row r="336">
      <c r="A336" s="8">
        <f>IF($C336="","",67)</f>
        <v/>
      </c>
      <c r="B336" s="8">
        <f>IF($C336="","","3ª Sessão")</f>
        <v/>
      </c>
      <c r="C336" s="8">
        <f>IF(Preenchimento!$B$76="","",Preenchimento!$B$76)</f>
        <v/>
      </c>
      <c r="D336" s="8">
        <f>IF($C336="","",IF(Preenchimento!$C$76="","-",Preenchimento!$C$76))</f>
        <v/>
      </c>
      <c r="E336" s="8" t="n"/>
      <c r="F336" s="8" t="n"/>
      <c r="G336" s="24" t="n"/>
      <c r="H336" s="8" t="n"/>
      <c r="I336" s="14" t="n"/>
      <c r="J336" s="25">
        <f>IF($C336="","",IF($E336="Falta","-",MAX(0,MIN(10,8+IFERROR(VALUE(TRIM(MID(SUBSTITUTE(SUBSTITUTE(SUBSTITUTE(UPPER($H336)," ",""),"D",""),";",REPT(" ",30)),1,30))),0)+IFERROR(VALUE(TRIM(MID(SUBSTITUTE(SUBSTITUTE(SUBSTITUTE(UPPER($H336)," ",""),"D",""),";",REPT(" ",30)),31,30))),0)+IFERROR(VALUE(TRIM(MID(SUBSTITUTE(SUBSTITUTE(SUBSTITUTE(UPPER($H336)," ",""),"D",""),";",REPT(" ",30)),61,30))),0)+IFERROR(VALUE(TRIM(MID(SUBSTITUTE(SUBSTITUTE(SUBSTITUTE(UPPER($H336)," ",""),"D",""),";",REPT(" ",30)),91,30))),0)+IFERROR(VALUE(TRIM(MID(SUBSTITUTE(SUBSTITUTE(SUBSTITUTE(UPPER($H336)," ",""),"D",""),";",REPT(" ",30)),121,30))),0)+IFERROR(VALUE(TRIM(MID(SUBSTITUTE(SUBSTITUTE(SUBSTITUTE(UPPER($H336)," ",""),"D",""),";",REPT(" ",30)),151,30))),0)+IFERROR(VALUE(TRIM(MID(SUBSTITUTE(SUBSTITUTE(SUBSTITUTE(UPPER($H336)," ",""),"D",""),";",REPT(" ",30)),181,30))),0)+IFERROR(VALUE(TRIM(MID(SUBSTITUTE(SUBSTITUTE(SUBSTITUTE(UPPER($H336)," ",""),"D",""),";",REPT(" ",30)),211,30))),0)))))</f>
        <v/>
      </c>
      <c r="K336" s="24" t="n"/>
      <c r="L336" s="8" t="n"/>
      <c r="M336" s="14" t="n"/>
      <c r="N336" s="25">
        <f>IF($C336="","",IF($E336="Falta","-",MAX(0,MIN(10,8+IFERROR(VALUE(TRIM(MID(SUBSTITUTE(SUBSTITUTE(SUBSTITUTE(UPPER($L336)," ",""),"F",""),";",REPT(" ",30)),1,30))),0)+IFERROR(VALUE(TRIM(MID(SUBSTITUTE(SUBSTITUTE(SUBSTITUTE(UPPER($L336)," ",""),"F",""),";",REPT(" ",30)),31,30))),0)+IFERROR(VALUE(TRIM(MID(SUBSTITUTE(SUBSTITUTE(SUBSTITUTE(UPPER($L336)," ",""),"F",""),";",REPT(" ",30)),61,30))),0)+IFERROR(VALUE(TRIM(MID(SUBSTITUTE(SUBSTITUTE(SUBSTITUTE(UPPER($L336)," ",""),"F",""),";",REPT(" ",30)),91,30))),0)+IFERROR(VALUE(TRIM(MID(SUBSTITUTE(SUBSTITUTE(SUBSTITUTE(UPPER($L336)," ",""),"F",""),";",REPT(" ",30)),121,30))),0)+IFERROR(VALUE(TRIM(MID(SUBSTITUTE(SUBSTITUTE(SUBSTITUTE(UPPER($L336)," ",""),"F",""),";",REPT(" ",30)),151,30))),0)+IFERROR(VALUE(TRIM(MID(SUBSTITUTE(SUBSTITUTE(SUBSTITUTE(UPPER($L336)," ",""),"F",""),";",REPT(" ",30)),181,30))),0)+IFERROR(VALUE(TRIM(MID(SUBSTITUTE(SUBSTITUTE(SUBSTITUTE(UPPER($L336)," ",""),"F",""),";",REPT(" ",30)),211,30))),0)))))</f>
        <v/>
      </c>
      <c r="O336" s="24" t="n"/>
      <c r="P336" s="8" t="n"/>
      <c r="Q336" s="14" t="n"/>
      <c r="R336" s="25">
        <f>IF($C336="","",IF($E336="Falta","-",MAX(0,MIN(10,5+IFERROR(VALUE(TRIM(MID(SUBSTITUTE(SUBSTITUTE(SUBSTITUTE(UPPER($P336)," ",""),"C",""),";",REPT(" ",30)),1,30))),0)+IFERROR(VALUE(TRIM(MID(SUBSTITUTE(SUBSTITUTE(SUBSTITUTE(UPPER($P336)," ",""),"C",""),";",REPT(" ",30)),31,30))),0)+IFERROR(VALUE(TRIM(MID(SUBSTITUTE(SUBSTITUTE(SUBSTITUTE(UPPER($P336)," ",""),"C",""),";",REPT(" ",30)),61,30))),0)+IFERROR(VALUE(TRIM(MID(SUBSTITUTE(SUBSTITUTE(SUBSTITUTE(UPPER($P336)," ",""),"C",""),";",REPT(" ",30)),91,30))),0)+IFERROR(VALUE(TRIM(MID(SUBSTITUTE(SUBSTITUTE(SUBSTITUTE(UPPER($P336)," ",""),"C",""),";",REPT(" ",30)),121,30))),0)+IFERROR(VALUE(TRIM(MID(SUBSTITUTE(SUBSTITUTE(SUBSTITUTE(UPPER($P336)," ",""),"C",""),";",REPT(" ",30)),151,30))),0)+IFERROR(VALUE(TRIM(MID(SUBSTITUTE(SUBSTITUTE(SUBSTITUTE(UPPER($P336)," ",""),"C",""),";",REPT(" ",30)),181,30))),0)+IFERROR(VALUE(TRIM(MID(SUBSTITUTE(SUBSTITUTE(SUBSTITUTE(UPPER($P336)," ",""),"C",""),";",REPT(" ",30)),211,30))),0)))))</f>
        <v/>
      </c>
      <c r="S336" s="24" t="n"/>
      <c r="T336" s="8" t="n"/>
      <c r="U336" s="14" t="n"/>
      <c r="V336" s="25">
        <f>IF($C336="","",IF($E336="Falta","-",MAX(0,MIN(10,5+IFERROR(VALUE(TRIM(MID(SUBSTITUTE(SUBSTITUTE(SUBSTITUTE(UPPER($T336)," ",""),"P",""),";",REPT(" ",30)),1,30))),0)+IFERROR(VALUE(TRIM(MID(SUBSTITUTE(SUBSTITUTE(SUBSTITUTE(UPPER($T336)," ",""),"P",""),";",REPT(" ",30)),31,30))),0)+IFERROR(VALUE(TRIM(MID(SUBSTITUTE(SUBSTITUTE(SUBSTITUTE(UPPER($T336)," ",""),"P",""),";",REPT(" ",30)),61,30))),0)+IFERROR(VALUE(TRIM(MID(SUBSTITUTE(SUBSTITUTE(SUBSTITUTE(UPPER($T336)," ",""),"P",""),";",REPT(" ",30)),91,30))),0)+IFERROR(VALUE(TRIM(MID(SUBSTITUTE(SUBSTITUTE(SUBSTITUTE(UPPER($T336)," ",""),"P",""),";",REPT(" ",30)),121,30))),0)+IFERROR(VALUE(TRIM(MID(SUBSTITUTE(SUBSTITUTE(SUBSTITUTE(UPPER($T336)," ",""),"P",""),";",REPT(" ",30)),151,30))),0)+IFERROR(VALUE(TRIM(MID(SUBSTITUTE(SUBSTITUTE(SUBSTITUTE(UPPER($T336)," ",""),"P",""),";",REPT(" ",30)),181,30))),0)+IFERROR(VALUE(TRIM(MID(SUBSTITUTE(SUBSTITUTE(SUBSTITUTE(UPPER($T336)," ",""),"P",""),";",REPT(" ",30)),211,30))),0)))))</f>
        <v/>
      </c>
      <c r="W336" s="24" t="n"/>
      <c r="X336" s="14" t="n"/>
    </row>
    <row r="337">
      <c r="A337" s="8">
        <f>IF($C337="","",67)</f>
        <v/>
      </c>
      <c r="B337" s="8">
        <f>IF($C337="","","4ª Sessão")</f>
        <v/>
      </c>
      <c r="C337" s="8">
        <f>IF(Preenchimento!$B$76="","",Preenchimento!$B$76)</f>
        <v/>
      </c>
      <c r="D337" s="8">
        <f>IF($C337="","",IF(Preenchimento!$C$76="","-",Preenchimento!$C$76))</f>
        <v/>
      </c>
      <c r="E337" s="8" t="n"/>
      <c r="F337" s="8" t="n"/>
      <c r="G337" s="24" t="n"/>
      <c r="H337" s="8" t="n"/>
      <c r="I337" s="14" t="n"/>
      <c r="J337" s="25">
        <f>IF($C337="","",IF($E337="Falta","-",MAX(0,MIN(10,8+IFERROR(VALUE(TRIM(MID(SUBSTITUTE(SUBSTITUTE(SUBSTITUTE(UPPER($H337)," ",""),"D",""),";",REPT(" ",30)),1,30))),0)+IFERROR(VALUE(TRIM(MID(SUBSTITUTE(SUBSTITUTE(SUBSTITUTE(UPPER($H337)," ",""),"D",""),";",REPT(" ",30)),31,30))),0)+IFERROR(VALUE(TRIM(MID(SUBSTITUTE(SUBSTITUTE(SUBSTITUTE(UPPER($H337)," ",""),"D",""),";",REPT(" ",30)),61,30))),0)+IFERROR(VALUE(TRIM(MID(SUBSTITUTE(SUBSTITUTE(SUBSTITUTE(UPPER($H337)," ",""),"D",""),";",REPT(" ",30)),91,30))),0)+IFERROR(VALUE(TRIM(MID(SUBSTITUTE(SUBSTITUTE(SUBSTITUTE(UPPER($H337)," ",""),"D",""),";",REPT(" ",30)),121,30))),0)+IFERROR(VALUE(TRIM(MID(SUBSTITUTE(SUBSTITUTE(SUBSTITUTE(UPPER($H337)," ",""),"D",""),";",REPT(" ",30)),151,30))),0)+IFERROR(VALUE(TRIM(MID(SUBSTITUTE(SUBSTITUTE(SUBSTITUTE(UPPER($H337)," ",""),"D",""),";",REPT(" ",30)),181,30))),0)+IFERROR(VALUE(TRIM(MID(SUBSTITUTE(SUBSTITUTE(SUBSTITUTE(UPPER($H337)," ",""),"D",""),";",REPT(" ",30)),211,30))),0)))))</f>
        <v/>
      </c>
      <c r="K337" s="24" t="n"/>
      <c r="L337" s="8" t="n"/>
      <c r="M337" s="14" t="n"/>
      <c r="N337" s="25">
        <f>IF($C337="","",IF($E337="Falta","-",MAX(0,MIN(10,8+IFERROR(VALUE(TRIM(MID(SUBSTITUTE(SUBSTITUTE(SUBSTITUTE(UPPER($L337)," ",""),"F",""),";",REPT(" ",30)),1,30))),0)+IFERROR(VALUE(TRIM(MID(SUBSTITUTE(SUBSTITUTE(SUBSTITUTE(UPPER($L337)," ",""),"F",""),";",REPT(" ",30)),31,30))),0)+IFERROR(VALUE(TRIM(MID(SUBSTITUTE(SUBSTITUTE(SUBSTITUTE(UPPER($L337)," ",""),"F",""),";",REPT(" ",30)),61,30))),0)+IFERROR(VALUE(TRIM(MID(SUBSTITUTE(SUBSTITUTE(SUBSTITUTE(UPPER($L337)," ",""),"F",""),";",REPT(" ",30)),91,30))),0)+IFERROR(VALUE(TRIM(MID(SUBSTITUTE(SUBSTITUTE(SUBSTITUTE(UPPER($L337)," ",""),"F",""),";",REPT(" ",30)),121,30))),0)+IFERROR(VALUE(TRIM(MID(SUBSTITUTE(SUBSTITUTE(SUBSTITUTE(UPPER($L337)," ",""),"F",""),";",REPT(" ",30)),151,30))),0)+IFERROR(VALUE(TRIM(MID(SUBSTITUTE(SUBSTITUTE(SUBSTITUTE(UPPER($L337)," ",""),"F",""),";",REPT(" ",30)),181,30))),0)+IFERROR(VALUE(TRIM(MID(SUBSTITUTE(SUBSTITUTE(SUBSTITUTE(UPPER($L337)," ",""),"F",""),";",REPT(" ",30)),211,30))),0)))))</f>
        <v/>
      </c>
      <c r="O337" s="24" t="n"/>
      <c r="P337" s="8" t="n"/>
      <c r="Q337" s="14" t="n"/>
      <c r="R337" s="25">
        <f>IF($C337="","",IF($E337="Falta","-",MAX(0,MIN(10,5+IFERROR(VALUE(TRIM(MID(SUBSTITUTE(SUBSTITUTE(SUBSTITUTE(UPPER($P337)," ",""),"C",""),";",REPT(" ",30)),1,30))),0)+IFERROR(VALUE(TRIM(MID(SUBSTITUTE(SUBSTITUTE(SUBSTITUTE(UPPER($P337)," ",""),"C",""),";",REPT(" ",30)),31,30))),0)+IFERROR(VALUE(TRIM(MID(SUBSTITUTE(SUBSTITUTE(SUBSTITUTE(UPPER($P337)," ",""),"C",""),";",REPT(" ",30)),61,30))),0)+IFERROR(VALUE(TRIM(MID(SUBSTITUTE(SUBSTITUTE(SUBSTITUTE(UPPER($P337)," ",""),"C",""),";",REPT(" ",30)),91,30))),0)+IFERROR(VALUE(TRIM(MID(SUBSTITUTE(SUBSTITUTE(SUBSTITUTE(UPPER($P337)," ",""),"C",""),";",REPT(" ",30)),121,30))),0)+IFERROR(VALUE(TRIM(MID(SUBSTITUTE(SUBSTITUTE(SUBSTITUTE(UPPER($P337)," ",""),"C",""),";",REPT(" ",30)),151,30))),0)+IFERROR(VALUE(TRIM(MID(SUBSTITUTE(SUBSTITUTE(SUBSTITUTE(UPPER($P337)," ",""),"C",""),";",REPT(" ",30)),181,30))),0)+IFERROR(VALUE(TRIM(MID(SUBSTITUTE(SUBSTITUTE(SUBSTITUTE(UPPER($P337)," ",""),"C",""),";",REPT(" ",30)),211,30))),0)))))</f>
        <v/>
      </c>
      <c r="S337" s="24" t="n"/>
      <c r="T337" s="8" t="n"/>
      <c r="U337" s="14" t="n"/>
      <c r="V337" s="25">
        <f>IF($C337="","",IF($E337="Falta","-",MAX(0,MIN(10,5+IFERROR(VALUE(TRIM(MID(SUBSTITUTE(SUBSTITUTE(SUBSTITUTE(UPPER($T337)," ",""),"P",""),";",REPT(" ",30)),1,30))),0)+IFERROR(VALUE(TRIM(MID(SUBSTITUTE(SUBSTITUTE(SUBSTITUTE(UPPER($T337)," ",""),"P",""),";",REPT(" ",30)),31,30))),0)+IFERROR(VALUE(TRIM(MID(SUBSTITUTE(SUBSTITUTE(SUBSTITUTE(UPPER($T337)," ",""),"P",""),";",REPT(" ",30)),61,30))),0)+IFERROR(VALUE(TRIM(MID(SUBSTITUTE(SUBSTITUTE(SUBSTITUTE(UPPER($T337)," ",""),"P",""),";",REPT(" ",30)),91,30))),0)+IFERROR(VALUE(TRIM(MID(SUBSTITUTE(SUBSTITUTE(SUBSTITUTE(UPPER($T337)," ",""),"P",""),";",REPT(" ",30)),121,30))),0)+IFERROR(VALUE(TRIM(MID(SUBSTITUTE(SUBSTITUTE(SUBSTITUTE(UPPER($T337)," ",""),"P",""),";",REPT(" ",30)),151,30))),0)+IFERROR(VALUE(TRIM(MID(SUBSTITUTE(SUBSTITUTE(SUBSTITUTE(UPPER($T337)," ",""),"P",""),";",REPT(" ",30)),181,30))),0)+IFERROR(VALUE(TRIM(MID(SUBSTITUTE(SUBSTITUTE(SUBSTITUTE(UPPER($T337)," ",""),"P",""),";",REPT(" ",30)),211,30))),0)))))</f>
        <v/>
      </c>
      <c r="W337" s="24" t="n"/>
      <c r="X337" s="14" t="n"/>
    </row>
    <row r="338">
      <c r="A338" s="8">
        <f>IF($C338="","",67)</f>
        <v/>
      </c>
      <c r="B338" s="8">
        <f>IF($C338="","","5ª Sessão")</f>
        <v/>
      </c>
      <c r="C338" s="8">
        <f>IF(Preenchimento!$B$76="","",Preenchimento!$B$76)</f>
        <v/>
      </c>
      <c r="D338" s="8">
        <f>IF($C338="","",IF(Preenchimento!$C$76="","-",Preenchimento!$C$76))</f>
        <v/>
      </c>
      <c r="E338" s="8" t="n"/>
      <c r="F338" s="8" t="n"/>
      <c r="G338" s="24" t="n"/>
      <c r="H338" s="8" t="n"/>
      <c r="I338" s="14" t="n"/>
      <c r="J338" s="25">
        <f>IF($C338="","",IF($E338="Falta","-",MAX(0,MIN(10,8+IFERROR(VALUE(TRIM(MID(SUBSTITUTE(SUBSTITUTE(SUBSTITUTE(UPPER($H338)," ",""),"D",""),";",REPT(" ",30)),1,30))),0)+IFERROR(VALUE(TRIM(MID(SUBSTITUTE(SUBSTITUTE(SUBSTITUTE(UPPER($H338)," ",""),"D",""),";",REPT(" ",30)),31,30))),0)+IFERROR(VALUE(TRIM(MID(SUBSTITUTE(SUBSTITUTE(SUBSTITUTE(UPPER($H338)," ",""),"D",""),";",REPT(" ",30)),61,30))),0)+IFERROR(VALUE(TRIM(MID(SUBSTITUTE(SUBSTITUTE(SUBSTITUTE(UPPER($H338)," ",""),"D",""),";",REPT(" ",30)),91,30))),0)+IFERROR(VALUE(TRIM(MID(SUBSTITUTE(SUBSTITUTE(SUBSTITUTE(UPPER($H338)," ",""),"D",""),";",REPT(" ",30)),121,30))),0)+IFERROR(VALUE(TRIM(MID(SUBSTITUTE(SUBSTITUTE(SUBSTITUTE(UPPER($H338)," ",""),"D",""),";",REPT(" ",30)),151,30))),0)+IFERROR(VALUE(TRIM(MID(SUBSTITUTE(SUBSTITUTE(SUBSTITUTE(UPPER($H338)," ",""),"D",""),";",REPT(" ",30)),181,30))),0)+IFERROR(VALUE(TRIM(MID(SUBSTITUTE(SUBSTITUTE(SUBSTITUTE(UPPER($H338)," ",""),"D",""),";",REPT(" ",30)),211,30))),0)))))</f>
        <v/>
      </c>
      <c r="K338" s="24" t="n"/>
      <c r="L338" s="8" t="n"/>
      <c r="M338" s="14" t="n"/>
      <c r="N338" s="25">
        <f>IF($C338="","",IF($E338="Falta","-",MAX(0,MIN(10,8+IFERROR(VALUE(TRIM(MID(SUBSTITUTE(SUBSTITUTE(SUBSTITUTE(UPPER($L338)," ",""),"F",""),";",REPT(" ",30)),1,30))),0)+IFERROR(VALUE(TRIM(MID(SUBSTITUTE(SUBSTITUTE(SUBSTITUTE(UPPER($L338)," ",""),"F",""),";",REPT(" ",30)),31,30))),0)+IFERROR(VALUE(TRIM(MID(SUBSTITUTE(SUBSTITUTE(SUBSTITUTE(UPPER($L338)," ",""),"F",""),";",REPT(" ",30)),61,30))),0)+IFERROR(VALUE(TRIM(MID(SUBSTITUTE(SUBSTITUTE(SUBSTITUTE(UPPER($L338)," ",""),"F",""),";",REPT(" ",30)),91,30))),0)+IFERROR(VALUE(TRIM(MID(SUBSTITUTE(SUBSTITUTE(SUBSTITUTE(UPPER($L338)," ",""),"F",""),";",REPT(" ",30)),121,30))),0)+IFERROR(VALUE(TRIM(MID(SUBSTITUTE(SUBSTITUTE(SUBSTITUTE(UPPER($L338)," ",""),"F",""),";",REPT(" ",30)),151,30))),0)+IFERROR(VALUE(TRIM(MID(SUBSTITUTE(SUBSTITUTE(SUBSTITUTE(UPPER($L338)," ",""),"F",""),";",REPT(" ",30)),181,30))),0)+IFERROR(VALUE(TRIM(MID(SUBSTITUTE(SUBSTITUTE(SUBSTITUTE(UPPER($L338)," ",""),"F",""),";",REPT(" ",30)),211,30))),0)))))</f>
        <v/>
      </c>
      <c r="O338" s="24" t="n"/>
      <c r="P338" s="8" t="n"/>
      <c r="Q338" s="14" t="n"/>
      <c r="R338" s="25">
        <f>IF($C338="","",IF($E338="Falta","-",MAX(0,MIN(10,5+IFERROR(VALUE(TRIM(MID(SUBSTITUTE(SUBSTITUTE(SUBSTITUTE(UPPER($P338)," ",""),"C",""),";",REPT(" ",30)),1,30))),0)+IFERROR(VALUE(TRIM(MID(SUBSTITUTE(SUBSTITUTE(SUBSTITUTE(UPPER($P338)," ",""),"C",""),";",REPT(" ",30)),31,30))),0)+IFERROR(VALUE(TRIM(MID(SUBSTITUTE(SUBSTITUTE(SUBSTITUTE(UPPER($P338)," ",""),"C",""),";",REPT(" ",30)),61,30))),0)+IFERROR(VALUE(TRIM(MID(SUBSTITUTE(SUBSTITUTE(SUBSTITUTE(UPPER($P338)," ",""),"C",""),";",REPT(" ",30)),91,30))),0)+IFERROR(VALUE(TRIM(MID(SUBSTITUTE(SUBSTITUTE(SUBSTITUTE(UPPER($P338)," ",""),"C",""),";",REPT(" ",30)),121,30))),0)+IFERROR(VALUE(TRIM(MID(SUBSTITUTE(SUBSTITUTE(SUBSTITUTE(UPPER($P338)," ",""),"C",""),";",REPT(" ",30)),151,30))),0)+IFERROR(VALUE(TRIM(MID(SUBSTITUTE(SUBSTITUTE(SUBSTITUTE(UPPER($P338)," ",""),"C",""),";",REPT(" ",30)),181,30))),0)+IFERROR(VALUE(TRIM(MID(SUBSTITUTE(SUBSTITUTE(SUBSTITUTE(UPPER($P338)," ",""),"C",""),";",REPT(" ",30)),211,30))),0)))))</f>
        <v/>
      </c>
      <c r="S338" s="24" t="n"/>
      <c r="T338" s="8" t="n"/>
      <c r="U338" s="14" t="n"/>
      <c r="V338" s="25">
        <f>IF($C338="","",IF($E338="Falta","-",MAX(0,MIN(10,5+IFERROR(VALUE(TRIM(MID(SUBSTITUTE(SUBSTITUTE(SUBSTITUTE(UPPER($T338)," ",""),"P",""),";",REPT(" ",30)),1,30))),0)+IFERROR(VALUE(TRIM(MID(SUBSTITUTE(SUBSTITUTE(SUBSTITUTE(UPPER($T338)," ",""),"P",""),";",REPT(" ",30)),31,30))),0)+IFERROR(VALUE(TRIM(MID(SUBSTITUTE(SUBSTITUTE(SUBSTITUTE(UPPER($T338)," ",""),"P",""),";",REPT(" ",30)),61,30))),0)+IFERROR(VALUE(TRIM(MID(SUBSTITUTE(SUBSTITUTE(SUBSTITUTE(UPPER($T338)," ",""),"P",""),";",REPT(" ",30)),91,30))),0)+IFERROR(VALUE(TRIM(MID(SUBSTITUTE(SUBSTITUTE(SUBSTITUTE(UPPER($T338)," ",""),"P",""),";",REPT(" ",30)),121,30))),0)+IFERROR(VALUE(TRIM(MID(SUBSTITUTE(SUBSTITUTE(SUBSTITUTE(UPPER($T338)," ",""),"P",""),";",REPT(" ",30)),151,30))),0)+IFERROR(VALUE(TRIM(MID(SUBSTITUTE(SUBSTITUTE(SUBSTITUTE(UPPER($T338)," ",""),"P",""),";",REPT(" ",30)),181,30))),0)+IFERROR(VALUE(TRIM(MID(SUBSTITUTE(SUBSTITUTE(SUBSTITUTE(UPPER($T338)," ",""),"P",""),";",REPT(" ",30)),211,30))),0)))))</f>
        <v/>
      </c>
      <c r="W338" s="24" t="n"/>
      <c r="X338" s="14" t="n"/>
    </row>
    <row r="339">
      <c r="A339" s="6">
        <f>IF($C339="","",68)</f>
        <v/>
      </c>
      <c r="B339" s="6">
        <f>IF($C339="","","1ª Sessão")</f>
        <v/>
      </c>
      <c r="C339" s="6">
        <f>IF(Preenchimento!$B$77="","",Preenchimento!$B$77)</f>
        <v/>
      </c>
      <c r="D339" s="6">
        <f>IF($C339="","",IF(Preenchimento!$C$77="","-",Preenchimento!$C$77))</f>
        <v/>
      </c>
      <c r="E339" s="6" t="n"/>
      <c r="F339" s="6" t="n"/>
      <c r="G339" s="26" t="n"/>
      <c r="H339" s="6" t="n"/>
      <c r="I339" s="13" t="n"/>
      <c r="J339" s="27">
        <f>IF($C339="","",IF($E339="Falta","-",MAX(0,MIN(10,8+IFERROR(VALUE(TRIM(MID(SUBSTITUTE(SUBSTITUTE(SUBSTITUTE(UPPER($H339)," ",""),"D",""),";",REPT(" ",30)),1,30))),0)+IFERROR(VALUE(TRIM(MID(SUBSTITUTE(SUBSTITUTE(SUBSTITUTE(UPPER($H339)," ",""),"D",""),";",REPT(" ",30)),31,30))),0)+IFERROR(VALUE(TRIM(MID(SUBSTITUTE(SUBSTITUTE(SUBSTITUTE(UPPER($H339)," ",""),"D",""),";",REPT(" ",30)),61,30))),0)+IFERROR(VALUE(TRIM(MID(SUBSTITUTE(SUBSTITUTE(SUBSTITUTE(UPPER($H339)," ",""),"D",""),";",REPT(" ",30)),91,30))),0)+IFERROR(VALUE(TRIM(MID(SUBSTITUTE(SUBSTITUTE(SUBSTITUTE(UPPER($H339)," ",""),"D",""),";",REPT(" ",30)),121,30))),0)+IFERROR(VALUE(TRIM(MID(SUBSTITUTE(SUBSTITUTE(SUBSTITUTE(UPPER($H339)," ",""),"D",""),";",REPT(" ",30)),151,30))),0)+IFERROR(VALUE(TRIM(MID(SUBSTITUTE(SUBSTITUTE(SUBSTITUTE(UPPER($H339)," ",""),"D",""),";",REPT(" ",30)),181,30))),0)+IFERROR(VALUE(TRIM(MID(SUBSTITUTE(SUBSTITUTE(SUBSTITUTE(UPPER($H339)," ",""),"D",""),";",REPT(" ",30)),211,30))),0)))))</f>
        <v/>
      </c>
      <c r="K339" s="26" t="n"/>
      <c r="L339" s="6" t="n"/>
      <c r="M339" s="13" t="n"/>
      <c r="N339" s="27">
        <f>IF($C339="","",IF($E339="Falta","-",MAX(0,MIN(10,8+IFERROR(VALUE(TRIM(MID(SUBSTITUTE(SUBSTITUTE(SUBSTITUTE(UPPER($L339)," ",""),"F",""),";",REPT(" ",30)),1,30))),0)+IFERROR(VALUE(TRIM(MID(SUBSTITUTE(SUBSTITUTE(SUBSTITUTE(UPPER($L339)," ",""),"F",""),";",REPT(" ",30)),31,30))),0)+IFERROR(VALUE(TRIM(MID(SUBSTITUTE(SUBSTITUTE(SUBSTITUTE(UPPER($L339)," ",""),"F",""),";",REPT(" ",30)),61,30))),0)+IFERROR(VALUE(TRIM(MID(SUBSTITUTE(SUBSTITUTE(SUBSTITUTE(UPPER($L339)," ",""),"F",""),";",REPT(" ",30)),91,30))),0)+IFERROR(VALUE(TRIM(MID(SUBSTITUTE(SUBSTITUTE(SUBSTITUTE(UPPER($L339)," ",""),"F",""),";",REPT(" ",30)),121,30))),0)+IFERROR(VALUE(TRIM(MID(SUBSTITUTE(SUBSTITUTE(SUBSTITUTE(UPPER($L339)," ",""),"F",""),";",REPT(" ",30)),151,30))),0)+IFERROR(VALUE(TRIM(MID(SUBSTITUTE(SUBSTITUTE(SUBSTITUTE(UPPER($L339)," ",""),"F",""),";",REPT(" ",30)),181,30))),0)+IFERROR(VALUE(TRIM(MID(SUBSTITUTE(SUBSTITUTE(SUBSTITUTE(UPPER($L339)," ",""),"F",""),";",REPT(" ",30)),211,30))),0)))))</f>
        <v/>
      </c>
      <c r="O339" s="26" t="n"/>
      <c r="P339" s="6" t="n"/>
      <c r="Q339" s="13" t="n"/>
      <c r="R339" s="27">
        <f>IF($C339="","",IF($E339="Falta","-",MAX(0,MIN(10,5+IFERROR(VALUE(TRIM(MID(SUBSTITUTE(SUBSTITUTE(SUBSTITUTE(UPPER($P339)," ",""),"C",""),";",REPT(" ",30)),1,30))),0)+IFERROR(VALUE(TRIM(MID(SUBSTITUTE(SUBSTITUTE(SUBSTITUTE(UPPER($P339)," ",""),"C",""),";",REPT(" ",30)),31,30))),0)+IFERROR(VALUE(TRIM(MID(SUBSTITUTE(SUBSTITUTE(SUBSTITUTE(UPPER($P339)," ",""),"C",""),";",REPT(" ",30)),61,30))),0)+IFERROR(VALUE(TRIM(MID(SUBSTITUTE(SUBSTITUTE(SUBSTITUTE(UPPER($P339)," ",""),"C",""),";",REPT(" ",30)),91,30))),0)+IFERROR(VALUE(TRIM(MID(SUBSTITUTE(SUBSTITUTE(SUBSTITUTE(UPPER($P339)," ",""),"C",""),";",REPT(" ",30)),121,30))),0)+IFERROR(VALUE(TRIM(MID(SUBSTITUTE(SUBSTITUTE(SUBSTITUTE(UPPER($P339)," ",""),"C",""),";",REPT(" ",30)),151,30))),0)+IFERROR(VALUE(TRIM(MID(SUBSTITUTE(SUBSTITUTE(SUBSTITUTE(UPPER($P339)," ",""),"C",""),";",REPT(" ",30)),181,30))),0)+IFERROR(VALUE(TRIM(MID(SUBSTITUTE(SUBSTITUTE(SUBSTITUTE(UPPER($P339)," ",""),"C",""),";",REPT(" ",30)),211,30))),0)))))</f>
        <v/>
      </c>
      <c r="S339" s="26" t="n"/>
      <c r="T339" s="6" t="n"/>
      <c r="U339" s="13" t="n"/>
      <c r="V339" s="27">
        <f>IF($C339="","",IF($E339="Falta","-",MAX(0,MIN(10,5+IFERROR(VALUE(TRIM(MID(SUBSTITUTE(SUBSTITUTE(SUBSTITUTE(UPPER($T339)," ",""),"P",""),";",REPT(" ",30)),1,30))),0)+IFERROR(VALUE(TRIM(MID(SUBSTITUTE(SUBSTITUTE(SUBSTITUTE(UPPER($T339)," ",""),"P",""),";",REPT(" ",30)),31,30))),0)+IFERROR(VALUE(TRIM(MID(SUBSTITUTE(SUBSTITUTE(SUBSTITUTE(UPPER($T339)," ",""),"P",""),";",REPT(" ",30)),61,30))),0)+IFERROR(VALUE(TRIM(MID(SUBSTITUTE(SUBSTITUTE(SUBSTITUTE(UPPER($T339)," ",""),"P",""),";",REPT(" ",30)),91,30))),0)+IFERROR(VALUE(TRIM(MID(SUBSTITUTE(SUBSTITUTE(SUBSTITUTE(UPPER($T339)," ",""),"P",""),";",REPT(" ",30)),121,30))),0)+IFERROR(VALUE(TRIM(MID(SUBSTITUTE(SUBSTITUTE(SUBSTITUTE(UPPER($T339)," ",""),"P",""),";",REPT(" ",30)),151,30))),0)+IFERROR(VALUE(TRIM(MID(SUBSTITUTE(SUBSTITUTE(SUBSTITUTE(UPPER($T339)," ",""),"P",""),";",REPT(" ",30)),181,30))),0)+IFERROR(VALUE(TRIM(MID(SUBSTITUTE(SUBSTITUTE(SUBSTITUTE(UPPER($T339)," ",""),"P",""),";",REPT(" ",30)),211,30))),0)))))</f>
        <v/>
      </c>
      <c r="W339" s="26" t="n"/>
      <c r="X339" s="13" t="n"/>
    </row>
    <row r="340">
      <c r="A340" s="6">
        <f>IF($C340="","",68)</f>
        <v/>
      </c>
      <c r="B340" s="6">
        <f>IF($C340="","","2ª Sessão")</f>
        <v/>
      </c>
      <c r="C340" s="6">
        <f>IF(Preenchimento!$B$77="","",Preenchimento!$B$77)</f>
        <v/>
      </c>
      <c r="D340" s="6">
        <f>IF($C340="","",IF(Preenchimento!$C$77="","-",Preenchimento!$C$77))</f>
        <v/>
      </c>
      <c r="E340" s="6" t="n"/>
      <c r="F340" s="6" t="n"/>
      <c r="G340" s="26" t="n"/>
      <c r="H340" s="6" t="n"/>
      <c r="I340" s="13" t="n"/>
      <c r="J340" s="27">
        <f>IF($C340="","",IF($E340="Falta","-",MAX(0,MIN(10,8+IFERROR(VALUE(TRIM(MID(SUBSTITUTE(SUBSTITUTE(SUBSTITUTE(UPPER($H340)," ",""),"D",""),";",REPT(" ",30)),1,30))),0)+IFERROR(VALUE(TRIM(MID(SUBSTITUTE(SUBSTITUTE(SUBSTITUTE(UPPER($H340)," ",""),"D",""),";",REPT(" ",30)),31,30))),0)+IFERROR(VALUE(TRIM(MID(SUBSTITUTE(SUBSTITUTE(SUBSTITUTE(UPPER($H340)," ",""),"D",""),";",REPT(" ",30)),61,30))),0)+IFERROR(VALUE(TRIM(MID(SUBSTITUTE(SUBSTITUTE(SUBSTITUTE(UPPER($H340)," ",""),"D",""),";",REPT(" ",30)),91,30))),0)+IFERROR(VALUE(TRIM(MID(SUBSTITUTE(SUBSTITUTE(SUBSTITUTE(UPPER($H340)," ",""),"D",""),";",REPT(" ",30)),121,30))),0)+IFERROR(VALUE(TRIM(MID(SUBSTITUTE(SUBSTITUTE(SUBSTITUTE(UPPER($H340)," ",""),"D",""),";",REPT(" ",30)),151,30))),0)+IFERROR(VALUE(TRIM(MID(SUBSTITUTE(SUBSTITUTE(SUBSTITUTE(UPPER($H340)," ",""),"D",""),";",REPT(" ",30)),181,30))),0)+IFERROR(VALUE(TRIM(MID(SUBSTITUTE(SUBSTITUTE(SUBSTITUTE(UPPER($H340)," ",""),"D",""),";",REPT(" ",30)),211,30))),0)))))</f>
        <v/>
      </c>
      <c r="K340" s="26" t="n"/>
      <c r="L340" s="6" t="n"/>
      <c r="M340" s="13" t="n"/>
      <c r="N340" s="27">
        <f>IF($C340="","",IF($E340="Falta","-",MAX(0,MIN(10,8+IFERROR(VALUE(TRIM(MID(SUBSTITUTE(SUBSTITUTE(SUBSTITUTE(UPPER($L340)," ",""),"F",""),";",REPT(" ",30)),1,30))),0)+IFERROR(VALUE(TRIM(MID(SUBSTITUTE(SUBSTITUTE(SUBSTITUTE(UPPER($L340)," ",""),"F",""),";",REPT(" ",30)),31,30))),0)+IFERROR(VALUE(TRIM(MID(SUBSTITUTE(SUBSTITUTE(SUBSTITUTE(UPPER($L340)," ",""),"F",""),";",REPT(" ",30)),61,30))),0)+IFERROR(VALUE(TRIM(MID(SUBSTITUTE(SUBSTITUTE(SUBSTITUTE(UPPER($L340)," ",""),"F",""),";",REPT(" ",30)),91,30))),0)+IFERROR(VALUE(TRIM(MID(SUBSTITUTE(SUBSTITUTE(SUBSTITUTE(UPPER($L340)," ",""),"F",""),";",REPT(" ",30)),121,30))),0)+IFERROR(VALUE(TRIM(MID(SUBSTITUTE(SUBSTITUTE(SUBSTITUTE(UPPER($L340)," ",""),"F",""),";",REPT(" ",30)),151,30))),0)+IFERROR(VALUE(TRIM(MID(SUBSTITUTE(SUBSTITUTE(SUBSTITUTE(UPPER($L340)," ",""),"F",""),";",REPT(" ",30)),181,30))),0)+IFERROR(VALUE(TRIM(MID(SUBSTITUTE(SUBSTITUTE(SUBSTITUTE(UPPER($L340)," ",""),"F",""),";",REPT(" ",30)),211,30))),0)))))</f>
        <v/>
      </c>
      <c r="O340" s="26" t="n"/>
      <c r="P340" s="6" t="n"/>
      <c r="Q340" s="13" t="n"/>
      <c r="R340" s="27">
        <f>IF($C340="","",IF($E340="Falta","-",MAX(0,MIN(10,5+IFERROR(VALUE(TRIM(MID(SUBSTITUTE(SUBSTITUTE(SUBSTITUTE(UPPER($P340)," ",""),"C",""),";",REPT(" ",30)),1,30))),0)+IFERROR(VALUE(TRIM(MID(SUBSTITUTE(SUBSTITUTE(SUBSTITUTE(UPPER($P340)," ",""),"C",""),";",REPT(" ",30)),31,30))),0)+IFERROR(VALUE(TRIM(MID(SUBSTITUTE(SUBSTITUTE(SUBSTITUTE(UPPER($P340)," ",""),"C",""),";",REPT(" ",30)),61,30))),0)+IFERROR(VALUE(TRIM(MID(SUBSTITUTE(SUBSTITUTE(SUBSTITUTE(UPPER($P340)," ",""),"C",""),";",REPT(" ",30)),91,30))),0)+IFERROR(VALUE(TRIM(MID(SUBSTITUTE(SUBSTITUTE(SUBSTITUTE(UPPER($P340)," ",""),"C",""),";",REPT(" ",30)),121,30))),0)+IFERROR(VALUE(TRIM(MID(SUBSTITUTE(SUBSTITUTE(SUBSTITUTE(UPPER($P340)," ",""),"C",""),";",REPT(" ",30)),151,30))),0)+IFERROR(VALUE(TRIM(MID(SUBSTITUTE(SUBSTITUTE(SUBSTITUTE(UPPER($P340)," ",""),"C",""),";",REPT(" ",30)),181,30))),0)+IFERROR(VALUE(TRIM(MID(SUBSTITUTE(SUBSTITUTE(SUBSTITUTE(UPPER($P340)," ",""),"C",""),";",REPT(" ",30)),211,30))),0)))))</f>
        <v/>
      </c>
      <c r="S340" s="26" t="n"/>
      <c r="T340" s="6" t="n"/>
      <c r="U340" s="13" t="n"/>
      <c r="V340" s="27">
        <f>IF($C340="","",IF($E340="Falta","-",MAX(0,MIN(10,5+IFERROR(VALUE(TRIM(MID(SUBSTITUTE(SUBSTITUTE(SUBSTITUTE(UPPER($T340)," ",""),"P",""),";",REPT(" ",30)),1,30))),0)+IFERROR(VALUE(TRIM(MID(SUBSTITUTE(SUBSTITUTE(SUBSTITUTE(UPPER($T340)," ",""),"P",""),";",REPT(" ",30)),31,30))),0)+IFERROR(VALUE(TRIM(MID(SUBSTITUTE(SUBSTITUTE(SUBSTITUTE(UPPER($T340)," ",""),"P",""),";",REPT(" ",30)),61,30))),0)+IFERROR(VALUE(TRIM(MID(SUBSTITUTE(SUBSTITUTE(SUBSTITUTE(UPPER($T340)," ",""),"P",""),";",REPT(" ",30)),91,30))),0)+IFERROR(VALUE(TRIM(MID(SUBSTITUTE(SUBSTITUTE(SUBSTITUTE(UPPER($T340)," ",""),"P",""),";",REPT(" ",30)),121,30))),0)+IFERROR(VALUE(TRIM(MID(SUBSTITUTE(SUBSTITUTE(SUBSTITUTE(UPPER($T340)," ",""),"P",""),";",REPT(" ",30)),151,30))),0)+IFERROR(VALUE(TRIM(MID(SUBSTITUTE(SUBSTITUTE(SUBSTITUTE(UPPER($T340)," ",""),"P",""),";",REPT(" ",30)),181,30))),0)+IFERROR(VALUE(TRIM(MID(SUBSTITUTE(SUBSTITUTE(SUBSTITUTE(UPPER($T340)," ",""),"P",""),";",REPT(" ",30)),211,30))),0)))))</f>
        <v/>
      </c>
      <c r="W340" s="26" t="n"/>
      <c r="X340" s="13" t="n"/>
    </row>
    <row r="341">
      <c r="A341" s="6">
        <f>IF($C341="","",68)</f>
        <v/>
      </c>
      <c r="B341" s="6">
        <f>IF($C341="","","3ª Sessão")</f>
        <v/>
      </c>
      <c r="C341" s="6">
        <f>IF(Preenchimento!$B$77="","",Preenchimento!$B$77)</f>
        <v/>
      </c>
      <c r="D341" s="6">
        <f>IF($C341="","",IF(Preenchimento!$C$77="","-",Preenchimento!$C$77))</f>
        <v/>
      </c>
      <c r="E341" s="6" t="n"/>
      <c r="F341" s="6" t="n"/>
      <c r="G341" s="26" t="n"/>
      <c r="H341" s="6" t="n"/>
      <c r="I341" s="13" t="n"/>
      <c r="J341" s="27">
        <f>IF($C341="","",IF($E341="Falta","-",MAX(0,MIN(10,8+IFERROR(VALUE(TRIM(MID(SUBSTITUTE(SUBSTITUTE(SUBSTITUTE(UPPER($H341)," ",""),"D",""),";",REPT(" ",30)),1,30))),0)+IFERROR(VALUE(TRIM(MID(SUBSTITUTE(SUBSTITUTE(SUBSTITUTE(UPPER($H341)," ",""),"D",""),";",REPT(" ",30)),31,30))),0)+IFERROR(VALUE(TRIM(MID(SUBSTITUTE(SUBSTITUTE(SUBSTITUTE(UPPER($H341)," ",""),"D",""),";",REPT(" ",30)),61,30))),0)+IFERROR(VALUE(TRIM(MID(SUBSTITUTE(SUBSTITUTE(SUBSTITUTE(UPPER($H341)," ",""),"D",""),";",REPT(" ",30)),91,30))),0)+IFERROR(VALUE(TRIM(MID(SUBSTITUTE(SUBSTITUTE(SUBSTITUTE(UPPER($H341)," ",""),"D",""),";",REPT(" ",30)),121,30))),0)+IFERROR(VALUE(TRIM(MID(SUBSTITUTE(SUBSTITUTE(SUBSTITUTE(UPPER($H341)," ",""),"D",""),";",REPT(" ",30)),151,30))),0)+IFERROR(VALUE(TRIM(MID(SUBSTITUTE(SUBSTITUTE(SUBSTITUTE(UPPER($H341)," ",""),"D",""),";",REPT(" ",30)),181,30))),0)+IFERROR(VALUE(TRIM(MID(SUBSTITUTE(SUBSTITUTE(SUBSTITUTE(UPPER($H341)," ",""),"D",""),";",REPT(" ",30)),211,30))),0)))))</f>
        <v/>
      </c>
      <c r="K341" s="26" t="n"/>
      <c r="L341" s="6" t="n"/>
      <c r="M341" s="13" t="n"/>
      <c r="N341" s="27">
        <f>IF($C341="","",IF($E341="Falta","-",MAX(0,MIN(10,8+IFERROR(VALUE(TRIM(MID(SUBSTITUTE(SUBSTITUTE(SUBSTITUTE(UPPER($L341)," ",""),"F",""),";",REPT(" ",30)),1,30))),0)+IFERROR(VALUE(TRIM(MID(SUBSTITUTE(SUBSTITUTE(SUBSTITUTE(UPPER($L341)," ",""),"F",""),";",REPT(" ",30)),31,30))),0)+IFERROR(VALUE(TRIM(MID(SUBSTITUTE(SUBSTITUTE(SUBSTITUTE(UPPER($L341)," ",""),"F",""),";",REPT(" ",30)),61,30))),0)+IFERROR(VALUE(TRIM(MID(SUBSTITUTE(SUBSTITUTE(SUBSTITUTE(UPPER($L341)," ",""),"F",""),";",REPT(" ",30)),91,30))),0)+IFERROR(VALUE(TRIM(MID(SUBSTITUTE(SUBSTITUTE(SUBSTITUTE(UPPER($L341)," ",""),"F",""),";",REPT(" ",30)),121,30))),0)+IFERROR(VALUE(TRIM(MID(SUBSTITUTE(SUBSTITUTE(SUBSTITUTE(UPPER($L341)," ",""),"F",""),";",REPT(" ",30)),151,30))),0)+IFERROR(VALUE(TRIM(MID(SUBSTITUTE(SUBSTITUTE(SUBSTITUTE(UPPER($L341)," ",""),"F",""),";",REPT(" ",30)),181,30))),0)+IFERROR(VALUE(TRIM(MID(SUBSTITUTE(SUBSTITUTE(SUBSTITUTE(UPPER($L341)," ",""),"F",""),";",REPT(" ",30)),211,30))),0)))))</f>
        <v/>
      </c>
      <c r="O341" s="26" t="n"/>
      <c r="P341" s="6" t="n"/>
      <c r="Q341" s="13" t="n"/>
      <c r="R341" s="27">
        <f>IF($C341="","",IF($E341="Falta","-",MAX(0,MIN(10,5+IFERROR(VALUE(TRIM(MID(SUBSTITUTE(SUBSTITUTE(SUBSTITUTE(UPPER($P341)," ",""),"C",""),";",REPT(" ",30)),1,30))),0)+IFERROR(VALUE(TRIM(MID(SUBSTITUTE(SUBSTITUTE(SUBSTITUTE(UPPER($P341)," ",""),"C",""),";",REPT(" ",30)),31,30))),0)+IFERROR(VALUE(TRIM(MID(SUBSTITUTE(SUBSTITUTE(SUBSTITUTE(UPPER($P341)," ",""),"C",""),";",REPT(" ",30)),61,30))),0)+IFERROR(VALUE(TRIM(MID(SUBSTITUTE(SUBSTITUTE(SUBSTITUTE(UPPER($P341)," ",""),"C",""),";",REPT(" ",30)),91,30))),0)+IFERROR(VALUE(TRIM(MID(SUBSTITUTE(SUBSTITUTE(SUBSTITUTE(UPPER($P341)," ",""),"C",""),";",REPT(" ",30)),121,30))),0)+IFERROR(VALUE(TRIM(MID(SUBSTITUTE(SUBSTITUTE(SUBSTITUTE(UPPER($P341)," ",""),"C",""),";",REPT(" ",30)),151,30))),0)+IFERROR(VALUE(TRIM(MID(SUBSTITUTE(SUBSTITUTE(SUBSTITUTE(UPPER($P341)," ",""),"C",""),";",REPT(" ",30)),181,30))),0)+IFERROR(VALUE(TRIM(MID(SUBSTITUTE(SUBSTITUTE(SUBSTITUTE(UPPER($P341)," ",""),"C",""),";",REPT(" ",30)),211,30))),0)))))</f>
        <v/>
      </c>
      <c r="S341" s="26" t="n"/>
      <c r="T341" s="6" t="n"/>
      <c r="U341" s="13" t="n"/>
      <c r="V341" s="27">
        <f>IF($C341="","",IF($E341="Falta","-",MAX(0,MIN(10,5+IFERROR(VALUE(TRIM(MID(SUBSTITUTE(SUBSTITUTE(SUBSTITUTE(UPPER($T341)," ",""),"P",""),";",REPT(" ",30)),1,30))),0)+IFERROR(VALUE(TRIM(MID(SUBSTITUTE(SUBSTITUTE(SUBSTITUTE(UPPER($T341)," ",""),"P",""),";",REPT(" ",30)),31,30))),0)+IFERROR(VALUE(TRIM(MID(SUBSTITUTE(SUBSTITUTE(SUBSTITUTE(UPPER($T341)," ",""),"P",""),";",REPT(" ",30)),61,30))),0)+IFERROR(VALUE(TRIM(MID(SUBSTITUTE(SUBSTITUTE(SUBSTITUTE(UPPER($T341)," ",""),"P",""),";",REPT(" ",30)),91,30))),0)+IFERROR(VALUE(TRIM(MID(SUBSTITUTE(SUBSTITUTE(SUBSTITUTE(UPPER($T341)," ",""),"P",""),";",REPT(" ",30)),121,30))),0)+IFERROR(VALUE(TRIM(MID(SUBSTITUTE(SUBSTITUTE(SUBSTITUTE(UPPER($T341)," ",""),"P",""),";",REPT(" ",30)),151,30))),0)+IFERROR(VALUE(TRIM(MID(SUBSTITUTE(SUBSTITUTE(SUBSTITUTE(UPPER($T341)," ",""),"P",""),";",REPT(" ",30)),181,30))),0)+IFERROR(VALUE(TRIM(MID(SUBSTITUTE(SUBSTITUTE(SUBSTITUTE(UPPER($T341)," ",""),"P",""),";",REPT(" ",30)),211,30))),0)))))</f>
        <v/>
      </c>
      <c r="W341" s="26" t="n"/>
      <c r="X341" s="13" t="n"/>
    </row>
    <row r="342">
      <c r="A342" s="6">
        <f>IF($C342="","",68)</f>
        <v/>
      </c>
      <c r="B342" s="6">
        <f>IF($C342="","","4ª Sessão")</f>
        <v/>
      </c>
      <c r="C342" s="6">
        <f>IF(Preenchimento!$B$77="","",Preenchimento!$B$77)</f>
        <v/>
      </c>
      <c r="D342" s="6">
        <f>IF($C342="","",IF(Preenchimento!$C$77="","-",Preenchimento!$C$77))</f>
        <v/>
      </c>
      <c r="E342" s="6" t="n"/>
      <c r="F342" s="6" t="n"/>
      <c r="G342" s="26" t="n"/>
      <c r="H342" s="6" t="n"/>
      <c r="I342" s="13" t="n"/>
      <c r="J342" s="27">
        <f>IF($C342="","",IF($E342="Falta","-",MAX(0,MIN(10,8+IFERROR(VALUE(TRIM(MID(SUBSTITUTE(SUBSTITUTE(SUBSTITUTE(UPPER($H342)," ",""),"D",""),";",REPT(" ",30)),1,30))),0)+IFERROR(VALUE(TRIM(MID(SUBSTITUTE(SUBSTITUTE(SUBSTITUTE(UPPER($H342)," ",""),"D",""),";",REPT(" ",30)),31,30))),0)+IFERROR(VALUE(TRIM(MID(SUBSTITUTE(SUBSTITUTE(SUBSTITUTE(UPPER($H342)," ",""),"D",""),";",REPT(" ",30)),61,30))),0)+IFERROR(VALUE(TRIM(MID(SUBSTITUTE(SUBSTITUTE(SUBSTITUTE(UPPER($H342)," ",""),"D",""),";",REPT(" ",30)),91,30))),0)+IFERROR(VALUE(TRIM(MID(SUBSTITUTE(SUBSTITUTE(SUBSTITUTE(UPPER($H342)," ",""),"D",""),";",REPT(" ",30)),121,30))),0)+IFERROR(VALUE(TRIM(MID(SUBSTITUTE(SUBSTITUTE(SUBSTITUTE(UPPER($H342)," ",""),"D",""),";",REPT(" ",30)),151,30))),0)+IFERROR(VALUE(TRIM(MID(SUBSTITUTE(SUBSTITUTE(SUBSTITUTE(UPPER($H342)," ",""),"D",""),";",REPT(" ",30)),181,30))),0)+IFERROR(VALUE(TRIM(MID(SUBSTITUTE(SUBSTITUTE(SUBSTITUTE(UPPER($H342)," ",""),"D",""),";",REPT(" ",30)),211,30))),0)))))</f>
        <v/>
      </c>
      <c r="K342" s="26" t="n"/>
      <c r="L342" s="6" t="n"/>
      <c r="M342" s="13" t="n"/>
      <c r="N342" s="27">
        <f>IF($C342="","",IF($E342="Falta","-",MAX(0,MIN(10,8+IFERROR(VALUE(TRIM(MID(SUBSTITUTE(SUBSTITUTE(SUBSTITUTE(UPPER($L342)," ",""),"F",""),";",REPT(" ",30)),1,30))),0)+IFERROR(VALUE(TRIM(MID(SUBSTITUTE(SUBSTITUTE(SUBSTITUTE(UPPER($L342)," ",""),"F",""),";",REPT(" ",30)),31,30))),0)+IFERROR(VALUE(TRIM(MID(SUBSTITUTE(SUBSTITUTE(SUBSTITUTE(UPPER($L342)," ",""),"F",""),";",REPT(" ",30)),61,30))),0)+IFERROR(VALUE(TRIM(MID(SUBSTITUTE(SUBSTITUTE(SUBSTITUTE(UPPER($L342)," ",""),"F",""),";",REPT(" ",30)),91,30))),0)+IFERROR(VALUE(TRIM(MID(SUBSTITUTE(SUBSTITUTE(SUBSTITUTE(UPPER($L342)," ",""),"F",""),";",REPT(" ",30)),121,30))),0)+IFERROR(VALUE(TRIM(MID(SUBSTITUTE(SUBSTITUTE(SUBSTITUTE(UPPER($L342)," ",""),"F",""),";",REPT(" ",30)),151,30))),0)+IFERROR(VALUE(TRIM(MID(SUBSTITUTE(SUBSTITUTE(SUBSTITUTE(UPPER($L342)," ",""),"F",""),";",REPT(" ",30)),181,30))),0)+IFERROR(VALUE(TRIM(MID(SUBSTITUTE(SUBSTITUTE(SUBSTITUTE(UPPER($L342)," ",""),"F",""),";",REPT(" ",30)),211,30))),0)))))</f>
        <v/>
      </c>
      <c r="O342" s="26" t="n"/>
      <c r="P342" s="6" t="n"/>
      <c r="Q342" s="13" t="n"/>
      <c r="R342" s="27">
        <f>IF($C342="","",IF($E342="Falta","-",MAX(0,MIN(10,5+IFERROR(VALUE(TRIM(MID(SUBSTITUTE(SUBSTITUTE(SUBSTITUTE(UPPER($P342)," ",""),"C",""),";",REPT(" ",30)),1,30))),0)+IFERROR(VALUE(TRIM(MID(SUBSTITUTE(SUBSTITUTE(SUBSTITUTE(UPPER($P342)," ",""),"C",""),";",REPT(" ",30)),31,30))),0)+IFERROR(VALUE(TRIM(MID(SUBSTITUTE(SUBSTITUTE(SUBSTITUTE(UPPER($P342)," ",""),"C",""),";",REPT(" ",30)),61,30))),0)+IFERROR(VALUE(TRIM(MID(SUBSTITUTE(SUBSTITUTE(SUBSTITUTE(UPPER($P342)," ",""),"C",""),";",REPT(" ",30)),91,30))),0)+IFERROR(VALUE(TRIM(MID(SUBSTITUTE(SUBSTITUTE(SUBSTITUTE(UPPER($P342)," ",""),"C",""),";",REPT(" ",30)),121,30))),0)+IFERROR(VALUE(TRIM(MID(SUBSTITUTE(SUBSTITUTE(SUBSTITUTE(UPPER($P342)," ",""),"C",""),";",REPT(" ",30)),151,30))),0)+IFERROR(VALUE(TRIM(MID(SUBSTITUTE(SUBSTITUTE(SUBSTITUTE(UPPER($P342)," ",""),"C",""),";",REPT(" ",30)),181,30))),0)+IFERROR(VALUE(TRIM(MID(SUBSTITUTE(SUBSTITUTE(SUBSTITUTE(UPPER($P342)," ",""),"C",""),";",REPT(" ",30)),211,30))),0)))))</f>
        <v/>
      </c>
      <c r="S342" s="26" t="n"/>
      <c r="T342" s="6" t="n"/>
      <c r="U342" s="13" t="n"/>
      <c r="V342" s="27">
        <f>IF($C342="","",IF($E342="Falta","-",MAX(0,MIN(10,5+IFERROR(VALUE(TRIM(MID(SUBSTITUTE(SUBSTITUTE(SUBSTITUTE(UPPER($T342)," ",""),"P",""),";",REPT(" ",30)),1,30))),0)+IFERROR(VALUE(TRIM(MID(SUBSTITUTE(SUBSTITUTE(SUBSTITUTE(UPPER($T342)," ",""),"P",""),";",REPT(" ",30)),31,30))),0)+IFERROR(VALUE(TRIM(MID(SUBSTITUTE(SUBSTITUTE(SUBSTITUTE(UPPER($T342)," ",""),"P",""),";",REPT(" ",30)),61,30))),0)+IFERROR(VALUE(TRIM(MID(SUBSTITUTE(SUBSTITUTE(SUBSTITUTE(UPPER($T342)," ",""),"P",""),";",REPT(" ",30)),91,30))),0)+IFERROR(VALUE(TRIM(MID(SUBSTITUTE(SUBSTITUTE(SUBSTITUTE(UPPER($T342)," ",""),"P",""),";",REPT(" ",30)),121,30))),0)+IFERROR(VALUE(TRIM(MID(SUBSTITUTE(SUBSTITUTE(SUBSTITUTE(UPPER($T342)," ",""),"P",""),";",REPT(" ",30)),151,30))),0)+IFERROR(VALUE(TRIM(MID(SUBSTITUTE(SUBSTITUTE(SUBSTITUTE(UPPER($T342)," ",""),"P",""),";",REPT(" ",30)),181,30))),0)+IFERROR(VALUE(TRIM(MID(SUBSTITUTE(SUBSTITUTE(SUBSTITUTE(UPPER($T342)," ",""),"P",""),";",REPT(" ",30)),211,30))),0)))))</f>
        <v/>
      </c>
      <c r="W342" s="26" t="n"/>
      <c r="X342" s="13" t="n"/>
    </row>
    <row r="343">
      <c r="A343" s="6">
        <f>IF($C343="","",68)</f>
        <v/>
      </c>
      <c r="B343" s="6">
        <f>IF($C343="","","5ª Sessão")</f>
        <v/>
      </c>
      <c r="C343" s="6">
        <f>IF(Preenchimento!$B$77="","",Preenchimento!$B$77)</f>
        <v/>
      </c>
      <c r="D343" s="6">
        <f>IF($C343="","",IF(Preenchimento!$C$77="","-",Preenchimento!$C$77))</f>
        <v/>
      </c>
      <c r="E343" s="6" t="n"/>
      <c r="F343" s="6" t="n"/>
      <c r="G343" s="26" t="n"/>
      <c r="H343" s="6" t="n"/>
      <c r="I343" s="13" t="n"/>
      <c r="J343" s="27">
        <f>IF($C343="","",IF($E343="Falta","-",MAX(0,MIN(10,8+IFERROR(VALUE(TRIM(MID(SUBSTITUTE(SUBSTITUTE(SUBSTITUTE(UPPER($H343)," ",""),"D",""),";",REPT(" ",30)),1,30))),0)+IFERROR(VALUE(TRIM(MID(SUBSTITUTE(SUBSTITUTE(SUBSTITUTE(UPPER($H343)," ",""),"D",""),";",REPT(" ",30)),31,30))),0)+IFERROR(VALUE(TRIM(MID(SUBSTITUTE(SUBSTITUTE(SUBSTITUTE(UPPER($H343)," ",""),"D",""),";",REPT(" ",30)),61,30))),0)+IFERROR(VALUE(TRIM(MID(SUBSTITUTE(SUBSTITUTE(SUBSTITUTE(UPPER($H343)," ",""),"D",""),";",REPT(" ",30)),91,30))),0)+IFERROR(VALUE(TRIM(MID(SUBSTITUTE(SUBSTITUTE(SUBSTITUTE(UPPER($H343)," ",""),"D",""),";",REPT(" ",30)),121,30))),0)+IFERROR(VALUE(TRIM(MID(SUBSTITUTE(SUBSTITUTE(SUBSTITUTE(UPPER($H343)," ",""),"D",""),";",REPT(" ",30)),151,30))),0)+IFERROR(VALUE(TRIM(MID(SUBSTITUTE(SUBSTITUTE(SUBSTITUTE(UPPER($H343)," ",""),"D",""),";",REPT(" ",30)),181,30))),0)+IFERROR(VALUE(TRIM(MID(SUBSTITUTE(SUBSTITUTE(SUBSTITUTE(UPPER($H343)," ",""),"D",""),";",REPT(" ",30)),211,30))),0)))))</f>
        <v/>
      </c>
      <c r="K343" s="26" t="n"/>
      <c r="L343" s="6" t="n"/>
      <c r="M343" s="13" t="n"/>
      <c r="N343" s="27">
        <f>IF($C343="","",IF($E343="Falta","-",MAX(0,MIN(10,8+IFERROR(VALUE(TRIM(MID(SUBSTITUTE(SUBSTITUTE(SUBSTITUTE(UPPER($L343)," ",""),"F",""),";",REPT(" ",30)),1,30))),0)+IFERROR(VALUE(TRIM(MID(SUBSTITUTE(SUBSTITUTE(SUBSTITUTE(UPPER($L343)," ",""),"F",""),";",REPT(" ",30)),31,30))),0)+IFERROR(VALUE(TRIM(MID(SUBSTITUTE(SUBSTITUTE(SUBSTITUTE(UPPER($L343)," ",""),"F",""),";",REPT(" ",30)),61,30))),0)+IFERROR(VALUE(TRIM(MID(SUBSTITUTE(SUBSTITUTE(SUBSTITUTE(UPPER($L343)," ",""),"F",""),";",REPT(" ",30)),91,30))),0)+IFERROR(VALUE(TRIM(MID(SUBSTITUTE(SUBSTITUTE(SUBSTITUTE(UPPER($L343)," ",""),"F",""),";",REPT(" ",30)),121,30))),0)+IFERROR(VALUE(TRIM(MID(SUBSTITUTE(SUBSTITUTE(SUBSTITUTE(UPPER($L343)," ",""),"F",""),";",REPT(" ",30)),151,30))),0)+IFERROR(VALUE(TRIM(MID(SUBSTITUTE(SUBSTITUTE(SUBSTITUTE(UPPER($L343)," ",""),"F",""),";",REPT(" ",30)),181,30))),0)+IFERROR(VALUE(TRIM(MID(SUBSTITUTE(SUBSTITUTE(SUBSTITUTE(UPPER($L343)," ",""),"F",""),";",REPT(" ",30)),211,30))),0)))))</f>
        <v/>
      </c>
      <c r="O343" s="26" t="n"/>
      <c r="P343" s="6" t="n"/>
      <c r="Q343" s="13" t="n"/>
      <c r="R343" s="27">
        <f>IF($C343="","",IF($E343="Falta","-",MAX(0,MIN(10,5+IFERROR(VALUE(TRIM(MID(SUBSTITUTE(SUBSTITUTE(SUBSTITUTE(UPPER($P343)," ",""),"C",""),";",REPT(" ",30)),1,30))),0)+IFERROR(VALUE(TRIM(MID(SUBSTITUTE(SUBSTITUTE(SUBSTITUTE(UPPER($P343)," ",""),"C",""),";",REPT(" ",30)),31,30))),0)+IFERROR(VALUE(TRIM(MID(SUBSTITUTE(SUBSTITUTE(SUBSTITUTE(UPPER($P343)," ",""),"C",""),";",REPT(" ",30)),61,30))),0)+IFERROR(VALUE(TRIM(MID(SUBSTITUTE(SUBSTITUTE(SUBSTITUTE(UPPER($P343)," ",""),"C",""),";",REPT(" ",30)),91,30))),0)+IFERROR(VALUE(TRIM(MID(SUBSTITUTE(SUBSTITUTE(SUBSTITUTE(UPPER($P343)," ",""),"C",""),";",REPT(" ",30)),121,30))),0)+IFERROR(VALUE(TRIM(MID(SUBSTITUTE(SUBSTITUTE(SUBSTITUTE(UPPER($P343)," ",""),"C",""),";",REPT(" ",30)),151,30))),0)+IFERROR(VALUE(TRIM(MID(SUBSTITUTE(SUBSTITUTE(SUBSTITUTE(UPPER($P343)," ",""),"C",""),";",REPT(" ",30)),181,30))),0)+IFERROR(VALUE(TRIM(MID(SUBSTITUTE(SUBSTITUTE(SUBSTITUTE(UPPER($P343)," ",""),"C",""),";",REPT(" ",30)),211,30))),0)))))</f>
        <v/>
      </c>
      <c r="S343" s="26" t="n"/>
      <c r="T343" s="6" t="n"/>
      <c r="U343" s="13" t="n"/>
      <c r="V343" s="27">
        <f>IF($C343="","",IF($E343="Falta","-",MAX(0,MIN(10,5+IFERROR(VALUE(TRIM(MID(SUBSTITUTE(SUBSTITUTE(SUBSTITUTE(UPPER($T343)," ",""),"P",""),";",REPT(" ",30)),1,30))),0)+IFERROR(VALUE(TRIM(MID(SUBSTITUTE(SUBSTITUTE(SUBSTITUTE(UPPER($T343)," ",""),"P",""),";",REPT(" ",30)),31,30))),0)+IFERROR(VALUE(TRIM(MID(SUBSTITUTE(SUBSTITUTE(SUBSTITUTE(UPPER($T343)," ",""),"P",""),";",REPT(" ",30)),61,30))),0)+IFERROR(VALUE(TRIM(MID(SUBSTITUTE(SUBSTITUTE(SUBSTITUTE(UPPER($T343)," ",""),"P",""),";",REPT(" ",30)),91,30))),0)+IFERROR(VALUE(TRIM(MID(SUBSTITUTE(SUBSTITUTE(SUBSTITUTE(UPPER($T343)," ",""),"P",""),";",REPT(" ",30)),121,30))),0)+IFERROR(VALUE(TRIM(MID(SUBSTITUTE(SUBSTITUTE(SUBSTITUTE(UPPER($T343)," ",""),"P",""),";",REPT(" ",30)),151,30))),0)+IFERROR(VALUE(TRIM(MID(SUBSTITUTE(SUBSTITUTE(SUBSTITUTE(UPPER($T343)," ",""),"P",""),";",REPT(" ",30)),181,30))),0)+IFERROR(VALUE(TRIM(MID(SUBSTITUTE(SUBSTITUTE(SUBSTITUTE(UPPER($T343)," ",""),"P",""),";",REPT(" ",30)),211,30))),0)))))</f>
        <v/>
      </c>
      <c r="W343" s="26" t="n"/>
      <c r="X343" s="13" t="n"/>
    </row>
    <row r="344">
      <c r="A344" s="8">
        <f>IF($C344="","",69)</f>
        <v/>
      </c>
      <c r="B344" s="8">
        <f>IF($C344="","","1ª Sessão")</f>
        <v/>
      </c>
      <c r="C344" s="8">
        <f>IF(Preenchimento!$B$78="","",Preenchimento!$B$78)</f>
        <v/>
      </c>
      <c r="D344" s="8">
        <f>IF($C344="","",IF(Preenchimento!$C$78="","-",Preenchimento!$C$78))</f>
        <v/>
      </c>
      <c r="E344" s="8" t="n"/>
      <c r="F344" s="8" t="n"/>
      <c r="G344" s="24" t="n"/>
      <c r="H344" s="8" t="n"/>
      <c r="I344" s="14" t="n"/>
      <c r="J344" s="25">
        <f>IF($C344="","",IF($E344="Falta","-",MAX(0,MIN(10,8+IFERROR(VALUE(TRIM(MID(SUBSTITUTE(SUBSTITUTE(SUBSTITUTE(UPPER($H344)," ",""),"D",""),";",REPT(" ",30)),1,30))),0)+IFERROR(VALUE(TRIM(MID(SUBSTITUTE(SUBSTITUTE(SUBSTITUTE(UPPER($H344)," ",""),"D",""),";",REPT(" ",30)),31,30))),0)+IFERROR(VALUE(TRIM(MID(SUBSTITUTE(SUBSTITUTE(SUBSTITUTE(UPPER($H344)," ",""),"D",""),";",REPT(" ",30)),61,30))),0)+IFERROR(VALUE(TRIM(MID(SUBSTITUTE(SUBSTITUTE(SUBSTITUTE(UPPER($H344)," ",""),"D",""),";",REPT(" ",30)),91,30))),0)+IFERROR(VALUE(TRIM(MID(SUBSTITUTE(SUBSTITUTE(SUBSTITUTE(UPPER($H344)," ",""),"D",""),";",REPT(" ",30)),121,30))),0)+IFERROR(VALUE(TRIM(MID(SUBSTITUTE(SUBSTITUTE(SUBSTITUTE(UPPER($H344)," ",""),"D",""),";",REPT(" ",30)),151,30))),0)+IFERROR(VALUE(TRIM(MID(SUBSTITUTE(SUBSTITUTE(SUBSTITUTE(UPPER($H344)," ",""),"D",""),";",REPT(" ",30)),181,30))),0)+IFERROR(VALUE(TRIM(MID(SUBSTITUTE(SUBSTITUTE(SUBSTITUTE(UPPER($H344)," ",""),"D",""),";",REPT(" ",30)),211,30))),0)))))</f>
        <v/>
      </c>
      <c r="K344" s="24" t="n"/>
      <c r="L344" s="8" t="n"/>
      <c r="M344" s="14" t="n"/>
      <c r="N344" s="25">
        <f>IF($C344="","",IF($E344="Falta","-",MAX(0,MIN(10,8+IFERROR(VALUE(TRIM(MID(SUBSTITUTE(SUBSTITUTE(SUBSTITUTE(UPPER($L344)," ",""),"F",""),";",REPT(" ",30)),1,30))),0)+IFERROR(VALUE(TRIM(MID(SUBSTITUTE(SUBSTITUTE(SUBSTITUTE(UPPER($L344)," ",""),"F",""),";",REPT(" ",30)),31,30))),0)+IFERROR(VALUE(TRIM(MID(SUBSTITUTE(SUBSTITUTE(SUBSTITUTE(UPPER($L344)," ",""),"F",""),";",REPT(" ",30)),61,30))),0)+IFERROR(VALUE(TRIM(MID(SUBSTITUTE(SUBSTITUTE(SUBSTITUTE(UPPER($L344)," ",""),"F",""),";",REPT(" ",30)),91,30))),0)+IFERROR(VALUE(TRIM(MID(SUBSTITUTE(SUBSTITUTE(SUBSTITUTE(UPPER($L344)," ",""),"F",""),";",REPT(" ",30)),121,30))),0)+IFERROR(VALUE(TRIM(MID(SUBSTITUTE(SUBSTITUTE(SUBSTITUTE(UPPER($L344)," ",""),"F",""),";",REPT(" ",30)),151,30))),0)+IFERROR(VALUE(TRIM(MID(SUBSTITUTE(SUBSTITUTE(SUBSTITUTE(UPPER($L344)," ",""),"F",""),";",REPT(" ",30)),181,30))),0)+IFERROR(VALUE(TRIM(MID(SUBSTITUTE(SUBSTITUTE(SUBSTITUTE(UPPER($L344)," ",""),"F",""),";",REPT(" ",30)),211,30))),0)))))</f>
        <v/>
      </c>
      <c r="O344" s="24" t="n"/>
      <c r="P344" s="8" t="n"/>
      <c r="Q344" s="14" t="n"/>
      <c r="R344" s="25">
        <f>IF($C344="","",IF($E344="Falta","-",MAX(0,MIN(10,5+IFERROR(VALUE(TRIM(MID(SUBSTITUTE(SUBSTITUTE(SUBSTITUTE(UPPER($P344)," ",""),"C",""),";",REPT(" ",30)),1,30))),0)+IFERROR(VALUE(TRIM(MID(SUBSTITUTE(SUBSTITUTE(SUBSTITUTE(UPPER($P344)," ",""),"C",""),";",REPT(" ",30)),31,30))),0)+IFERROR(VALUE(TRIM(MID(SUBSTITUTE(SUBSTITUTE(SUBSTITUTE(UPPER($P344)," ",""),"C",""),";",REPT(" ",30)),61,30))),0)+IFERROR(VALUE(TRIM(MID(SUBSTITUTE(SUBSTITUTE(SUBSTITUTE(UPPER($P344)," ",""),"C",""),";",REPT(" ",30)),91,30))),0)+IFERROR(VALUE(TRIM(MID(SUBSTITUTE(SUBSTITUTE(SUBSTITUTE(UPPER($P344)," ",""),"C",""),";",REPT(" ",30)),121,30))),0)+IFERROR(VALUE(TRIM(MID(SUBSTITUTE(SUBSTITUTE(SUBSTITUTE(UPPER($P344)," ",""),"C",""),";",REPT(" ",30)),151,30))),0)+IFERROR(VALUE(TRIM(MID(SUBSTITUTE(SUBSTITUTE(SUBSTITUTE(UPPER($P344)," ",""),"C",""),";",REPT(" ",30)),181,30))),0)+IFERROR(VALUE(TRIM(MID(SUBSTITUTE(SUBSTITUTE(SUBSTITUTE(UPPER($P344)," ",""),"C",""),";",REPT(" ",30)),211,30))),0)))))</f>
        <v/>
      </c>
      <c r="S344" s="24" t="n"/>
      <c r="T344" s="8" t="n"/>
      <c r="U344" s="14" t="n"/>
      <c r="V344" s="25">
        <f>IF($C344="","",IF($E344="Falta","-",MAX(0,MIN(10,5+IFERROR(VALUE(TRIM(MID(SUBSTITUTE(SUBSTITUTE(SUBSTITUTE(UPPER($T344)," ",""),"P",""),";",REPT(" ",30)),1,30))),0)+IFERROR(VALUE(TRIM(MID(SUBSTITUTE(SUBSTITUTE(SUBSTITUTE(UPPER($T344)," ",""),"P",""),";",REPT(" ",30)),31,30))),0)+IFERROR(VALUE(TRIM(MID(SUBSTITUTE(SUBSTITUTE(SUBSTITUTE(UPPER($T344)," ",""),"P",""),";",REPT(" ",30)),61,30))),0)+IFERROR(VALUE(TRIM(MID(SUBSTITUTE(SUBSTITUTE(SUBSTITUTE(UPPER($T344)," ",""),"P",""),";",REPT(" ",30)),91,30))),0)+IFERROR(VALUE(TRIM(MID(SUBSTITUTE(SUBSTITUTE(SUBSTITUTE(UPPER($T344)," ",""),"P",""),";",REPT(" ",30)),121,30))),0)+IFERROR(VALUE(TRIM(MID(SUBSTITUTE(SUBSTITUTE(SUBSTITUTE(UPPER($T344)," ",""),"P",""),";",REPT(" ",30)),151,30))),0)+IFERROR(VALUE(TRIM(MID(SUBSTITUTE(SUBSTITUTE(SUBSTITUTE(UPPER($T344)," ",""),"P",""),";",REPT(" ",30)),181,30))),0)+IFERROR(VALUE(TRIM(MID(SUBSTITUTE(SUBSTITUTE(SUBSTITUTE(UPPER($T344)," ",""),"P",""),";",REPT(" ",30)),211,30))),0)))))</f>
        <v/>
      </c>
      <c r="W344" s="24" t="n"/>
      <c r="X344" s="14" t="n"/>
    </row>
    <row r="345">
      <c r="A345" s="8">
        <f>IF($C345="","",69)</f>
        <v/>
      </c>
      <c r="B345" s="8">
        <f>IF($C345="","","2ª Sessão")</f>
        <v/>
      </c>
      <c r="C345" s="8">
        <f>IF(Preenchimento!$B$78="","",Preenchimento!$B$78)</f>
        <v/>
      </c>
      <c r="D345" s="8">
        <f>IF($C345="","",IF(Preenchimento!$C$78="","-",Preenchimento!$C$78))</f>
        <v/>
      </c>
      <c r="E345" s="8" t="n"/>
      <c r="F345" s="8" t="n"/>
      <c r="G345" s="24" t="n"/>
      <c r="H345" s="8" t="n"/>
      <c r="I345" s="14" t="n"/>
      <c r="J345" s="25">
        <f>IF($C345="","",IF($E345="Falta","-",MAX(0,MIN(10,8+IFERROR(VALUE(TRIM(MID(SUBSTITUTE(SUBSTITUTE(SUBSTITUTE(UPPER($H345)," ",""),"D",""),";",REPT(" ",30)),1,30))),0)+IFERROR(VALUE(TRIM(MID(SUBSTITUTE(SUBSTITUTE(SUBSTITUTE(UPPER($H345)," ",""),"D",""),";",REPT(" ",30)),31,30))),0)+IFERROR(VALUE(TRIM(MID(SUBSTITUTE(SUBSTITUTE(SUBSTITUTE(UPPER($H345)," ",""),"D",""),";",REPT(" ",30)),61,30))),0)+IFERROR(VALUE(TRIM(MID(SUBSTITUTE(SUBSTITUTE(SUBSTITUTE(UPPER($H345)," ",""),"D",""),";",REPT(" ",30)),91,30))),0)+IFERROR(VALUE(TRIM(MID(SUBSTITUTE(SUBSTITUTE(SUBSTITUTE(UPPER($H345)," ",""),"D",""),";",REPT(" ",30)),121,30))),0)+IFERROR(VALUE(TRIM(MID(SUBSTITUTE(SUBSTITUTE(SUBSTITUTE(UPPER($H345)," ",""),"D",""),";",REPT(" ",30)),151,30))),0)+IFERROR(VALUE(TRIM(MID(SUBSTITUTE(SUBSTITUTE(SUBSTITUTE(UPPER($H345)," ",""),"D",""),";",REPT(" ",30)),181,30))),0)+IFERROR(VALUE(TRIM(MID(SUBSTITUTE(SUBSTITUTE(SUBSTITUTE(UPPER($H345)," ",""),"D",""),";",REPT(" ",30)),211,30))),0)))))</f>
        <v/>
      </c>
      <c r="K345" s="24" t="n"/>
      <c r="L345" s="8" t="n"/>
      <c r="M345" s="14" t="n"/>
      <c r="N345" s="25">
        <f>IF($C345="","",IF($E345="Falta","-",MAX(0,MIN(10,8+IFERROR(VALUE(TRIM(MID(SUBSTITUTE(SUBSTITUTE(SUBSTITUTE(UPPER($L345)," ",""),"F",""),";",REPT(" ",30)),1,30))),0)+IFERROR(VALUE(TRIM(MID(SUBSTITUTE(SUBSTITUTE(SUBSTITUTE(UPPER($L345)," ",""),"F",""),";",REPT(" ",30)),31,30))),0)+IFERROR(VALUE(TRIM(MID(SUBSTITUTE(SUBSTITUTE(SUBSTITUTE(UPPER($L345)," ",""),"F",""),";",REPT(" ",30)),61,30))),0)+IFERROR(VALUE(TRIM(MID(SUBSTITUTE(SUBSTITUTE(SUBSTITUTE(UPPER($L345)," ",""),"F",""),";",REPT(" ",30)),91,30))),0)+IFERROR(VALUE(TRIM(MID(SUBSTITUTE(SUBSTITUTE(SUBSTITUTE(UPPER($L345)," ",""),"F",""),";",REPT(" ",30)),121,30))),0)+IFERROR(VALUE(TRIM(MID(SUBSTITUTE(SUBSTITUTE(SUBSTITUTE(UPPER($L345)," ",""),"F",""),";",REPT(" ",30)),151,30))),0)+IFERROR(VALUE(TRIM(MID(SUBSTITUTE(SUBSTITUTE(SUBSTITUTE(UPPER($L345)," ",""),"F",""),";",REPT(" ",30)),181,30))),0)+IFERROR(VALUE(TRIM(MID(SUBSTITUTE(SUBSTITUTE(SUBSTITUTE(UPPER($L345)," ",""),"F",""),";",REPT(" ",30)),211,30))),0)))))</f>
        <v/>
      </c>
      <c r="O345" s="24" t="n"/>
      <c r="P345" s="8" t="n"/>
      <c r="Q345" s="14" t="n"/>
      <c r="R345" s="25">
        <f>IF($C345="","",IF($E345="Falta","-",MAX(0,MIN(10,5+IFERROR(VALUE(TRIM(MID(SUBSTITUTE(SUBSTITUTE(SUBSTITUTE(UPPER($P345)," ",""),"C",""),";",REPT(" ",30)),1,30))),0)+IFERROR(VALUE(TRIM(MID(SUBSTITUTE(SUBSTITUTE(SUBSTITUTE(UPPER($P345)," ",""),"C",""),";",REPT(" ",30)),31,30))),0)+IFERROR(VALUE(TRIM(MID(SUBSTITUTE(SUBSTITUTE(SUBSTITUTE(UPPER($P345)," ",""),"C",""),";",REPT(" ",30)),61,30))),0)+IFERROR(VALUE(TRIM(MID(SUBSTITUTE(SUBSTITUTE(SUBSTITUTE(UPPER($P345)," ",""),"C",""),";",REPT(" ",30)),91,30))),0)+IFERROR(VALUE(TRIM(MID(SUBSTITUTE(SUBSTITUTE(SUBSTITUTE(UPPER($P345)," ",""),"C",""),";",REPT(" ",30)),121,30))),0)+IFERROR(VALUE(TRIM(MID(SUBSTITUTE(SUBSTITUTE(SUBSTITUTE(UPPER($P345)," ",""),"C",""),";",REPT(" ",30)),151,30))),0)+IFERROR(VALUE(TRIM(MID(SUBSTITUTE(SUBSTITUTE(SUBSTITUTE(UPPER($P345)," ",""),"C",""),";",REPT(" ",30)),181,30))),0)+IFERROR(VALUE(TRIM(MID(SUBSTITUTE(SUBSTITUTE(SUBSTITUTE(UPPER($P345)," ",""),"C",""),";",REPT(" ",30)),211,30))),0)))))</f>
        <v/>
      </c>
      <c r="S345" s="24" t="n"/>
      <c r="T345" s="8" t="n"/>
      <c r="U345" s="14" t="n"/>
      <c r="V345" s="25">
        <f>IF($C345="","",IF($E345="Falta","-",MAX(0,MIN(10,5+IFERROR(VALUE(TRIM(MID(SUBSTITUTE(SUBSTITUTE(SUBSTITUTE(UPPER($T345)," ",""),"P",""),";",REPT(" ",30)),1,30))),0)+IFERROR(VALUE(TRIM(MID(SUBSTITUTE(SUBSTITUTE(SUBSTITUTE(UPPER($T345)," ",""),"P",""),";",REPT(" ",30)),31,30))),0)+IFERROR(VALUE(TRIM(MID(SUBSTITUTE(SUBSTITUTE(SUBSTITUTE(UPPER($T345)," ",""),"P",""),";",REPT(" ",30)),61,30))),0)+IFERROR(VALUE(TRIM(MID(SUBSTITUTE(SUBSTITUTE(SUBSTITUTE(UPPER($T345)," ",""),"P",""),";",REPT(" ",30)),91,30))),0)+IFERROR(VALUE(TRIM(MID(SUBSTITUTE(SUBSTITUTE(SUBSTITUTE(UPPER($T345)," ",""),"P",""),";",REPT(" ",30)),121,30))),0)+IFERROR(VALUE(TRIM(MID(SUBSTITUTE(SUBSTITUTE(SUBSTITUTE(UPPER($T345)," ",""),"P",""),";",REPT(" ",30)),151,30))),0)+IFERROR(VALUE(TRIM(MID(SUBSTITUTE(SUBSTITUTE(SUBSTITUTE(UPPER($T345)," ",""),"P",""),";",REPT(" ",30)),181,30))),0)+IFERROR(VALUE(TRIM(MID(SUBSTITUTE(SUBSTITUTE(SUBSTITUTE(UPPER($T345)," ",""),"P",""),";",REPT(" ",30)),211,30))),0)))))</f>
        <v/>
      </c>
      <c r="W345" s="24" t="n"/>
      <c r="X345" s="14" t="n"/>
    </row>
    <row r="346">
      <c r="A346" s="8">
        <f>IF($C346="","",69)</f>
        <v/>
      </c>
      <c r="B346" s="8">
        <f>IF($C346="","","3ª Sessão")</f>
        <v/>
      </c>
      <c r="C346" s="8">
        <f>IF(Preenchimento!$B$78="","",Preenchimento!$B$78)</f>
        <v/>
      </c>
      <c r="D346" s="8">
        <f>IF($C346="","",IF(Preenchimento!$C$78="","-",Preenchimento!$C$78))</f>
        <v/>
      </c>
      <c r="E346" s="8" t="n"/>
      <c r="F346" s="8" t="n"/>
      <c r="G346" s="24" t="n"/>
      <c r="H346" s="8" t="n"/>
      <c r="I346" s="14" t="n"/>
      <c r="J346" s="25">
        <f>IF($C346="","",IF($E346="Falta","-",MAX(0,MIN(10,8+IFERROR(VALUE(TRIM(MID(SUBSTITUTE(SUBSTITUTE(SUBSTITUTE(UPPER($H346)," ",""),"D",""),";",REPT(" ",30)),1,30))),0)+IFERROR(VALUE(TRIM(MID(SUBSTITUTE(SUBSTITUTE(SUBSTITUTE(UPPER($H346)," ",""),"D",""),";",REPT(" ",30)),31,30))),0)+IFERROR(VALUE(TRIM(MID(SUBSTITUTE(SUBSTITUTE(SUBSTITUTE(UPPER($H346)," ",""),"D",""),";",REPT(" ",30)),61,30))),0)+IFERROR(VALUE(TRIM(MID(SUBSTITUTE(SUBSTITUTE(SUBSTITUTE(UPPER($H346)," ",""),"D",""),";",REPT(" ",30)),91,30))),0)+IFERROR(VALUE(TRIM(MID(SUBSTITUTE(SUBSTITUTE(SUBSTITUTE(UPPER($H346)," ",""),"D",""),";",REPT(" ",30)),121,30))),0)+IFERROR(VALUE(TRIM(MID(SUBSTITUTE(SUBSTITUTE(SUBSTITUTE(UPPER($H346)," ",""),"D",""),";",REPT(" ",30)),151,30))),0)+IFERROR(VALUE(TRIM(MID(SUBSTITUTE(SUBSTITUTE(SUBSTITUTE(UPPER($H346)," ",""),"D",""),";",REPT(" ",30)),181,30))),0)+IFERROR(VALUE(TRIM(MID(SUBSTITUTE(SUBSTITUTE(SUBSTITUTE(UPPER($H346)," ",""),"D",""),";",REPT(" ",30)),211,30))),0)))))</f>
        <v/>
      </c>
      <c r="K346" s="24" t="n"/>
      <c r="L346" s="8" t="n"/>
      <c r="M346" s="14" t="n"/>
      <c r="N346" s="25">
        <f>IF($C346="","",IF($E346="Falta","-",MAX(0,MIN(10,8+IFERROR(VALUE(TRIM(MID(SUBSTITUTE(SUBSTITUTE(SUBSTITUTE(UPPER($L346)," ",""),"F",""),";",REPT(" ",30)),1,30))),0)+IFERROR(VALUE(TRIM(MID(SUBSTITUTE(SUBSTITUTE(SUBSTITUTE(UPPER($L346)," ",""),"F",""),";",REPT(" ",30)),31,30))),0)+IFERROR(VALUE(TRIM(MID(SUBSTITUTE(SUBSTITUTE(SUBSTITUTE(UPPER($L346)," ",""),"F",""),";",REPT(" ",30)),61,30))),0)+IFERROR(VALUE(TRIM(MID(SUBSTITUTE(SUBSTITUTE(SUBSTITUTE(UPPER($L346)," ",""),"F",""),";",REPT(" ",30)),91,30))),0)+IFERROR(VALUE(TRIM(MID(SUBSTITUTE(SUBSTITUTE(SUBSTITUTE(UPPER($L346)," ",""),"F",""),";",REPT(" ",30)),121,30))),0)+IFERROR(VALUE(TRIM(MID(SUBSTITUTE(SUBSTITUTE(SUBSTITUTE(UPPER($L346)," ",""),"F",""),";",REPT(" ",30)),151,30))),0)+IFERROR(VALUE(TRIM(MID(SUBSTITUTE(SUBSTITUTE(SUBSTITUTE(UPPER($L346)," ",""),"F",""),";",REPT(" ",30)),181,30))),0)+IFERROR(VALUE(TRIM(MID(SUBSTITUTE(SUBSTITUTE(SUBSTITUTE(UPPER($L346)," ",""),"F",""),";",REPT(" ",30)),211,30))),0)))))</f>
        <v/>
      </c>
      <c r="O346" s="24" t="n"/>
      <c r="P346" s="8" t="n"/>
      <c r="Q346" s="14" t="n"/>
      <c r="R346" s="25">
        <f>IF($C346="","",IF($E346="Falta","-",MAX(0,MIN(10,5+IFERROR(VALUE(TRIM(MID(SUBSTITUTE(SUBSTITUTE(SUBSTITUTE(UPPER($P346)," ",""),"C",""),";",REPT(" ",30)),1,30))),0)+IFERROR(VALUE(TRIM(MID(SUBSTITUTE(SUBSTITUTE(SUBSTITUTE(UPPER($P346)," ",""),"C",""),";",REPT(" ",30)),31,30))),0)+IFERROR(VALUE(TRIM(MID(SUBSTITUTE(SUBSTITUTE(SUBSTITUTE(UPPER($P346)," ",""),"C",""),";",REPT(" ",30)),61,30))),0)+IFERROR(VALUE(TRIM(MID(SUBSTITUTE(SUBSTITUTE(SUBSTITUTE(UPPER($P346)," ",""),"C",""),";",REPT(" ",30)),91,30))),0)+IFERROR(VALUE(TRIM(MID(SUBSTITUTE(SUBSTITUTE(SUBSTITUTE(UPPER($P346)," ",""),"C",""),";",REPT(" ",30)),121,30))),0)+IFERROR(VALUE(TRIM(MID(SUBSTITUTE(SUBSTITUTE(SUBSTITUTE(UPPER($P346)," ",""),"C",""),";",REPT(" ",30)),151,30))),0)+IFERROR(VALUE(TRIM(MID(SUBSTITUTE(SUBSTITUTE(SUBSTITUTE(UPPER($P346)," ",""),"C",""),";",REPT(" ",30)),181,30))),0)+IFERROR(VALUE(TRIM(MID(SUBSTITUTE(SUBSTITUTE(SUBSTITUTE(UPPER($P346)," ",""),"C",""),";",REPT(" ",30)),211,30))),0)))))</f>
        <v/>
      </c>
      <c r="S346" s="24" t="n"/>
      <c r="T346" s="8" t="n"/>
      <c r="U346" s="14" t="n"/>
      <c r="V346" s="25">
        <f>IF($C346="","",IF($E346="Falta","-",MAX(0,MIN(10,5+IFERROR(VALUE(TRIM(MID(SUBSTITUTE(SUBSTITUTE(SUBSTITUTE(UPPER($T346)," ",""),"P",""),";",REPT(" ",30)),1,30))),0)+IFERROR(VALUE(TRIM(MID(SUBSTITUTE(SUBSTITUTE(SUBSTITUTE(UPPER($T346)," ",""),"P",""),";",REPT(" ",30)),31,30))),0)+IFERROR(VALUE(TRIM(MID(SUBSTITUTE(SUBSTITUTE(SUBSTITUTE(UPPER($T346)," ",""),"P",""),";",REPT(" ",30)),61,30))),0)+IFERROR(VALUE(TRIM(MID(SUBSTITUTE(SUBSTITUTE(SUBSTITUTE(UPPER($T346)," ",""),"P",""),";",REPT(" ",30)),91,30))),0)+IFERROR(VALUE(TRIM(MID(SUBSTITUTE(SUBSTITUTE(SUBSTITUTE(UPPER($T346)," ",""),"P",""),";",REPT(" ",30)),121,30))),0)+IFERROR(VALUE(TRIM(MID(SUBSTITUTE(SUBSTITUTE(SUBSTITUTE(UPPER($T346)," ",""),"P",""),";",REPT(" ",30)),151,30))),0)+IFERROR(VALUE(TRIM(MID(SUBSTITUTE(SUBSTITUTE(SUBSTITUTE(UPPER($T346)," ",""),"P",""),";",REPT(" ",30)),181,30))),0)+IFERROR(VALUE(TRIM(MID(SUBSTITUTE(SUBSTITUTE(SUBSTITUTE(UPPER($T346)," ",""),"P",""),";",REPT(" ",30)),211,30))),0)))))</f>
        <v/>
      </c>
      <c r="W346" s="24" t="n"/>
      <c r="X346" s="14" t="n"/>
    </row>
    <row r="347">
      <c r="A347" s="8">
        <f>IF($C347="","",69)</f>
        <v/>
      </c>
      <c r="B347" s="8">
        <f>IF($C347="","","4ª Sessão")</f>
        <v/>
      </c>
      <c r="C347" s="8">
        <f>IF(Preenchimento!$B$78="","",Preenchimento!$B$78)</f>
        <v/>
      </c>
      <c r="D347" s="8">
        <f>IF($C347="","",IF(Preenchimento!$C$78="","-",Preenchimento!$C$78))</f>
        <v/>
      </c>
      <c r="E347" s="8" t="n"/>
      <c r="F347" s="8" t="n"/>
      <c r="G347" s="24" t="n"/>
      <c r="H347" s="8" t="n"/>
      <c r="I347" s="14" t="n"/>
      <c r="J347" s="25">
        <f>IF($C347="","",IF($E347="Falta","-",MAX(0,MIN(10,8+IFERROR(VALUE(TRIM(MID(SUBSTITUTE(SUBSTITUTE(SUBSTITUTE(UPPER($H347)," ",""),"D",""),";",REPT(" ",30)),1,30))),0)+IFERROR(VALUE(TRIM(MID(SUBSTITUTE(SUBSTITUTE(SUBSTITUTE(UPPER($H347)," ",""),"D",""),";",REPT(" ",30)),31,30))),0)+IFERROR(VALUE(TRIM(MID(SUBSTITUTE(SUBSTITUTE(SUBSTITUTE(UPPER($H347)," ",""),"D",""),";",REPT(" ",30)),61,30))),0)+IFERROR(VALUE(TRIM(MID(SUBSTITUTE(SUBSTITUTE(SUBSTITUTE(UPPER($H347)," ",""),"D",""),";",REPT(" ",30)),91,30))),0)+IFERROR(VALUE(TRIM(MID(SUBSTITUTE(SUBSTITUTE(SUBSTITUTE(UPPER($H347)," ",""),"D",""),";",REPT(" ",30)),121,30))),0)+IFERROR(VALUE(TRIM(MID(SUBSTITUTE(SUBSTITUTE(SUBSTITUTE(UPPER($H347)," ",""),"D",""),";",REPT(" ",30)),151,30))),0)+IFERROR(VALUE(TRIM(MID(SUBSTITUTE(SUBSTITUTE(SUBSTITUTE(UPPER($H347)," ",""),"D",""),";",REPT(" ",30)),181,30))),0)+IFERROR(VALUE(TRIM(MID(SUBSTITUTE(SUBSTITUTE(SUBSTITUTE(UPPER($H347)," ",""),"D",""),";",REPT(" ",30)),211,30))),0)))))</f>
        <v/>
      </c>
      <c r="K347" s="24" t="n"/>
      <c r="L347" s="8" t="n"/>
      <c r="M347" s="14" t="n"/>
      <c r="N347" s="25">
        <f>IF($C347="","",IF($E347="Falta","-",MAX(0,MIN(10,8+IFERROR(VALUE(TRIM(MID(SUBSTITUTE(SUBSTITUTE(SUBSTITUTE(UPPER($L347)," ",""),"F",""),";",REPT(" ",30)),1,30))),0)+IFERROR(VALUE(TRIM(MID(SUBSTITUTE(SUBSTITUTE(SUBSTITUTE(UPPER($L347)," ",""),"F",""),";",REPT(" ",30)),31,30))),0)+IFERROR(VALUE(TRIM(MID(SUBSTITUTE(SUBSTITUTE(SUBSTITUTE(UPPER($L347)," ",""),"F",""),";",REPT(" ",30)),61,30))),0)+IFERROR(VALUE(TRIM(MID(SUBSTITUTE(SUBSTITUTE(SUBSTITUTE(UPPER($L347)," ",""),"F",""),";",REPT(" ",30)),91,30))),0)+IFERROR(VALUE(TRIM(MID(SUBSTITUTE(SUBSTITUTE(SUBSTITUTE(UPPER($L347)," ",""),"F",""),";",REPT(" ",30)),121,30))),0)+IFERROR(VALUE(TRIM(MID(SUBSTITUTE(SUBSTITUTE(SUBSTITUTE(UPPER($L347)," ",""),"F",""),";",REPT(" ",30)),151,30))),0)+IFERROR(VALUE(TRIM(MID(SUBSTITUTE(SUBSTITUTE(SUBSTITUTE(UPPER($L347)," ",""),"F",""),";",REPT(" ",30)),181,30))),0)+IFERROR(VALUE(TRIM(MID(SUBSTITUTE(SUBSTITUTE(SUBSTITUTE(UPPER($L347)," ",""),"F",""),";",REPT(" ",30)),211,30))),0)))))</f>
        <v/>
      </c>
      <c r="O347" s="24" t="n"/>
      <c r="P347" s="8" t="n"/>
      <c r="Q347" s="14" t="n"/>
      <c r="R347" s="25">
        <f>IF($C347="","",IF($E347="Falta","-",MAX(0,MIN(10,5+IFERROR(VALUE(TRIM(MID(SUBSTITUTE(SUBSTITUTE(SUBSTITUTE(UPPER($P347)," ",""),"C",""),";",REPT(" ",30)),1,30))),0)+IFERROR(VALUE(TRIM(MID(SUBSTITUTE(SUBSTITUTE(SUBSTITUTE(UPPER($P347)," ",""),"C",""),";",REPT(" ",30)),31,30))),0)+IFERROR(VALUE(TRIM(MID(SUBSTITUTE(SUBSTITUTE(SUBSTITUTE(UPPER($P347)," ",""),"C",""),";",REPT(" ",30)),61,30))),0)+IFERROR(VALUE(TRIM(MID(SUBSTITUTE(SUBSTITUTE(SUBSTITUTE(UPPER($P347)," ",""),"C",""),";",REPT(" ",30)),91,30))),0)+IFERROR(VALUE(TRIM(MID(SUBSTITUTE(SUBSTITUTE(SUBSTITUTE(UPPER($P347)," ",""),"C",""),";",REPT(" ",30)),121,30))),0)+IFERROR(VALUE(TRIM(MID(SUBSTITUTE(SUBSTITUTE(SUBSTITUTE(UPPER($P347)," ",""),"C",""),";",REPT(" ",30)),151,30))),0)+IFERROR(VALUE(TRIM(MID(SUBSTITUTE(SUBSTITUTE(SUBSTITUTE(UPPER($P347)," ",""),"C",""),";",REPT(" ",30)),181,30))),0)+IFERROR(VALUE(TRIM(MID(SUBSTITUTE(SUBSTITUTE(SUBSTITUTE(UPPER($P347)," ",""),"C",""),";",REPT(" ",30)),211,30))),0)))))</f>
        <v/>
      </c>
      <c r="S347" s="24" t="n"/>
      <c r="T347" s="8" t="n"/>
      <c r="U347" s="14" t="n"/>
      <c r="V347" s="25">
        <f>IF($C347="","",IF($E347="Falta","-",MAX(0,MIN(10,5+IFERROR(VALUE(TRIM(MID(SUBSTITUTE(SUBSTITUTE(SUBSTITUTE(UPPER($T347)," ",""),"P",""),";",REPT(" ",30)),1,30))),0)+IFERROR(VALUE(TRIM(MID(SUBSTITUTE(SUBSTITUTE(SUBSTITUTE(UPPER($T347)," ",""),"P",""),";",REPT(" ",30)),31,30))),0)+IFERROR(VALUE(TRIM(MID(SUBSTITUTE(SUBSTITUTE(SUBSTITUTE(UPPER($T347)," ",""),"P",""),";",REPT(" ",30)),61,30))),0)+IFERROR(VALUE(TRIM(MID(SUBSTITUTE(SUBSTITUTE(SUBSTITUTE(UPPER($T347)," ",""),"P",""),";",REPT(" ",30)),91,30))),0)+IFERROR(VALUE(TRIM(MID(SUBSTITUTE(SUBSTITUTE(SUBSTITUTE(UPPER($T347)," ",""),"P",""),";",REPT(" ",30)),121,30))),0)+IFERROR(VALUE(TRIM(MID(SUBSTITUTE(SUBSTITUTE(SUBSTITUTE(UPPER($T347)," ",""),"P",""),";",REPT(" ",30)),151,30))),0)+IFERROR(VALUE(TRIM(MID(SUBSTITUTE(SUBSTITUTE(SUBSTITUTE(UPPER($T347)," ",""),"P",""),";",REPT(" ",30)),181,30))),0)+IFERROR(VALUE(TRIM(MID(SUBSTITUTE(SUBSTITUTE(SUBSTITUTE(UPPER($T347)," ",""),"P",""),";",REPT(" ",30)),211,30))),0)))))</f>
        <v/>
      </c>
      <c r="W347" s="24" t="n"/>
      <c r="X347" s="14" t="n"/>
    </row>
    <row r="348">
      <c r="A348" s="8">
        <f>IF($C348="","",69)</f>
        <v/>
      </c>
      <c r="B348" s="8">
        <f>IF($C348="","","5ª Sessão")</f>
        <v/>
      </c>
      <c r="C348" s="8">
        <f>IF(Preenchimento!$B$78="","",Preenchimento!$B$78)</f>
        <v/>
      </c>
      <c r="D348" s="8">
        <f>IF($C348="","",IF(Preenchimento!$C$78="","-",Preenchimento!$C$78))</f>
        <v/>
      </c>
      <c r="E348" s="8" t="n"/>
      <c r="F348" s="8" t="n"/>
      <c r="G348" s="24" t="n"/>
      <c r="H348" s="8" t="n"/>
      <c r="I348" s="14" t="n"/>
      <c r="J348" s="25">
        <f>IF($C348="","",IF($E348="Falta","-",MAX(0,MIN(10,8+IFERROR(VALUE(TRIM(MID(SUBSTITUTE(SUBSTITUTE(SUBSTITUTE(UPPER($H348)," ",""),"D",""),";",REPT(" ",30)),1,30))),0)+IFERROR(VALUE(TRIM(MID(SUBSTITUTE(SUBSTITUTE(SUBSTITUTE(UPPER($H348)," ",""),"D",""),";",REPT(" ",30)),31,30))),0)+IFERROR(VALUE(TRIM(MID(SUBSTITUTE(SUBSTITUTE(SUBSTITUTE(UPPER($H348)," ",""),"D",""),";",REPT(" ",30)),61,30))),0)+IFERROR(VALUE(TRIM(MID(SUBSTITUTE(SUBSTITUTE(SUBSTITUTE(UPPER($H348)," ",""),"D",""),";",REPT(" ",30)),91,30))),0)+IFERROR(VALUE(TRIM(MID(SUBSTITUTE(SUBSTITUTE(SUBSTITUTE(UPPER($H348)," ",""),"D",""),";",REPT(" ",30)),121,30))),0)+IFERROR(VALUE(TRIM(MID(SUBSTITUTE(SUBSTITUTE(SUBSTITUTE(UPPER($H348)," ",""),"D",""),";",REPT(" ",30)),151,30))),0)+IFERROR(VALUE(TRIM(MID(SUBSTITUTE(SUBSTITUTE(SUBSTITUTE(UPPER($H348)," ",""),"D",""),";",REPT(" ",30)),181,30))),0)+IFERROR(VALUE(TRIM(MID(SUBSTITUTE(SUBSTITUTE(SUBSTITUTE(UPPER($H348)," ",""),"D",""),";",REPT(" ",30)),211,30))),0)))))</f>
        <v/>
      </c>
      <c r="K348" s="24" t="n"/>
      <c r="L348" s="8" t="n"/>
      <c r="M348" s="14" t="n"/>
      <c r="N348" s="25">
        <f>IF($C348="","",IF($E348="Falta","-",MAX(0,MIN(10,8+IFERROR(VALUE(TRIM(MID(SUBSTITUTE(SUBSTITUTE(SUBSTITUTE(UPPER($L348)," ",""),"F",""),";",REPT(" ",30)),1,30))),0)+IFERROR(VALUE(TRIM(MID(SUBSTITUTE(SUBSTITUTE(SUBSTITUTE(UPPER($L348)," ",""),"F",""),";",REPT(" ",30)),31,30))),0)+IFERROR(VALUE(TRIM(MID(SUBSTITUTE(SUBSTITUTE(SUBSTITUTE(UPPER($L348)," ",""),"F",""),";",REPT(" ",30)),61,30))),0)+IFERROR(VALUE(TRIM(MID(SUBSTITUTE(SUBSTITUTE(SUBSTITUTE(UPPER($L348)," ",""),"F",""),";",REPT(" ",30)),91,30))),0)+IFERROR(VALUE(TRIM(MID(SUBSTITUTE(SUBSTITUTE(SUBSTITUTE(UPPER($L348)," ",""),"F",""),";",REPT(" ",30)),121,30))),0)+IFERROR(VALUE(TRIM(MID(SUBSTITUTE(SUBSTITUTE(SUBSTITUTE(UPPER($L348)," ",""),"F",""),";",REPT(" ",30)),151,30))),0)+IFERROR(VALUE(TRIM(MID(SUBSTITUTE(SUBSTITUTE(SUBSTITUTE(UPPER($L348)," ",""),"F",""),";",REPT(" ",30)),181,30))),0)+IFERROR(VALUE(TRIM(MID(SUBSTITUTE(SUBSTITUTE(SUBSTITUTE(UPPER($L348)," ",""),"F",""),";",REPT(" ",30)),211,30))),0)))))</f>
        <v/>
      </c>
      <c r="O348" s="24" t="n"/>
      <c r="P348" s="8" t="n"/>
      <c r="Q348" s="14" t="n"/>
      <c r="R348" s="25">
        <f>IF($C348="","",IF($E348="Falta","-",MAX(0,MIN(10,5+IFERROR(VALUE(TRIM(MID(SUBSTITUTE(SUBSTITUTE(SUBSTITUTE(UPPER($P348)," ",""),"C",""),";",REPT(" ",30)),1,30))),0)+IFERROR(VALUE(TRIM(MID(SUBSTITUTE(SUBSTITUTE(SUBSTITUTE(UPPER($P348)," ",""),"C",""),";",REPT(" ",30)),31,30))),0)+IFERROR(VALUE(TRIM(MID(SUBSTITUTE(SUBSTITUTE(SUBSTITUTE(UPPER($P348)," ",""),"C",""),";",REPT(" ",30)),61,30))),0)+IFERROR(VALUE(TRIM(MID(SUBSTITUTE(SUBSTITUTE(SUBSTITUTE(UPPER($P348)," ",""),"C",""),";",REPT(" ",30)),91,30))),0)+IFERROR(VALUE(TRIM(MID(SUBSTITUTE(SUBSTITUTE(SUBSTITUTE(UPPER($P348)," ",""),"C",""),";",REPT(" ",30)),121,30))),0)+IFERROR(VALUE(TRIM(MID(SUBSTITUTE(SUBSTITUTE(SUBSTITUTE(UPPER($P348)," ",""),"C",""),";",REPT(" ",30)),151,30))),0)+IFERROR(VALUE(TRIM(MID(SUBSTITUTE(SUBSTITUTE(SUBSTITUTE(UPPER($P348)," ",""),"C",""),";",REPT(" ",30)),181,30))),0)+IFERROR(VALUE(TRIM(MID(SUBSTITUTE(SUBSTITUTE(SUBSTITUTE(UPPER($P348)," ",""),"C",""),";",REPT(" ",30)),211,30))),0)))))</f>
        <v/>
      </c>
      <c r="S348" s="24" t="n"/>
      <c r="T348" s="8" t="n"/>
      <c r="U348" s="14" t="n"/>
      <c r="V348" s="25">
        <f>IF($C348="","",IF($E348="Falta","-",MAX(0,MIN(10,5+IFERROR(VALUE(TRIM(MID(SUBSTITUTE(SUBSTITUTE(SUBSTITUTE(UPPER($T348)," ",""),"P",""),";",REPT(" ",30)),1,30))),0)+IFERROR(VALUE(TRIM(MID(SUBSTITUTE(SUBSTITUTE(SUBSTITUTE(UPPER($T348)," ",""),"P",""),";",REPT(" ",30)),31,30))),0)+IFERROR(VALUE(TRIM(MID(SUBSTITUTE(SUBSTITUTE(SUBSTITUTE(UPPER($T348)," ",""),"P",""),";",REPT(" ",30)),61,30))),0)+IFERROR(VALUE(TRIM(MID(SUBSTITUTE(SUBSTITUTE(SUBSTITUTE(UPPER($T348)," ",""),"P",""),";",REPT(" ",30)),91,30))),0)+IFERROR(VALUE(TRIM(MID(SUBSTITUTE(SUBSTITUTE(SUBSTITUTE(UPPER($T348)," ",""),"P",""),";",REPT(" ",30)),121,30))),0)+IFERROR(VALUE(TRIM(MID(SUBSTITUTE(SUBSTITUTE(SUBSTITUTE(UPPER($T348)," ",""),"P",""),";",REPT(" ",30)),151,30))),0)+IFERROR(VALUE(TRIM(MID(SUBSTITUTE(SUBSTITUTE(SUBSTITUTE(UPPER($T348)," ",""),"P",""),";",REPT(" ",30)),181,30))),0)+IFERROR(VALUE(TRIM(MID(SUBSTITUTE(SUBSTITUTE(SUBSTITUTE(UPPER($T348)," ",""),"P",""),";",REPT(" ",30)),211,30))),0)))))</f>
        <v/>
      </c>
      <c r="W348" s="24" t="n"/>
      <c r="X348" s="14" t="n"/>
    </row>
    <row r="349">
      <c r="A349" s="6">
        <f>IF($C349="","",70)</f>
        <v/>
      </c>
      <c r="B349" s="6">
        <f>IF($C349="","","1ª Sessão")</f>
        <v/>
      </c>
      <c r="C349" s="6">
        <f>IF(Preenchimento!$B$79="","",Preenchimento!$B$79)</f>
        <v/>
      </c>
      <c r="D349" s="6">
        <f>IF($C349="","",IF(Preenchimento!$C$79="","-",Preenchimento!$C$79))</f>
        <v/>
      </c>
      <c r="E349" s="6" t="n"/>
      <c r="F349" s="6" t="n"/>
      <c r="G349" s="26" t="n"/>
      <c r="H349" s="6" t="n"/>
      <c r="I349" s="13" t="n"/>
      <c r="J349" s="27">
        <f>IF($C349="","",IF($E349="Falta","-",MAX(0,MIN(10,8+IFERROR(VALUE(TRIM(MID(SUBSTITUTE(SUBSTITUTE(SUBSTITUTE(UPPER($H349)," ",""),"D",""),";",REPT(" ",30)),1,30))),0)+IFERROR(VALUE(TRIM(MID(SUBSTITUTE(SUBSTITUTE(SUBSTITUTE(UPPER($H349)," ",""),"D",""),";",REPT(" ",30)),31,30))),0)+IFERROR(VALUE(TRIM(MID(SUBSTITUTE(SUBSTITUTE(SUBSTITUTE(UPPER($H349)," ",""),"D",""),";",REPT(" ",30)),61,30))),0)+IFERROR(VALUE(TRIM(MID(SUBSTITUTE(SUBSTITUTE(SUBSTITUTE(UPPER($H349)," ",""),"D",""),";",REPT(" ",30)),91,30))),0)+IFERROR(VALUE(TRIM(MID(SUBSTITUTE(SUBSTITUTE(SUBSTITUTE(UPPER($H349)," ",""),"D",""),";",REPT(" ",30)),121,30))),0)+IFERROR(VALUE(TRIM(MID(SUBSTITUTE(SUBSTITUTE(SUBSTITUTE(UPPER($H349)," ",""),"D",""),";",REPT(" ",30)),151,30))),0)+IFERROR(VALUE(TRIM(MID(SUBSTITUTE(SUBSTITUTE(SUBSTITUTE(UPPER($H349)," ",""),"D",""),";",REPT(" ",30)),181,30))),0)+IFERROR(VALUE(TRIM(MID(SUBSTITUTE(SUBSTITUTE(SUBSTITUTE(UPPER($H349)," ",""),"D",""),";",REPT(" ",30)),211,30))),0)))))</f>
        <v/>
      </c>
      <c r="K349" s="26" t="n"/>
      <c r="L349" s="6" t="n"/>
      <c r="M349" s="13" t="n"/>
      <c r="N349" s="27">
        <f>IF($C349="","",IF($E349="Falta","-",MAX(0,MIN(10,8+IFERROR(VALUE(TRIM(MID(SUBSTITUTE(SUBSTITUTE(SUBSTITUTE(UPPER($L349)," ",""),"F",""),";",REPT(" ",30)),1,30))),0)+IFERROR(VALUE(TRIM(MID(SUBSTITUTE(SUBSTITUTE(SUBSTITUTE(UPPER($L349)," ",""),"F",""),";",REPT(" ",30)),31,30))),0)+IFERROR(VALUE(TRIM(MID(SUBSTITUTE(SUBSTITUTE(SUBSTITUTE(UPPER($L349)," ",""),"F",""),";",REPT(" ",30)),61,30))),0)+IFERROR(VALUE(TRIM(MID(SUBSTITUTE(SUBSTITUTE(SUBSTITUTE(UPPER($L349)," ",""),"F",""),";",REPT(" ",30)),91,30))),0)+IFERROR(VALUE(TRIM(MID(SUBSTITUTE(SUBSTITUTE(SUBSTITUTE(UPPER($L349)," ",""),"F",""),";",REPT(" ",30)),121,30))),0)+IFERROR(VALUE(TRIM(MID(SUBSTITUTE(SUBSTITUTE(SUBSTITUTE(UPPER($L349)," ",""),"F",""),";",REPT(" ",30)),151,30))),0)+IFERROR(VALUE(TRIM(MID(SUBSTITUTE(SUBSTITUTE(SUBSTITUTE(UPPER($L349)," ",""),"F",""),";",REPT(" ",30)),181,30))),0)+IFERROR(VALUE(TRIM(MID(SUBSTITUTE(SUBSTITUTE(SUBSTITUTE(UPPER($L349)," ",""),"F",""),";",REPT(" ",30)),211,30))),0)))))</f>
        <v/>
      </c>
      <c r="O349" s="26" t="n"/>
      <c r="P349" s="6" t="n"/>
      <c r="Q349" s="13" t="n"/>
      <c r="R349" s="27">
        <f>IF($C349="","",IF($E349="Falta","-",MAX(0,MIN(10,5+IFERROR(VALUE(TRIM(MID(SUBSTITUTE(SUBSTITUTE(SUBSTITUTE(UPPER($P349)," ",""),"C",""),";",REPT(" ",30)),1,30))),0)+IFERROR(VALUE(TRIM(MID(SUBSTITUTE(SUBSTITUTE(SUBSTITUTE(UPPER($P349)," ",""),"C",""),";",REPT(" ",30)),31,30))),0)+IFERROR(VALUE(TRIM(MID(SUBSTITUTE(SUBSTITUTE(SUBSTITUTE(UPPER($P349)," ",""),"C",""),";",REPT(" ",30)),61,30))),0)+IFERROR(VALUE(TRIM(MID(SUBSTITUTE(SUBSTITUTE(SUBSTITUTE(UPPER($P349)," ",""),"C",""),";",REPT(" ",30)),91,30))),0)+IFERROR(VALUE(TRIM(MID(SUBSTITUTE(SUBSTITUTE(SUBSTITUTE(UPPER($P349)," ",""),"C",""),";",REPT(" ",30)),121,30))),0)+IFERROR(VALUE(TRIM(MID(SUBSTITUTE(SUBSTITUTE(SUBSTITUTE(UPPER($P349)," ",""),"C",""),";",REPT(" ",30)),151,30))),0)+IFERROR(VALUE(TRIM(MID(SUBSTITUTE(SUBSTITUTE(SUBSTITUTE(UPPER($P349)," ",""),"C",""),";",REPT(" ",30)),181,30))),0)+IFERROR(VALUE(TRIM(MID(SUBSTITUTE(SUBSTITUTE(SUBSTITUTE(UPPER($P349)," ",""),"C",""),";",REPT(" ",30)),211,30))),0)))))</f>
        <v/>
      </c>
      <c r="S349" s="26" t="n"/>
      <c r="T349" s="6" t="n"/>
      <c r="U349" s="13" t="n"/>
      <c r="V349" s="27">
        <f>IF($C349="","",IF($E349="Falta","-",MAX(0,MIN(10,5+IFERROR(VALUE(TRIM(MID(SUBSTITUTE(SUBSTITUTE(SUBSTITUTE(UPPER($T349)," ",""),"P",""),";",REPT(" ",30)),1,30))),0)+IFERROR(VALUE(TRIM(MID(SUBSTITUTE(SUBSTITUTE(SUBSTITUTE(UPPER($T349)," ",""),"P",""),";",REPT(" ",30)),31,30))),0)+IFERROR(VALUE(TRIM(MID(SUBSTITUTE(SUBSTITUTE(SUBSTITUTE(UPPER($T349)," ",""),"P",""),";",REPT(" ",30)),61,30))),0)+IFERROR(VALUE(TRIM(MID(SUBSTITUTE(SUBSTITUTE(SUBSTITUTE(UPPER($T349)," ",""),"P",""),";",REPT(" ",30)),91,30))),0)+IFERROR(VALUE(TRIM(MID(SUBSTITUTE(SUBSTITUTE(SUBSTITUTE(UPPER($T349)," ",""),"P",""),";",REPT(" ",30)),121,30))),0)+IFERROR(VALUE(TRIM(MID(SUBSTITUTE(SUBSTITUTE(SUBSTITUTE(UPPER($T349)," ",""),"P",""),";",REPT(" ",30)),151,30))),0)+IFERROR(VALUE(TRIM(MID(SUBSTITUTE(SUBSTITUTE(SUBSTITUTE(UPPER($T349)," ",""),"P",""),";",REPT(" ",30)),181,30))),0)+IFERROR(VALUE(TRIM(MID(SUBSTITUTE(SUBSTITUTE(SUBSTITUTE(UPPER($T349)," ",""),"P",""),";",REPT(" ",30)),211,30))),0)))))</f>
        <v/>
      </c>
      <c r="W349" s="26" t="n"/>
      <c r="X349" s="13" t="n"/>
    </row>
    <row r="350">
      <c r="A350" s="6">
        <f>IF($C350="","",70)</f>
        <v/>
      </c>
      <c r="B350" s="6">
        <f>IF($C350="","","2ª Sessão")</f>
        <v/>
      </c>
      <c r="C350" s="6">
        <f>IF(Preenchimento!$B$79="","",Preenchimento!$B$79)</f>
        <v/>
      </c>
      <c r="D350" s="6">
        <f>IF($C350="","",IF(Preenchimento!$C$79="","-",Preenchimento!$C$79))</f>
        <v/>
      </c>
      <c r="E350" s="6" t="n"/>
      <c r="F350" s="6" t="n"/>
      <c r="G350" s="26" t="n"/>
      <c r="H350" s="6" t="n"/>
      <c r="I350" s="13" t="n"/>
      <c r="J350" s="27">
        <f>IF($C350="","",IF($E350="Falta","-",MAX(0,MIN(10,8+IFERROR(VALUE(TRIM(MID(SUBSTITUTE(SUBSTITUTE(SUBSTITUTE(UPPER($H350)," ",""),"D",""),";",REPT(" ",30)),1,30))),0)+IFERROR(VALUE(TRIM(MID(SUBSTITUTE(SUBSTITUTE(SUBSTITUTE(UPPER($H350)," ",""),"D",""),";",REPT(" ",30)),31,30))),0)+IFERROR(VALUE(TRIM(MID(SUBSTITUTE(SUBSTITUTE(SUBSTITUTE(UPPER($H350)," ",""),"D",""),";",REPT(" ",30)),61,30))),0)+IFERROR(VALUE(TRIM(MID(SUBSTITUTE(SUBSTITUTE(SUBSTITUTE(UPPER($H350)," ",""),"D",""),";",REPT(" ",30)),91,30))),0)+IFERROR(VALUE(TRIM(MID(SUBSTITUTE(SUBSTITUTE(SUBSTITUTE(UPPER($H350)," ",""),"D",""),";",REPT(" ",30)),121,30))),0)+IFERROR(VALUE(TRIM(MID(SUBSTITUTE(SUBSTITUTE(SUBSTITUTE(UPPER($H350)," ",""),"D",""),";",REPT(" ",30)),151,30))),0)+IFERROR(VALUE(TRIM(MID(SUBSTITUTE(SUBSTITUTE(SUBSTITUTE(UPPER($H350)," ",""),"D",""),";",REPT(" ",30)),181,30))),0)+IFERROR(VALUE(TRIM(MID(SUBSTITUTE(SUBSTITUTE(SUBSTITUTE(UPPER($H350)," ",""),"D",""),";",REPT(" ",30)),211,30))),0)))))</f>
        <v/>
      </c>
      <c r="K350" s="26" t="n"/>
      <c r="L350" s="6" t="n"/>
      <c r="M350" s="13" t="n"/>
      <c r="N350" s="27">
        <f>IF($C350="","",IF($E350="Falta","-",MAX(0,MIN(10,8+IFERROR(VALUE(TRIM(MID(SUBSTITUTE(SUBSTITUTE(SUBSTITUTE(UPPER($L350)," ",""),"F",""),";",REPT(" ",30)),1,30))),0)+IFERROR(VALUE(TRIM(MID(SUBSTITUTE(SUBSTITUTE(SUBSTITUTE(UPPER($L350)," ",""),"F",""),";",REPT(" ",30)),31,30))),0)+IFERROR(VALUE(TRIM(MID(SUBSTITUTE(SUBSTITUTE(SUBSTITUTE(UPPER($L350)," ",""),"F",""),";",REPT(" ",30)),61,30))),0)+IFERROR(VALUE(TRIM(MID(SUBSTITUTE(SUBSTITUTE(SUBSTITUTE(UPPER($L350)," ",""),"F",""),";",REPT(" ",30)),91,30))),0)+IFERROR(VALUE(TRIM(MID(SUBSTITUTE(SUBSTITUTE(SUBSTITUTE(UPPER($L350)," ",""),"F",""),";",REPT(" ",30)),121,30))),0)+IFERROR(VALUE(TRIM(MID(SUBSTITUTE(SUBSTITUTE(SUBSTITUTE(UPPER($L350)," ",""),"F",""),";",REPT(" ",30)),151,30))),0)+IFERROR(VALUE(TRIM(MID(SUBSTITUTE(SUBSTITUTE(SUBSTITUTE(UPPER($L350)," ",""),"F",""),";",REPT(" ",30)),181,30))),0)+IFERROR(VALUE(TRIM(MID(SUBSTITUTE(SUBSTITUTE(SUBSTITUTE(UPPER($L350)," ",""),"F",""),";",REPT(" ",30)),211,30))),0)))))</f>
        <v/>
      </c>
      <c r="O350" s="26" t="n"/>
      <c r="P350" s="6" t="n"/>
      <c r="Q350" s="13" t="n"/>
      <c r="R350" s="27">
        <f>IF($C350="","",IF($E350="Falta","-",MAX(0,MIN(10,5+IFERROR(VALUE(TRIM(MID(SUBSTITUTE(SUBSTITUTE(SUBSTITUTE(UPPER($P350)," ",""),"C",""),";",REPT(" ",30)),1,30))),0)+IFERROR(VALUE(TRIM(MID(SUBSTITUTE(SUBSTITUTE(SUBSTITUTE(UPPER($P350)," ",""),"C",""),";",REPT(" ",30)),31,30))),0)+IFERROR(VALUE(TRIM(MID(SUBSTITUTE(SUBSTITUTE(SUBSTITUTE(UPPER($P350)," ",""),"C",""),";",REPT(" ",30)),61,30))),0)+IFERROR(VALUE(TRIM(MID(SUBSTITUTE(SUBSTITUTE(SUBSTITUTE(UPPER($P350)," ",""),"C",""),";",REPT(" ",30)),91,30))),0)+IFERROR(VALUE(TRIM(MID(SUBSTITUTE(SUBSTITUTE(SUBSTITUTE(UPPER($P350)," ",""),"C",""),";",REPT(" ",30)),121,30))),0)+IFERROR(VALUE(TRIM(MID(SUBSTITUTE(SUBSTITUTE(SUBSTITUTE(UPPER($P350)," ",""),"C",""),";",REPT(" ",30)),151,30))),0)+IFERROR(VALUE(TRIM(MID(SUBSTITUTE(SUBSTITUTE(SUBSTITUTE(UPPER($P350)," ",""),"C",""),";",REPT(" ",30)),181,30))),0)+IFERROR(VALUE(TRIM(MID(SUBSTITUTE(SUBSTITUTE(SUBSTITUTE(UPPER($P350)," ",""),"C",""),";",REPT(" ",30)),211,30))),0)))))</f>
        <v/>
      </c>
      <c r="S350" s="26" t="n"/>
      <c r="T350" s="6" t="n"/>
      <c r="U350" s="13" t="n"/>
      <c r="V350" s="27">
        <f>IF($C350="","",IF($E350="Falta","-",MAX(0,MIN(10,5+IFERROR(VALUE(TRIM(MID(SUBSTITUTE(SUBSTITUTE(SUBSTITUTE(UPPER($T350)," ",""),"P",""),";",REPT(" ",30)),1,30))),0)+IFERROR(VALUE(TRIM(MID(SUBSTITUTE(SUBSTITUTE(SUBSTITUTE(UPPER($T350)," ",""),"P",""),";",REPT(" ",30)),31,30))),0)+IFERROR(VALUE(TRIM(MID(SUBSTITUTE(SUBSTITUTE(SUBSTITUTE(UPPER($T350)," ",""),"P",""),";",REPT(" ",30)),61,30))),0)+IFERROR(VALUE(TRIM(MID(SUBSTITUTE(SUBSTITUTE(SUBSTITUTE(UPPER($T350)," ",""),"P",""),";",REPT(" ",30)),91,30))),0)+IFERROR(VALUE(TRIM(MID(SUBSTITUTE(SUBSTITUTE(SUBSTITUTE(UPPER($T350)," ",""),"P",""),";",REPT(" ",30)),121,30))),0)+IFERROR(VALUE(TRIM(MID(SUBSTITUTE(SUBSTITUTE(SUBSTITUTE(UPPER($T350)," ",""),"P",""),";",REPT(" ",30)),151,30))),0)+IFERROR(VALUE(TRIM(MID(SUBSTITUTE(SUBSTITUTE(SUBSTITUTE(UPPER($T350)," ",""),"P",""),";",REPT(" ",30)),181,30))),0)+IFERROR(VALUE(TRIM(MID(SUBSTITUTE(SUBSTITUTE(SUBSTITUTE(UPPER($T350)," ",""),"P",""),";",REPT(" ",30)),211,30))),0)))))</f>
        <v/>
      </c>
      <c r="W350" s="26" t="n"/>
      <c r="X350" s="13" t="n"/>
    </row>
    <row r="351">
      <c r="A351" s="6">
        <f>IF($C351="","",70)</f>
        <v/>
      </c>
      <c r="B351" s="6">
        <f>IF($C351="","","3ª Sessão")</f>
        <v/>
      </c>
      <c r="C351" s="6">
        <f>IF(Preenchimento!$B$79="","",Preenchimento!$B$79)</f>
        <v/>
      </c>
      <c r="D351" s="6">
        <f>IF($C351="","",IF(Preenchimento!$C$79="","-",Preenchimento!$C$79))</f>
        <v/>
      </c>
      <c r="E351" s="6" t="n"/>
      <c r="F351" s="6" t="n"/>
      <c r="G351" s="26" t="n"/>
      <c r="H351" s="6" t="n"/>
      <c r="I351" s="13" t="n"/>
      <c r="J351" s="27">
        <f>IF($C351="","",IF($E351="Falta","-",MAX(0,MIN(10,8+IFERROR(VALUE(TRIM(MID(SUBSTITUTE(SUBSTITUTE(SUBSTITUTE(UPPER($H351)," ",""),"D",""),";",REPT(" ",30)),1,30))),0)+IFERROR(VALUE(TRIM(MID(SUBSTITUTE(SUBSTITUTE(SUBSTITUTE(UPPER($H351)," ",""),"D",""),";",REPT(" ",30)),31,30))),0)+IFERROR(VALUE(TRIM(MID(SUBSTITUTE(SUBSTITUTE(SUBSTITUTE(UPPER($H351)," ",""),"D",""),";",REPT(" ",30)),61,30))),0)+IFERROR(VALUE(TRIM(MID(SUBSTITUTE(SUBSTITUTE(SUBSTITUTE(UPPER($H351)," ",""),"D",""),";",REPT(" ",30)),91,30))),0)+IFERROR(VALUE(TRIM(MID(SUBSTITUTE(SUBSTITUTE(SUBSTITUTE(UPPER($H351)," ",""),"D",""),";",REPT(" ",30)),121,30))),0)+IFERROR(VALUE(TRIM(MID(SUBSTITUTE(SUBSTITUTE(SUBSTITUTE(UPPER($H351)," ",""),"D",""),";",REPT(" ",30)),151,30))),0)+IFERROR(VALUE(TRIM(MID(SUBSTITUTE(SUBSTITUTE(SUBSTITUTE(UPPER($H351)," ",""),"D",""),";",REPT(" ",30)),181,30))),0)+IFERROR(VALUE(TRIM(MID(SUBSTITUTE(SUBSTITUTE(SUBSTITUTE(UPPER($H351)," ",""),"D",""),";",REPT(" ",30)),211,30))),0)))))</f>
        <v/>
      </c>
      <c r="K351" s="26" t="n"/>
      <c r="L351" s="6" t="n"/>
      <c r="M351" s="13" t="n"/>
      <c r="N351" s="27">
        <f>IF($C351="","",IF($E351="Falta","-",MAX(0,MIN(10,8+IFERROR(VALUE(TRIM(MID(SUBSTITUTE(SUBSTITUTE(SUBSTITUTE(UPPER($L351)," ",""),"F",""),";",REPT(" ",30)),1,30))),0)+IFERROR(VALUE(TRIM(MID(SUBSTITUTE(SUBSTITUTE(SUBSTITUTE(UPPER($L351)," ",""),"F",""),";",REPT(" ",30)),31,30))),0)+IFERROR(VALUE(TRIM(MID(SUBSTITUTE(SUBSTITUTE(SUBSTITUTE(UPPER($L351)," ",""),"F",""),";",REPT(" ",30)),61,30))),0)+IFERROR(VALUE(TRIM(MID(SUBSTITUTE(SUBSTITUTE(SUBSTITUTE(UPPER($L351)," ",""),"F",""),";",REPT(" ",30)),91,30))),0)+IFERROR(VALUE(TRIM(MID(SUBSTITUTE(SUBSTITUTE(SUBSTITUTE(UPPER($L351)," ",""),"F",""),";",REPT(" ",30)),121,30))),0)+IFERROR(VALUE(TRIM(MID(SUBSTITUTE(SUBSTITUTE(SUBSTITUTE(UPPER($L351)," ",""),"F",""),";",REPT(" ",30)),151,30))),0)+IFERROR(VALUE(TRIM(MID(SUBSTITUTE(SUBSTITUTE(SUBSTITUTE(UPPER($L351)," ",""),"F",""),";",REPT(" ",30)),181,30))),0)+IFERROR(VALUE(TRIM(MID(SUBSTITUTE(SUBSTITUTE(SUBSTITUTE(UPPER($L351)," ",""),"F",""),";",REPT(" ",30)),211,30))),0)))))</f>
        <v/>
      </c>
      <c r="O351" s="26" t="n"/>
      <c r="P351" s="6" t="n"/>
      <c r="Q351" s="13" t="n"/>
      <c r="R351" s="27">
        <f>IF($C351="","",IF($E351="Falta","-",MAX(0,MIN(10,5+IFERROR(VALUE(TRIM(MID(SUBSTITUTE(SUBSTITUTE(SUBSTITUTE(UPPER($P351)," ",""),"C",""),";",REPT(" ",30)),1,30))),0)+IFERROR(VALUE(TRIM(MID(SUBSTITUTE(SUBSTITUTE(SUBSTITUTE(UPPER($P351)," ",""),"C",""),";",REPT(" ",30)),31,30))),0)+IFERROR(VALUE(TRIM(MID(SUBSTITUTE(SUBSTITUTE(SUBSTITUTE(UPPER($P351)," ",""),"C",""),";",REPT(" ",30)),61,30))),0)+IFERROR(VALUE(TRIM(MID(SUBSTITUTE(SUBSTITUTE(SUBSTITUTE(UPPER($P351)," ",""),"C",""),";",REPT(" ",30)),91,30))),0)+IFERROR(VALUE(TRIM(MID(SUBSTITUTE(SUBSTITUTE(SUBSTITUTE(UPPER($P351)," ",""),"C",""),";",REPT(" ",30)),121,30))),0)+IFERROR(VALUE(TRIM(MID(SUBSTITUTE(SUBSTITUTE(SUBSTITUTE(UPPER($P351)," ",""),"C",""),";",REPT(" ",30)),151,30))),0)+IFERROR(VALUE(TRIM(MID(SUBSTITUTE(SUBSTITUTE(SUBSTITUTE(UPPER($P351)," ",""),"C",""),";",REPT(" ",30)),181,30))),0)+IFERROR(VALUE(TRIM(MID(SUBSTITUTE(SUBSTITUTE(SUBSTITUTE(UPPER($P351)," ",""),"C",""),";",REPT(" ",30)),211,30))),0)))))</f>
        <v/>
      </c>
      <c r="S351" s="26" t="n"/>
      <c r="T351" s="6" t="n"/>
      <c r="U351" s="13" t="n"/>
      <c r="V351" s="27">
        <f>IF($C351="","",IF($E351="Falta","-",MAX(0,MIN(10,5+IFERROR(VALUE(TRIM(MID(SUBSTITUTE(SUBSTITUTE(SUBSTITUTE(UPPER($T351)," ",""),"P",""),";",REPT(" ",30)),1,30))),0)+IFERROR(VALUE(TRIM(MID(SUBSTITUTE(SUBSTITUTE(SUBSTITUTE(UPPER($T351)," ",""),"P",""),";",REPT(" ",30)),31,30))),0)+IFERROR(VALUE(TRIM(MID(SUBSTITUTE(SUBSTITUTE(SUBSTITUTE(UPPER($T351)," ",""),"P",""),";",REPT(" ",30)),61,30))),0)+IFERROR(VALUE(TRIM(MID(SUBSTITUTE(SUBSTITUTE(SUBSTITUTE(UPPER($T351)," ",""),"P",""),";",REPT(" ",30)),91,30))),0)+IFERROR(VALUE(TRIM(MID(SUBSTITUTE(SUBSTITUTE(SUBSTITUTE(UPPER($T351)," ",""),"P",""),";",REPT(" ",30)),121,30))),0)+IFERROR(VALUE(TRIM(MID(SUBSTITUTE(SUBSTITUTE(SUBSTITUTE(UPPER($T351)," ",""),"P",""),";",REPT(" ",30)),151,30))),0)+IFERROR(VALUE(TRIM(MID(SUBSTITUTE(SUBSTITUTE(SUBSTITUTE(UPPER($T351)," ",""),"P",""),";",REPT(" ",30)),181,30))),0)+IFERROR(VALUE(TRIM(MID(SUBSTITUTE(SUBSTITUTE(SUBSTITUTE(UPPER($T351)," ",""),"P",""),";",REPT(" ",30)),211,30))),0)))))</f>
        <v/>
      </c>
      <c r="W351" s="26" t="n"/>
      <c r="X351" s="13" t="n"/>
    </row>
    <row r="352">
      <c r="A352" s="6">
        <f>IF($C352="","",70)</f>
        <v/>
      </c>
      <c r="B352" s="6">
        <f>IF($C352="","","4ª Sessão")</f>
        <v/>
      </c>
      <c r="C352" s="6">
        <f>IF(Preenchimento!$B$79="","",Preenchimento!$B$79)</f>
        <v/>
      </c>
      <c r="D352" s="6">
        <f>IF($C352="","",IF(Preenchimento!$C$79="","-",Preenchimento!$C$79))</f>
        <v/>
      </c>
      <c r="E352" s="6" t="n"/>
      <c r="F352" s="6" t="n"/>
      <c r="G352" s="26" t="n"/>
      <c r="H352" s="6" t="n"/>
      <c r="I352" s="13" t="n"/>
      <c r="J352" s="27">
        <f>IF($C352="","",IF($E352="Falta","-",MAX(0,MIN(10,8+IFERROR(VALUE(TRIM(MID(SUBSTITUTE(SUBSTITUTE(SUBSTITUTE(UPPER($H352)," ",""),"D",""),";",REPT(" ",30)),1,30))),0)+IFERROR(VALUE(TRIM(MID(SUBSTITUTE(SUBSTITUTE(SUBSTITUTE(UPPER($H352)," ",""),"D",""),";",REPT(" ",30)),31,30))),0)+IFERROR(VALUE(TRIM(MID(SUBSTITUTE(SUBSTITUTE(SUBSTITUTE(UPPER($H352)," ",""),"D",""),";",REPT(" ",30)),61,30))),0)+IFERROR(VALUE(TRIM(MID(SUBSTITUTE(SUBSTITUTE(SUBSTITUTE(UPPER($H352)," ",""),"D",""),";",REPT(" ",30)),91,30))),0)+IFERROR(VALUE(TRIM(MID(SUBSTITUTE(SUBSTITUTE(SUBSTITUTE(UPPER($H352)," ",""),"D",""),";",REPT(" ",30)),121,30))),0)+IFERROR(VALUE(TRIM(MID(SUBSTITUTE(SUBSTITUTE(SUBSTITUTE(UPPER($H352)," ",""),"D",""),";",REPT(" ",30)),151,30))),0)+IFERROR(VALUE(TRIM(MID(SUBSTITUTE(SUBSTITUTE(SUBSTITUTE(UPPER($H352)," ",""),"D",""),";",REPT(" ",30)),181,30))),0)+IFERROR(VALUE(TRIM(MID(SUBSTITUTE(SUBSTITUTE(SUBSTITUTE(UPPER($H352)," ",""),"D",""),";",REPT(" ",30)),211,30))),0)))))</f>
        <v/>
      </c>
      <c r="K352" s="26" t="n"/>
      <c r="L352" s="6" t="n"/>
      <c r="M352" s="13" t="n"/>
      <c r="N352" s="27">
        <f>IF($C352="","",IF($E352="Falta","-",MAX(0,MIN(10,8+IFERROR(VALUE(TRIM(MID(SUBSTITUTE(SUBSTITUTE(SUBSTITUTE(UPPER($L352)," ",""),"F",""),";",REPT(" ",30)),1,30))),0)+IFERROR(VALUE(TRIM(MID(SUBSTITUTE(SUBSTITUTE(SUBSTITUTE(UPPER($L352)," ",""),"F",""),";",REPT(" ",30)),31,30))),0)+IFERROR(VALUE(TRIM(MID(SUBSTITUTE(SUBSTITUTE(SUBSTITUTE(UPPER($L352)," ",""),"F",""),";",REPT(" ",30)),61,30))),0)+IFERROR(VALUE(TRIM(MID(SUBSTITUTE(SUBSTITUTE(SUBSTITUTE(UPPER($L352)," ",""),"F",""),";",REPT(" ",30)),91,30))),0)+IFERROR(VALUE(TRIM(MID(SUBSTITUTE(SUBSTITUTE(SUBSTITUTE(UPPER($L352)," ",""),"F",""),";",REPT(" ",30)),121,30))),0)+IFERROR(VALUE(TRIM(MID(SUBSTITUTE(SUBSTITUTE(SUBSTITUTE(UPPER($L352)," ",""),"F",""),";",REPT(" ",30)),151,30))),0)+IFERROR(VALUE(TRIM(MID(SUBSTITUTE(SUBSTITUTE(SUBSTITUTE(UPPER($L352)," ",""),"F",""),";",REPT(" ",30)),181,30))),0)+IFERROR(VALUE(TRIM(MID(SUBSTITUTE(SUBSTITUTE(SUBSTITUTE(UPPER($L352)," ",""),"F",""),";",REPT(" ",30)),211,30))),0)))))</f>
        <v/>
      </c>
      <c r="O352" s="26" t="n"/>
      <c r="P352" s="6" t="n"/>
      <c r="Q352" s="13" t="n"/>
      <c r="R352" s="27">
        <f>IF($C352="","",IF($E352="Falta","-",MAX(0,MIN(10,5+IFERROR(VALUE(TRIM(MID(SUBSTITUTE(SUBSTITUTE(SUBSTITUTE(UPPER($P352)," ",""),"C",""),";",REPT(" ",30)),1,30))),0)+IFERROR(VALUE(TRIM(MID(SUBSTITUTE(SUBSTITUTE(SUBSTITUTE(UPPER($P352)," ",""),"C",""),";",REPT(" ",30)),31,30))),0)+IFERROR(VALUE(TRIM(MID(SUBSTITUTE(SUBSTITUTE(SUBSTITUTE(UPPER($P352)," ",""),"C",""),";",REPT(" ",30)),61,30))),0)+IFERROR(VALUE(TRIM(MID(SUBSTITUTE(SUBSTITUTE(SUBSTITUTE(UPPER($P352)," ",""),"C",""),";",REPT(" ",30)),91,30))),0)+IFERROR(VALUE(TRIM(MID(SUBSTITUTE(SUBSTITUTE(SUBSTITUTE(UPPER($P352)," ",""),"C",""),";",REPT(" ",30)),121,30))),0)+IFERROR(VALUE(TRIM(MID(SUBSTITUTE(SUBSTITUTE(SUBSTITUTE(UPPER($P352)," ",""),"C",""),";",REPT(" ",30)),151,30))),0)+IFERROR(VALUE(TRIM(MID(SUBSTITUTE(SUBSTITUTE(SUBSTITUTE(UPPER($P352)," ",""),"C",""),";",REPT(" ",30)),181,30))),0)+IFERROR(VALUE(TRIM(MID(SUBSTITUTE(SUBSTITUTE(SUBSTITUTE(UPPER($P352)," ",""),"C",""),";",REPT(" ",30)),211,30))),0)))))</f>
        <v/>
      </c>
      <c r="S352" s="26" t="n"/>
      <c r="T352" s="6" t="n"/>
      <c r="U352" s="13" t="n"/>
      <c r="V352" s="27">
        <f>IF($C352="","",IF($E352="Falta","-",MAX(0,MIN(10,5+IFERROR(VALUE(TRIM(MID(SUBSTITUTE(SUBSTITUTE(SUBSTITUTE(UPPER($T352)," ",""),"P",""),";",REPT(" ",30)),1,30))),0)+IFERROR(VALUE(TRIM(MID(SUBSTITUTE(SUBSTITUTE(SUBSTITUTE(UPPER($T352)," ",""),"P",""),";",REPT(" ",30)),31,30))),0)+IFERROR(VALUE(TRIM(MID(SUBSTITUTE(SUBSTITUTE(SUBSTITUTE(UPPER($T352)," ",""),"P",""),";",REPT(" ",30)),61,30))),0)+IFERROR(VALUE(TRIM(MID(SUBSTITUTE(SUBSTITUTE(SUBSTITUTE(UPPER($T352)," ",""),"P",""),";",REPT(" ",30)),91,30))),0)+IFERROR(VALUE(TRIM(MID(SUBSTITUTE(SUBSTITUTE(SUBSTITUTE(UPPER($T352)," ",""),"P",""),";",REPT(" ",30)),121,30))),0)+IFERROR(VALUE(TRIM(MID(SUBSTITUTE(SUBSTITUTE(SUBSTITUTE(UPPER($T352)," ",""),"P",""),";",REPT(" ",30)),151,30))),0)+IFERROR(VALUE(TRIM(MID(SUBSTITUTE(SUBSTITUTE(SUBSTITUTE(UPPER($T352)," ",""),"P",""),";",REPT(" ",30)),181,30))),0)+IFERROR(VALUE(TRIM(MID(SUBSTITUTE(SUBSTITUTE(SUBSTITUTE(UPPER($T352)," ",""),"P",""),";",REPT(" ",30)),211,30))),0)))))</f>
        <v/>
      </c>
      <c r="W352" s="26" t="n"/>
      <c r="X352" s="13" t="n"/>
    </row>
    <row r="353">
      <c r="A353" s="6">
        <f>IF($C353="","",70)</f>
        <v/>
      </c>
      <c r="B353" s="6">
        <f>IF($C353="","","5ª Sessão")</f>
        <v/>
      </c>
      <c r="C353" s="6">
        <f>IF(Preenchimento!$B$79="","",Preenchimento!$B$79)</f>
        <v/>
      </c>
      <c r="D353" s="6">
        <f>IF($C353="","",IF(Preenchimento!$C$79="","-",Preenchimento!$C$79))</f>
        <v/>
      </c>
      <c r="E353" s="6" t="n"/>
      <c r="F353" s="6" t="n"/>
      <c r="G353" s="26" t="n"/>
      <c r="H353" s="6" t="n"/>
      <c r="I353" s="13" t="n"/>
      <c r="J353" s="27">
        <f>IF($C353="","",IF($E353="Falta","-",MAX(0,MIN(10,8+IFERROR(VALUE(TRIM(MID(SUBSTITUTE(SUBSTITUTE(SUBSTITUTE(UPPER($H353)," ",""),"D",""),";",REPT(" ",30)),1,30))),0)+IFERROR(VALUE(TRIM(MID(SUBSTITUTE(SUBSTITUTE(SUBSTITUTE(UPPER($H353)," ",""),"D",""),";",REPT(" ",30)),31,30))),0)+IFERROR(VALUE(TRIM(MID(SUBSTITUTE(SUBSTITUTE(SUBSTITUTE(UPPER($H353)," ",""),"D",""),";",REPT(" ",30)),61,30))),0)+IFERROR(VALUE(TRIM(MID(SUBSTITUTE(SUBSTITUTE(SUBSTITUTE(UPPER($H353)," ",""),"D",""),";",REPT(" ",30)),91,30))),0)+IFERROR(VALUE(TRIM(MID(SUBSTITUTE(SUBSTITUTE(SUBSTITUTE(UPPER($H353)," ",""),"D",""),";",REPT(" ",30)),121,30))),0)+IFERROR(VALUE(TRIM(MID(SUBSTITUTE(SUBSTITUTE(SUBSTITUTE(UPPER($H353)," ",""),"D",""),";",REPT(" ",30)),151,30))),0)+IFERROR(VALUE(TRIM(MID(SUBSTITUTE(SUBSTITUTE(SUBSTITUTE(UPPER($H353)," ",""),"D",""),";",REPT(" ",30)),181,30))),0)+IFERROR(VALUE(TRIM(MID(SUBSTITUTE(SUBSTITUTE(SUBSTITUTE(UPPER($H353)," ",""),"D",""),";",REPT(" ",30)),211,30))),0)))))</f>
        <v/>
      </c>
      <c r="K353" s="26" t="n"/>
      <c r="L353" s="6" t="n"/>
      <c r="M353" s="13" t="n"/>
      <c r="N353" s="27">
        <f>IF($C353="","",IF($E353="Falta","-",MAX(0,MIN(10,8+IFERROR(VALUE(TRIM(MID(SUBSTITUTE(SUBSTITUTE(SUBSTITUTE(UPPER($L353)," ",""),"F",""),";",REPT(" ",30)),1,30))),0)+IFERROR(VALUE(TRIM(MID(SUBSTITUTE(SUBSTITUTE(SUBSTITUTE(UPPER($L353)," ",""),"F",""),";",REPT(" ",30)),31,30))),0)+IFERROR(VALUE(TRIM(MID(SUBSTITUTE(SUBSTITUTE(SUBSTITUTE(UPPER($L353)," ",""),"F",""),";",REPT(" ",30)),61,30))),0)+IFERROR(VALUE(TRIM(MID(SUBSTITUTE(SUBSTITUTE(SUBSTITUTE(UPPER($L353)," ",""),"F",""),";",REPT(" ",30)),91,30))),0)+IFERROR(VALUE(TRIM(MID(SUBSTITUTE(SUBSTITUTE(SUBSTITUTE(UPPER($L353)," ",""),"F",""),";",REPT(" ",30)),121,30))),0)+IFERROR(VALUE(TRIM(MID(SUBSTITUTE(SUBSTITUTE(SUBSTITUTE(UPPER($L353)," ",""),"F",""),";",REPT(" ",30)),151,30))),0)+IFERROR(VALUE(TRIM(MID(SUBSTITUTE(SUBSTITUTE(SUBSTITUTE(UPPER($L353)," ",""),"F",""),";",REPT(" ",30)),181,30))),0)+IFERROR(VALUE(TRIM(MID(SUBSTITUTE(SUBSTITUTE(SUBSTITUTE(UPPER($L353)," ",""),"F",""),";",REPT(" ",30)),211,30))),0)))))</f>
        <v/>
      </c>
      <c r="O353" s="26" t="n"/>
      <c r="P353" s="6" t="n"/>
      <c r="Q353" s="13" t="n"/>
      <c r="R353" s="27">
        <f>IF($C353="","",IF($E353="Falta","-",MAX(0,MIN(10,5+IFERROR(VALUE(TRIM(MID(SUBSTITUTE(SUBSTITUTE(SUBSTITUTE(UPPER($P353)," ",""),"C",""),";",REPT(" ",30)),1,30))),0)+IFERROR(VALUE(TRIM(MID(SUBSTITUTE(SUBSTITUTE(SUBSTITUTE(UPPER($P353)," ",""),"C",""),";",REPT(" ",30)),31,30))),0)+IFERROR(VALUE(TRIM(MID(SUBSTITUTE(SUBSTITUTE(SUBSTITUTE(UPPER($P353)," ",""),"C",""),";",REPT(" ",30)),61,30))),0)+IFERROR(VALUE(TRIM(MID(SUBSTITUTE(SUBSTITUTE(SUBSTITUTE(UPPER($P353)," ",""),"C",""),";",REPT(" ",30)),91,30))),0)+IFERROR(VALUE(TRIM(MID(SUBSTITUTE(SUBSTITUTE(SUBSTITUTE(UPPER($P353)," ",""),"C",""),";",REPT(" ",30)),121,30))),0)+IFERROR(VALUE(TRIM(MID(SUBSTITUTE(SUBSTITUTE(SUBSTITUTE(UPPER($P353)," ",""),"C",""),";",REPT(" ",30)),151,30))),0)+IFERROR(VALUE(TRIM(MID(SUBSTITUTE(SUBSTITUTE(SUBSTITUTE(UPPER($P353)," ",""),"C",""),";",REPT(" ",30)),181,30))),0)+IFERROR(VALUE(TRIM(MID(SUBSTITUTE(SUBSTITUTE(SUBSTITUTE(UPPER($P353)," ",""),"C",""),";",REPT(" ",30)),211,30))),0)))))</f>
        <v/>
      </c>
      <c r="S353" s="26" t="n"/>
      <c r="T353" s="6" t="n"/>
      <c r="U353" s="13" t="n"/>
      <c r="V353" s="27">
        <f>IF($C353="","",IF($E353="Falta","-",MAX(0,MIN(10,5+IFERROR(VALUE(TRIM(MID(SUBSTITUTE(SUBSTITUTE(SUBSTITUTE(UPPER($T353)," ",""),"P",""),";",REPT(" ",30)),1,30))),0)+IFERROR(VALUE(TRIM(MID(SUBSTITUTE(SUBSTITUTE(SUBSTITUTE(UPPER($T353)," ",""),"P",""),";",REPT(" ",30)),31,30))),0)+IFERROR(VALUE(TRIM(MID(SUBSTITUTE(SUBSTITUTE(SUBSTITUTE(UPPER($T353)," ",""),"P",""),";",REPT(" ",30)),61,30))),0)+IFERROR(VALUE(TRIM(MID(SUBSTITUTE(SUBSTITUTE(SUBSTITUTE(UPPER($T353)," ",""),"P",""),";",REPT(" ",30)),91,30))),0)+IFERROR(VALUE(TRIM(MID(SUBSTITUTE(SUBSTITUTE(SUBSTITUTE(UPPER($T353)," ",""),"P",""),";",REPT(" ",30)),121,30))),0)+IFERROR(VALUE(TRIM(MID(SUBSTITUTE(SUBSTITUTE(SUBSTITUTE(UPPER($T353)," ",""),"P",""),";",REPT(" ",30)),151,30))),0)+IFERROR(VALUE(TRIM(MID(SUBSTITUTE(SUBSTITUTE(SUBSTITUTE(UPPER($T353)," ",""),"P",""),";",REPT(" ",30)),181,30))),0)+IFERROR(VALUE(TRIM(MID(SUBSTITUTE(SUBSTITUTE(SUBSTITUTE(UPPER($T353)," ",""),"P",""),";",REPT(" ",30)),211,30))),0)))))</f>
        <v/>
      </c>
      <c r="W353" s="26" t="n"/>
      <c r="X353" s="13" t="n"/>
    </row>
    <row r="354">
      <c r="A354" s="8">
        <f>IF($C354="","",71)</f>
        <v/>
      </c>
      <c r="B354" s="8">
        <f>IF($C354="","","1ª Sessão")</f>
        <v/>
      </c>
      <c r="C354" s="8">
        <f>IF(Preenchimento!$B$80="","",Preenchimento!$B$80)</f>
        <v/>
      </c>
      <c r="D354" s="8">
        <f>IF($C354="","",IF(Preenchimento!$C$80="","-",Preenchimento!$C$80))</f>
        <v/>
      </c>
      <c r="E354" s="8" t="n"/>
      <c r="F354" s="8" t="n"/>
      <c r="G354" s="24" t="n"/>
      <c r="H354" s="8" t="n"/>
      <c r="I354" s="14" t="n"/>
      <c r="J354" s="25">
        <f>IF($C354="","",IF($E354="Falta","-",MAX(0,MIN(10,8+IFERROR(VALUE(TRIM(MID(SUBSTITUTE(SUBSTITUTE(SUBSTITUTE(UPPER($H354)," ",""),"D",""),";",REPT(" ",30)),1,30))),0)+IFERROR(VALUE(TRIM(MID(SUBSTITUTE(SUBSTITUTE(SUBSTITUTE(UPPER($H354)," ",""),"D",""),";",REPT(" ",30)),31,30))),0)+IFERROR(VALUE(TRIM(MID(SUBSTITUTE(SUBSTITUTE(SUBSTITUTE(UPPER($H354)," ",""),"D",""),";",REPT(" ",30)),61,30))),0)+IFERROR(VALUE(TRIM(MID(SUBSTITUTE(SUBSTITUTE(SUBSTITUTE(UPPER($H354)," ",""),"D",""),";",REPT(" ",30)),91,30))),0)+IFERROR(VALUE(TRIM(MID(SUBSTITUTE(SUBSTITUTE(SUBSTITUTE(UPPER($H354)," ",""),"D",""),";",REPT(" ",30)),121,30))),0)+IFERROR(VALUE(TRIM(MID(SUBSTITUTE(SUBSTITUTE(SUBSTITUTE(UPPER($H354)," ",""),"D",""),";",REPT(" ",30)),151,30))),0)+IFERROR(VALUE(TRIM(MID(SUBSTITUTE(SUBSTITUTE(SUBSTITUTE(UPPER($H354)," ",""),"D",""),";",REPT(" ",30)),181,30))),0)+IFERROR(VALUE(TRIM(MID(SUBSTITUTE(SUBSTITUTE(SUBSTITUTE(UPPER($H354)," ",""),"D",""),";",REPT(" ",30)),211,30))),0)))))</f>
        <v/>
      </c>
      <c r="K354" s="24" t="n"/>
      <c r="L354" s="8" t="n"/>
      <c r="M354" s="14" t="n"/>
      <c r="N354" s="25">
        <f>IF($C354="","",IF($E354="Falta","-",MAX(0,MIN(10,8+IFERROR(VALUE(TRIM(MID(SUBSTITUTE(SUBSTITUTE(SUBSTITUTE(UPPER($L354)," ",""),"F",""),";",REPT(" ",30)),1,30))),0)+IFERROR(VALUE(TRIM(MID(SUBSTITUTE(SUBSTITUTE(SUBSTITUTE(UPPER($L354)," ",""),"F",""),";",REPT(" ",30)),31,30))),0)+IFERROR(VALUE(TRIM(MID(SUBSTITUTE(SUBSTITUTE(SUBSTITUTE(UPPER($L354)," ",""),"F",""),";",REPT(" ",30)),61,30))),0)+IFERROR(VALUE(TRIM(MID(SUBSTITUTE(SUBSTITUTE(SUBSTITUTE(UPPER($L354)," ",""),"F",""),";",REPT(" ",30)),91,30))),0)+IFERROR(VALUE(TRIM(MID(SUBSTITUTE(SUBSTITUTE(SUBSTITUTE(UPPER($L354)," ",""),"F",""),";",REPT(" ",30)),121,30))),0)+IFERROR(VALUE(TRIM(MID(SUBSTITUTE(SUBSTITUTE(SUBSTITUTE(UPPER($L354)," ",""),"F",""),";",REPT(" ",30)),151,30))),0)+IFERROR(VALUE(TRIM(MID(SUBSTITUTE(SUBSTITUTE(SUBSTITUTE(UPPER($L354)," ",""),"F",""),";",REPT(" ",30)),181,30))),0)+IFERROR(VALUE(TRIM(MID(SUBSTITUTE(SUBSTITUTE(SUBSTITUTE(UPPER($L354)," ",""),"F",""),";",REPT(" ",30)),211,30))),0)))))</f>
        <v/>
      </c>
      <c r="O354" s="24" t="n"/>
      <c r="P354" s="8" t="n"/>
      <c r="Q354" s="14" t="n"/>
      <c r="R354" s="25">
        <f>IF($C354="","",IF($E354="Falta","-",MAX(0,MIN(10,5+IFERROR(VALUE(TRIM(MID(SUBSTITUTE(SUBSTITUTE(SUBSTITUTE(UPPER($P354)," ",""),"C",""),";",REPT(" ",30)),1,30))),0)+IFERROR(VALUE(TRIM(MID(SUBSTITUTE(SUBSTITUTE(SUBSTITUTE(UPPER($P354)," ",""),"C",""),";",REPT(" ",30)),31,30))),0)+IFERROR(VALUE(TRIM(MID(SUBSTITUTE(SUBSTITUTE(SUBSTITUTE(UPPER($P354)," ",""),"C",""),";",REPT(" ",30)),61,30))),0)+IFERROR(VALUE(TRIM(MID(SUBSTITUTE(SUBSTITUTE(SUBSTITUTE(UPPER($P354)," ",""),"C",""),";",REPT(" ",30)),91,30))),0)+IFERROR(VALUE(TRIM(MID(SUBSTITUTE(SUBSTITUTE(SUBSTITUTE(UPPER($P354)," ",""),"C",""),";",REPT(" ",30)),121,30))),0)+IFERROR(VALUE(TRIM(MID(SUBSTITUTE(SUBSTITUTE(SUBSTITUTE(UPPER($P354)," ",""),"C",""),";",REPT(" ",30)),151,30))),0)+IFERROR(VALUE(TRIM(MID(SUBSTITUTE(SUBSTITUTE(SUBSTITUTE(UPPER($P354)," ",""),"C",""),";",REPT(" ",30)),181,30))),0)+IFERROR(VALUE(TRIM(MID(SUBSTITUTE(SUBSTITUTE(SUBSTITUTE(UPPER($P354)," ",""),"C",""),";",REPT(" ",30)),211,30))),0)))))</f>
        <v/>
      </c>
      <c r="S354" s="24" t="n"/>
      <c r="T354" s="8" t="n"/>
      <c r="U354" s="14" t="n"/>
      <c r="V354" s="25">
        <f>IF($C354="","",IF($E354="Falta","-",MAX(0,MIN(10,5+IFERROR(VALUE(TRIM(MID(SUBSTITUTE(SUBSTITUTE(SUBSTITUTE(UPPER($T354)," ",""),"P",""),";",REPT(" ",30)),1,30))),0)+IFERROR(VALUE(TRIM(MID(SUBSTITUTE(SUBSTITUTE(SUBSTITUTE(UPPER($T354)," ",""),"P",""),";",REPT(" ",30)),31,30))),0)+IFERROR(VALUE(TRIM(MID(SUBSTITUTE(SUBSTITUTE(SUBSTITUTE(UPPER($T354)," ",""),"P",""),";",REPT(" ",30)),61,30))),0)+IFERROR(VALUE(TRIM(MID(SUBSTITUTE(SUBSTITUTE(SUBSTITUTE(UPPER($T354)," ",""),"P",""),";",REPT(" ",30)),91,30))),0)+IFERROR(VALUE(TRIM(MID(SUBSTITUTE(SUBSTITUTE(SUBSTITUTE(UPPER($T354)," ",""),"P",""),";",REPT(" ",30)),121,30))),0)+IFERROR(VALUE(TRIM(MID(SUBSTITUTE(SUBSTITUTE(SUBSTITUTE(UPPER($T354)," ",""),"P",""),";",REPT(" ",30)),151,30))),0)+IFERROR(VALUE(TRIM(MID(SUBSTITUTE(SUBSTITUTE(SUBSTITUTE(UPPER($T354)," ",""),"P",""),";",REPT(" ",30)),181,30))),0)+IFERROR(VALUE(TRIM(MID(SUBSTITUTE(SUBSTITUTE(SUBSTITUTE(UPPER($T354)," ",""),"P",""),";",REPT(" ",30)),211,30))),0)))))</f>
        <v/>
      </c>
      <c r="W354" s="24" t="n"/>
      <c r="X354" s="14" t="n"/>
    </row>
    <row r="355">
      <c r="A355" s="8">
        <f>IF($C355="","",71)</f>
        <v/>
      </c>
      <c r="B355" s="8">
        <f>IF($C355="","","2ª Sessão")</f>
        <v/>
      </c>
      <c r="C355" s="8">
        <f>IF(Preenchimento!$B$80="","",Preenchimento!$B$80)</f>
        <v/>
      </c>
      <c r="D355" s="8">
        <f>IF($C355="","",IF(Preenchimento!$C$80="","-",Preenchimento!$C$80))</f>
        <v/>
      </c>
      <c r="E355" s="8" t="n"/>
      <c r="F355" s="8" t="n"/>
      <c r="G355" s="24" t="n"/>
      <c r="H355" s="8" t="n"/>
      <c r="I355" s="14" t="n"/>
      <c r="J355" s="25">
        <f>IF($C355="","",IF($E355="Falta","-",MAX(0,MIN(10,8+IFERROR(VALUE(TRIM(MID(SUBSTITUTE(SUBSTITUTE(SUBSTITUTE(UPPER($H355)," ",""),"D",""),";",REPT(" ",30)),1,30))),0)+IFERROR(VALUE(TRIM(MID(SUBSTITUTE(SUBSTITUTE(SUBSTITUTE(UPPER($H355)," ",""),"D",""),";",REPT(" ",30)),31,30))),0)+IFERROR(VALUE(TRIM(MID(SUBSTITUTE(SUBSTITUTE(SUBSTITUTE(UPPER($H355)," ",""),"D",""),";",REPT(" ",30)),61,30))),0)+IFERROR(VALUE(TRIM(MID(SUBSTITUTE(SUBSTITUTE(SUBSTITUTE(UPPER($H355)," ",""),"D",""),";",REPT(" ",30)),91,30))),0)+IFERROR(VALUE(TRIM(MID(SUBSTITUTE(SUBSTITUTE(SUBSTITUTE(UPPER($H355)," ",""),"D",""),";",REPT(" ",30)),121,30))),0)+IFERROR(VALUE(TRIM(MID(SUBSTITUTE(SUBSTITUTE(SUBSTITUTE(UPPER($H355)," ",""),"D",""),";",REPT(" ",30)),151,30))),0)+IFERROR(VALUE(TRIM(MID(SUBSTITUTE(SUBSTITUTE(SUBSTITUTE(UPPER($H355)," ",""),"D",""),";",REPT(" ",30)),181,30))),0)+IFERROR(VALUE(TRIM(MID(SUBSTITUTE(SUBSTITUTE(SUBSTITUTE(UPPER($H355)," ",""),"D",""),";",REPT(" ",30)),211,30))),0)))))</f>
        <v/>
      </c>
      <c r="K355" s="24" t="n"/>
      <c r="L355" s="8" t="n"/>
      <c r="M355" s="14" t="n"/>
      <c r="N355" s="25">
        <f>IF($C355="","",IF($E355="Falta","-",MAX(0,MIN(10,8+IFERROR(VALUE(TRIM(MID(SUBSTITUTE(SUBSTITUTE(SUBSTITUTE(UPPER($L355)," ",""),"F",""),";",REPT(" ",30)),1,30))),0)+IFERROR(VALUE(TRIM(MID(SUBSTITUTE(SUBSTITUTE(SUBSTITUTE(UPPER($L355)," ",""),"F",""),";",REPT(" ",30)),31,30))),0)+IFERROR(VALUE(TRIM(MID(SUBSTITUTE(SUBSTITUTE(SUBSTITUTE(UPPER($L355)," ",""),"F",""),";",REPT(" ",30)),61,30))),0)+IFERROR(VALUE(TRIM(MID(SUBSTITUTE(SUBSTITUTE(SUBSTITUTE(UPPER($L355)," ",""),"F",""),";",REPT(" ",30)),91,30))),0)+IFERROR(VALUE(TRIM(MID(SUBSTITUTE(SUBSTITUTE(SUBSTITUTE(UPPER($L355)," ",""),"F",""),";",REPT(" ",30)),121,30))),0)+IFERROR(VALUE(TRIM(MID(SUBSTITUTE(SUBSTITUTE(SUBSTITUTE(UPPER($L355)," ",""),"F",""),";",REPT(" ",30)),151,30))),0)+IFERROR(VALUE(TRIM(MID(SUBSTITUTE(SUBSTITUTE(SUBSTITUTE(UPPER($L355)," ",""),"F",""),";",REPT(" ",30)),181,30))),0)+IFERROR(VALUE(TRIM(MID(SUBSTITUTE(SUBSTITUTE(SUBSTITUTE(UPPER($L355)," ",""),"F",""),";",REPT(" ",30)),211,30))),0)))))</f>
        <v/>
      </c>
      <c r="O355" s="24" t="n"/>
      <c r="P355" s="8" t="n"/>
      <c r="Q355" s="14" t="n"/>
      <c r="R355" s="25">
        <f>IF($C355="","",IF($E355="Falta","-",MAX(0,MIN(10,5+IFERROR(VALUE(TRIM(MID(SUBSTITUTE(SUBSTITUTE(SUBSTITUTE(UPPER($P355)," ",""),"C",""),";",REPT(" ",30)),1,30))),0)+IFERROR(VALUE(TRIM(MID(SUBSTITUTE(SUBSTITUTE(SUBSTITUTE(UPPER($P355)," ",""),"C",""),";",REPT(" ",30)),31,30))),0)+IFERROR(VALUE(TRIM(MID(SUBSTITUTE(SUBSTITUTE(SUBSTITUTE(UPPER($P355)," ",""),"C",""),";",REPT(" ",30)),61,30))),0)+IFERROR(VALUE(TRIM(MID(SUBSTITUTE(SUBSTITUTE(SUBSTITUTE(UPPER($P355)," ",""),"C",""),";",REPT(" ",30)),91,30))),0)+IFERROR(VALUE(TRIM(MID(SUBSTITUTE(SUBSTITUTE(SUBSTITUTE(UPPER($P355)," ",""),"C",""),";",REPT(" ",30)),121,30))),0)+IFERROR(VALUE(TRIM(MID(SUBSTITUTE(SUBSTITUTE(SUBSTITUTE(UPPER($P355)," ",""),"C",""),";",REPT(" ",30)),151,30))),0)+IFERROR(VALUE(TRIM(MID(SUBSTITUTE(SUBSTITUTE(SUBSTITUTE(UPPER($P355)," ",""),"C",""),";",REPT(" ",30)),181,30))),0)+IFERROR(VALUE(TRIM(MID(SUBSTITUTE(SUBSTITUTE(SUBSTITUTE(UPPER($P355)," ",""),"C",""),";",REPT(" ",30)),211,30))),0)))))</f>
        <v/>
      </c>
      <c r="S355" s="24" t="n"/>
      <c r="T355" s="8" t="n"/>
      <c r="U355" s="14" t="n"/>
      <c r="V355" s="25">
        <f>IF($C355="","",IF($E355="Falta","-",MAX(0,MIN(10,5+IFERROR(VALUE(TRIM(MID(SUBSTITUTE(SUBSTITUTE(SUBSTITUTE(UPPER($T355)," ",""),"P",""),";",REPT(" ",30)),1,30))),0)+IFERROR(VALUE(TRIM(MID(SUBSTITUTE(SUBSTITUTE(SUBSTITUTE(UPPER($T355)," ",""),"P",""),";",REPT(" ",30)),31,30))),0)+IFERROR(VALUE(TRIM(MID(SUBSTITUTE(SUBSTITUTE(SUBSTITUTE(UPPER($T355)," ",""),"P",""),";",REPT(" ",30)),61,30))),0)+IFERROR(VALUE(TRIM(MID(SUBSTITUTE(SUBSTITUTE(SUBSTITUTE(UPPER($T355)," ",""),"P",""),";",REPT(" ",30)),91,30))),0)+IFERROR(VALUE(TRIM(MID(SUBSTITUTE(SUBSTITUTE(SUBSTITUTE(UPPER($T355)," ",""),"P",""),";",REPT(" ",30)),121,30))),0)+IFERROR(VALUE(TRIM(MID(SUBSTITUTE(SUBSTITUTE(SUBSTITUTE(UPPER($T355)," ",""),"P",""),";",REPT(" ",30)),151,30))),0)+IFERROR(VALUE(TRIM(MID(SUBSTITUTE(SUBSTITUTE(SUBSTITUTE(UPPER($T355)," ",""),"P",""),";",REPT(" ",30)),181,30))),0)+IFERROR(VALUE(TRIM(MID(SUBSTITUTE(SUBSTITUTE(SUBSTITUTE(UPPER($T355)," ",""),"P",""),";",REPT(" ",30)),211,30))),0)))))</f>
        <v/>
      </c>
      <c r="W355" s="24" t="n"/>
      <c r="X355" s="14" t="n"/>
    </row>
    <row r="356">
      <c r="A356" s="8">
        <f>IF($C356="","",71)</f>
        <v/>
      </c>
      <c r="B356" s="8">
        <f>IF($C356="","","3ª Sessão")</f>
        <v/>
      </c>
      <c r="C356" s="8">
        <f>IF(Preenchimento!$B$80="","",Preenchimento!$B$80)</f>
        <v/>
      </c>
      <c r="D356" s="8">
        <f>IF($C356="","",IF(Preenchimento!$C$80="","-",Preenchimento!$C$80))</f>
        <v/>
      </c>
      <c r="E356" s="8" t="n"/>
      <c r="F356" s="8" t="n"/>
      <c r="G356" s="24" t="n"/>
      <c r="H356" s="8" t="n"/>
      <c r="I356" s="14" t="n"/>
      <c r="J356" s="25">
        <f>IF($C356="","",IF($E356="Falta","-",MAX(0,MIN(10,8+IFERROR(VALUE(TRIM(MID(SUBSTITUTE(SUBSTITUTE(SUBSTITUTE(UPPER($H356)," ",""),"D",""),";",REPT(" ",30)),1,30))),0)+IFERROR(VALUE(TRIM(MID(SUBSTITUTE(SUBSTITUTE(SUBSTITUTE(UPPER($H356)," ",""),"D",""),";",REPT(" ",30)),31,30))),0)+IFERROR(VALUE(TRIM(MID(SUBSTITUTE(SUBSTITUTE(SUBSTITUTE(UPPER($H356)," ",""),"D",""),";",REPT(" ",30)),61,30))),0)+IFERROR(VALUE(TRIM(MID(SUBSTITUTE(SUBSTITUTE(SUBSTITUTE(UPPER($H356)," ",""),"D",""),";",REPT(" ",30)),91,30))),0)+IFERROR(VALUE(TRIM(MID(SUBSTITUTE(SUBSTITUTE(SUBSTITUTE(UPPER($H356)," ",""),"D",""),";",REPT(" ",30)),121,30))),0)+IFERROR(VALUE(TRIM(MID(SUBSTITUTE(SUBSTITUTE(SUBSTITUTE(UPPER($H356)," ",""),"D",""),";",REPT(" ",30)),151,30))),0)+IFERROR(VALUE(TRIM(MID(SUBSTITUTE(SUBSTITUTE(SUBSTITUTE(UPPER($H356)," ",""),"D",""),";",REPT(" ",30)),181,30))),0)+IFERROR(VALUE(TRIM(MID(SUBSTITUTE(SUBSTITUTE(SUBSTITUTE(UPPER($H356)," ",""),"D",""),";",REPT(" ",30)),211,30))),0)))))</f>
        <v/>
      </c>
      <c r="K356" s="24" t="n"/>
      <c r="L356" s="8" t="n"/>
      <c r="M356" s="14" t="n"/>
      <c r="N356" s="25">
        <f>IF($C356="","",IF($E356="Falta","-",MAX(0,MIN(10,8+IFERROR(VALUE(TRIM(MID(SUBSTITUTE(SUBSTITUTE(SUBSTITUTE(UPPER($L356)," ",""),"F",""),";",REPT(" ",30)),1,30))),0)+IFERROR(VALUE(TRIM(MID(SUBSTITUTE(SUBSTITUTE(SUBSTITUTE(UPPER($L356)," ",""),"F",""),";",REPT(" ",30)),31,30))),0)+IFERROR(VALUE(TRIM(MID(SUBSTITUTE(SUBSTITUTE(SUBSTITUTE(UPPER($L356)," ",""),"F",""),";",REPT(" ",30)),61,30))),0)+IFERROR(VALUE(TRIM(MID(SUBSTITUTE(SUBSTITUTE(SUBSTITUTE(UPPER($L356)," ",""),"F",""),";",REPT(" ",30)),91,30))),0)+IFERROR(VALUE(TRIM(MID(SUBSTITUTE(SUBSTITUTE(SUBSTITUTE(UPPER($L356)," ",""),"F",""),";",REPT(" ",30)),121,30))),0)+IFERROR(VALUE(TRIM(MID(SUBSTITUTE(SUBSTITUTE(SUBSTITUTE(UPPER($L356)," ",""),"F",""),";",REPT(" ",30)),151,30))),0)+IFERROR(VALUE(TRIM(MID(SUBSTITUTE(SUBSTITUTE(SUBSTITUTE(UPPER($L356)," ",""),"F",""),";",REPT(" ",30)),181,30))),0)+IFERROR(VALUE(TRIM(MID(SUBSTITUTE(SUBSTITUTE(SUBSTITUTE(UPPER($L356)," ",""),"F",""),";",REPT(" ",30)),211,30))),0)))))</f>
        <v/>
      </c>
      <c r="O356" s="24" t="n"/>
      <c r="P356" s="8" t="n"/>
      <c r="Q356" s="14" t="n"/>
      <c r="R356" s="25">
        <f>IF($C356="","",IF($E356="Falta","-",MAX(0,MIN(10,5+IFERROR(VALUE(TRIM(MID(SUBSTITUTE(SUBSTITUTE(SUBSTITUTE(UPPER($P356)," ",""),"C",""),";",REPT(" ",30)),1,30))),0)+IFERROR(VALUE(TRIM(MID(SUBSTITUTE(SUBSTITUTE(SUBSTITUTE(UPPER($P356)," ",""),"C",""),";",REPT(" ",30)),31,30))),0)+IFERROR(VALUE(TRIM(MID(SUBSTITUTE(SUBSTITUTE(SUBSTITUTE(UPPER($P356)," ",""),"C",""),";",REPT(" ",30)),61,30))),0)+IFERROR(VALUE(TRIM(MID(SUBSTITUTE(SUBSTITUTE(SUBSTITUTE(UPPER($P356)," ",""),"C",""),";",REPT(" ",30)),91,30))),0)+IFERROR(VALUE(TRIM(MID(SUBSTITUTE(SUBSTITUTE(SUBSTITUTE(UPPER($P356)," ",""),"C",""),";",REPT(" ",30)),121,30))),0)+IFERROR(VALUE(TRIM(MID(SUBSTITUTE(SUBSTITUTE(SUBSTITUTE(UPPER($P356)," ",""),"C",""),";",REPT(" ",30)),151,30))),0)+IFERROR(VALUE(TRIM(MID(SUBSTITUTE(SUBSTITUTE(SUBSTITUTE(UPPER($P356)," ",""),"C",""),";",REPT(" ",30)),181,30))),0)+IFERROR(VALUE(TRIM(MID(SUBSTITUTE(SUBSTITUTE(SUBSTITUTE(UPPER($P356)," ",""),"C",""),";",REPT(" ",30)),211,30))),0)))))</f>
        <v/>
      </c>
      <c r="S356" s="24" t="n"/>
      <c r="T356" s="8" t="n"/>
      <c r="U356" s="14" t="n"/>
      <c r="V356" s="25">
        <f>IF($C356="","",IF($E356="Falta","-",MAX(0,MIN(10,5+IFERROR(VALUE(TRIM(MID(SUBSTITUTE(SUBSTITUTE(SUBSTITUTE(UPPER($T356)," ",""),"P",""),";",REPT(" ",30)),1,30))),0)+IFERROR(VALUE(TRIM(MID(SUBSTITUTE(SUBSTITUTE(SUBSTITUTE(UPPER($T356)," ",""),"P",""),";",REPT(" ",30)),31,30))),0)+IFERROR(VALUE(TRIM(MID(SUBSTITUTE(SUBSTITUTE(SUBSTITUTE(UPPER($T356)," ",""),"P",""),";",REPT(" ",30)),61,30))),0)+IFERROR(VALUE(TRIM(MID(SUBSTITUTE(SUBSTITUTE(SUBSTITUTE(UPPER($T356)," ",""),"P",""),";",REPT(" ",30)),91,30))),0)+IFERROR(VALUE(TRIM(MID(SUBSTITUTE(SUBSTITUTE(SUBSTITUTE(UPPER($T356)," ",""),"P",""),";",REPT(" ",30)),121,30))),0)+IFERROR(VALUE(TRIM(MID(SUBSTITUTE(SUBSTITUTE(SUBSTITUTE(UPPER($T356)," ",""),"P",""),";",REPT(" ",30)),151,30))),0)+IFERROR(VALUE(TRIM(MID(SUBSTITUTE(SUBSTITUTE(SUBSTITUTE(UPPER($T356)," ",""),"P",""),";",REPT(" ",30)),181,30))),0)+IFERROR(VALUE(TRIM(MID(SUBSTITUTE(SUBSTITUTE(SUBSTITUTE(UPPER($T356)," ",""),"P",""),";",REPT(" ",30)),211,30))),0)))))</f>
        <v/>
      </c>
      <c r="W356" s="24" t="n"/>
      <c r="X356" s="14" t="n"/>
    </row>
    <row r="357">
      <c r="A357" s="8">
        <f>IF($C357="","",71)</f>
        <v/>
      </c>
      <c r="B357" s="8">
        <f>IF($C357="","","4ª Sessão")</f>
        <v/>
      </c>
      <c r="C357" s="8">
        <f>IF(Preenchimento!$B$80="","",Preenchimento!$B$80)</f>
        <v/>
      </c>
      <c r="D357" s="8">
        <f>IF($C357="","",IF(Preenchimento!$C$80="","-",Preenchimento!$C$80))</f>
        <v/>
      </c>
      <c r="E357" s="8" t="n"/>
      <c r="F357" s="8" t="n"/>
      <c r="G357" s="24" t="n"/>
      <c r="H357" s="8" t="n"/>
      <c r="I357" s="14" t="n"/>
      <c r="J357" s="25">
        <f>IF($C357="","",IF($E357="Falta","-",MAX(0,MIN(10,8+IFERROR(VALUE(TRIM(MID(SUBSTITUTE(SUBSTITUTE(SUBSTITUTE(UPPER($H357)," ",""),"D",""),";",REPT(" ",30)),1,30))),0)+IFERROR(VALUE(TRIM(MID(SUBSTITUTE(SUBSTITUTE(SUBSTITUTE(UPPER($H357)," ",""),"D",""),";",REPT(" ",30)),31,30))),0)+IFERROR(VALUE(TRIM(MID(SUBSTITUTE(SUBSTITUTE(SUBSTITUTE(UPPER($H357)," ",""),"D",""),";",REPT(" ",30)),61,30))),0)+IFERROR(VALUE(TRIM(MID(SUBSTITUTE(SUBSTITUTE(SUBSTITUTE(UPPER($H357)," ",""),"D",""),";",REPT(" ",30)),91,30))),0)+IFERROR(VALUE(TRIM(MID(SUBSTITUTE(SUBSTITUTE(SUBSTITUTE(UPPER($H357)," ",""),"D",""),";",REPT(" ",30)),121,30))),0)+IFERROR(VALUE(TRIM(MID(SUBSTITUTE(SUBSTITUTE(SUBSTITUTE(UPPER($H357)," ",""),"D",""),";",REPT(" ",30)),151,30))),0)+IFERROR(VALUE(TRIM(MID(SUBSTITUTE(SUBSTITUTE(SUBSTITUTE(UPPER($H357)," ",""),"D",""),";",REPT(" ",30)),181,30))),0)+IFERROR(VALUE(TRIM(MID(SUBSTITUTE(SUBSTITUTE(SUBSTITUTE(UPPER($H357)," ",""),"D",""),";",REPT(" ",30)),211,30))),0)))))</f>
        <v/>
      </c>
      <c r="K357" s="24" t="n"/>
      <c r="L357" s="8" t="n"/>
      <c r="M357" s="14" t="n"/>
      <c r="N357" s="25">
        <f>IF($C357="","",IF($E357="Falta","-",MAX(0,MIN(10,8+IFERROR(VALUE(TRIM(MID(SUBSTITUTE(SUBSTITUTE(SUBSTITUTE(UPPER($L357)," ",""),"F",""),";",REPT(" ",30)),1,30))),0)+IFERROR(VALUE(TRIM(MID(SUBSTITUTE(SUBSTITUTE(SUBSTITUTE(UPPER($L357)," ",""),"F",""),";",REPT(" ",30)),31,30))),0)+IFERROR(VALUE(TRIM(MID(SUBSTITUTE(SUBSTITUTE(SUBSTITUTE(UPPER($L357)," ",""),"F",""),";",REPT(" ",30)),61,30))),0)+IFERROR(VALUE(TRIM(MID(SUBSTITUTE(SUBSTITUTE(SUBSTITUTE(UPPER($L357)," ",""),"F",""),";",REPT(" ",30)),91,30))),0)+IFERROR(VALUE(TRIM(MID(SUBSTITUTE(SUBSTITUTE(SUBSTITUTE(UPPER($L357)," ",""),"F",""),";",REPT(" ",30)),121,30))),0)+IFERROR(VALUE(TRIM(MID(SUBSTITUTE(SUBSTITUTE(SUBSTITUTE(UPPER($L357)," ",""),"F",""),";",REPT(" ",30)),151,30))),0)+IFERROR(VALUE(TRIM(MID(SUBSTITUTE(SUBSTITUTE(SUBSTITUTE(UPPER($L357)," ",""),"F",""),";",REPT(" ",30)),181,30))),0)+IFERROR(VALUE(TRIM(MID(SUBSTITUTE(SUBSTITUTE(SUBSTITUTE(UPPER($L357)," ",""),"F",""),";",REPT(" ",30)),211,30))),0)))))</f>
        <v/>
      </c>
      <c r="O357" s="24" t="n"/>
      <c r="P357" s="8" t="n"/>
      <c r="Q357" s="14" t="n"/>
      <c r="R357" s="25">
        <f>IF($C357="","",IF($E357="Falta","-",MAX(0,MIN(10,5+IFERROR(VALUE(TRIM(MID(SUBSTITUTE(SUBSTITUTE(SUBSTITUTE(UPPER($P357)," ",""),"C",""),";",REPT(" ",30)),1,30))),0)+IFERROR(VALUE(TRIM(MID(SUBSTITUTE(SUBSTITUTE(SUBSTITUTE(UPPER($P357)," ",""),"C",""),";",REPT(" ",30)),31,30))),0)+IFERROR(VALUE(TRIM(MID(SUBSTITUTE(SUBSTITUTE(SUBSTITUTE(UPPER($P357)," ",""),"C",""),";",REPT(" ",30)),61,30))),0)+IFERROR(VALUE(TRIM(MID(SUBSTITUTE(SUBSTITUTE(SUBSTITUTE(UPPER($P357)," ",""),"C",""),";",REPT(" ",30)),91,30))),0)+IFERROR(VALUE(TRIM(MID(SUBSTITUTE(SUBSTITUTE(SUBSTITUTE(UPPER($P357)," ",""),"C",""),";",REPT(" ",30)),121,30))),0)+IFERROR(VALUE(TRIM(MID(SUBSTITUTE(SUBSTITUTE(SUBSTITUTE(UPPER($P357)," ",""),"C",""),";",REPT(" ",30)),151,30))),0)+IFERROR(VALUE(TRIM(MID(SUBSTITUTE(SUBSTITUTE(SUBSTITUTE(UPPER($P357)," ",""),"C",""),";",REPT(" ",30)),181,30))),0)+IFERROR(VALUE(TRIM(MID(SUBSTITUTE(SUBSTITUTE(SUBSTITUTE(UPPER($P357)," ",""),"C",""),";",REPT(" ",30)),211,30))),0)))))</f>
        <v/>
      </c>
      <c r="S357" s="24" t="n"/>
      <c r="T357" s="8" t="n"/>
      <c r="U357" s="14" t="n"/>
      <c r="V357" s="25">
        <f>IF($C357="","",IF($E357="Falta","-",MAX(0,MIN(10,5+IFERROR(VALUE(TRIM(MID(SUBSTITUTE(SUBSTITUTE(SUBSTITUTE(UPPER($T357)," ",""),"P",""),";",REPT(" ",30)),1,30))),0)+IFERROR(VALUE(TRIM(MID(SUBSTITUTE(SUBSTITUTE(SUBSTITUTE(UPPER($T357)," ",""),"P",""),";",REPT(" ",30)),31,30))),0)+IFERROR(VALUE(TRIM(MID(SUBSTITUTE(SUBSTITUTE(SUBSTITUTE(UPPER($T357)," ",""),"P",""),";",REPT(" ",30)),61,30))),0)+IFERROR(VALUE(TRIM(MID(SUBSTITUTE(SUBSTITUTE(SUBSTITUTE(UPPER($T357)," ",""),"P",""),";",REPT(" ",30)),91,30))),0)+IFERROR(VALUE(TRIM(MID(SUBSTITUTE(SUBSTITUTE(SUBSTITUTE(UPPER($T357)," ",""),"P",""),";",REPT(" ",30)),121,30))),0)+IFERROR(VALUE(TRIM(MID(SUBSTITUTE(SUBSTITUTE(SUBSTITUTE(UPPER($T357)," ",""),"P",""),";",REPT(" ",30)),151,30))),0)+IFERROR(VALUE(TRIM(MID(SUBSTITUTE(SUBSTITUTE(SUBSTITUTE(UPPER($T357)," ",""),"P",""),";",REPT(" ",30)),181,30))),0)+IFERROR(VALUE(TRIM(MID(SUBSTITUTE(SUBSTITUTE(SUBSTITUTE(UPPER($T357)," ",""),"P",""),";",REPT(" ",30)),211,30))),0)))))</f>
        <v/>
      </c>
      <c r="W357" s="24" t="n"/>
      <c r="X357" s="14" t="n"/>
    </row>
    <row r="358">
      <c r="A358" s="8">
        <f>IF($C358="","",71)</f>
        <v/>
      </c>
      <c r="B358" s="8">
        <f>IF($C358="","","5ª Sessão")</f>
        <v/>
      </c>
      <c r="C358" s="8">
        <f>IF(Preenchimento!$B$80="","",Preenchimento!$B$80)</f>
        <v/>
      </c>
      <c r="D358" s="8">
        <f>IF($C358="","",IF(Preenchimento!$C$80="","-",Preenchimento!$C$80))</f>
        <v/>
      </c>
      <c r="E358" s="8" t="n"/>
      <c r="F358" s="8" t="n"/>
      <c r="G358" s="24" t="n"/>
      <c r="H358" s="8" t="n"/>
      <c r="I358" s="14" t="n"/>
      <c r="J358" s="25">
        <f>IF($C358="","",IF($E358="Falta","-",MAX(0,MIN(10,8+IFERROR(VALUE(TRIM(MID(SUBSTITUTE(SUBSTITUTE(SUBSTITUTE(UPPER($H358)," ",""),"D",""),";",REPT(" ",30)),1,30))),0)+IFERROR(VALUE(TRIM(MID(SUBSTITUTE(SUBSTITUTE(SUBSTITUTE(UPPER($H358)," ",""),"D",""),";",REPT(" ",30)),31,30))),0)+IFERROR(VALUE(TRIM(MID(SUBSTITUTE(SUBSTITUTE(SUBSTITUTE(UPPER($H358)," ",""),"D",""),";",REPT(" ",30)),61,30))),0)+IFERROR(VALUE(TRIM(MID(SUBSTITUTE(SUBSTITUTE(SUBSTITUTE(UPPER($H358)," ",""),"D",""),";",REPT(" ",30)),91,30))),0)+IFERROR(VALUE(TRIM(MID(SUBSTITUTE(SUBSTITUTE(SUBSTITUTE(UPPER($H358)," ",""),"D",""),";",REPT(" ",30)),121,30))),0)+IFERROR(VALUE(TRIM(MID(SUBSTITUTE(SUBSTITUTE(SUBSTITUTE(UPPER($H358)," ",""),"D",""),";",REPT(" ",30)),151,30))),0)+IFERROR(VALUE(TRIM(MID(SUBSTITUTE(SUBSTITUTE(SUBSTITUTE(UPPER($H358)," ",""),"D",""),";",REPT(" ",30)),181,30))),0)+IFERROR(VALUE(TRIM(MID(SUBSTITUTE(SUBSTITUTE(SUBSTITUTE(UPPER($H358)," ",""),"D",""),";",REPT(" ",30)),211,30))),0)))))</f>
        <v/>
      </c>
      <c r="K358" s="24" t="n"/>
      <c r="L358" s="8" t="n"/>
      <c r="M358" s="14" t="n"/>
      <c r="N358" s="25">
        <f>IF($C358="","",IF($E358="Falta","-",MAX(0,MIN(10,8+IFERROR(VALUE(TRIM(MID(SUBSTITUTE(SUBSTITUTE(SUBSTITUTE(UPPER($L358)," ",""),"F",""),";",REPT(" ",30)),1,30))),0)+IFERROR(VALUE(TRIM(MID(SUBSTITUTE(SUBSTITUTE(SUBSTITUTE(UPPER($L358)," ",""),"F",""),";",REPT(" ",30)),31,30))),0)+IFERROR(VALUE(TRIM(MID(SUBSTITUTE(SUBSTITUTE(SUBSTITUTE(UPPER($L358)," ",""),"F",""),";",REPT(" ",30)),61,30))),0)+IFERROR(VALUE(TRIM(MID(SUBSTITUTE(SUBSTITUTE(SUBSTITUTE(UPPER($L358)," ",""),"F",""),";",REPT(" ",30)),91,30))),0)+IFERROR(VALUE(TRIM(MID(SUBSTITUTE(SUBSTITUTE(SUBSTITUTE(UPPER($L358)," ",""),"F",""),";",REPT(" ",30)),121,30))),0)+IFERROR(VALUE(TRIM(MID(SUBSTITUTE(SUBSTITUTE(SUBSTITUTE(UPPER($L358)," ",""),"F",""),";",REPT(" ",30)),151,30))),0)+IFERROR(VALUE(TRIM(MID(SUBSTITUTE(SUBSTITUTE(SUBSTITUTE(UPPER($L358)," ",""),"F",""),";",REPT(" ",30)),181,30))),0)+IFERROR(VALUE(TRIM(MID(SUBSTITUTE(SUBSTITUTE(SUBSTITUTE(UPPER($L358)," ",""),"F",""),";",REPT(" ",30)),211,30))),0)))))</f>
        <v/>
      </c>
      <c r="O358" s="24" t="n"/>
      <c r="P358" s="8" t="n"/>
      <c r="Q358" s="14" t="n"/>
      <c r="R358" s="25">
        <f>IF($C358="","",IF($E358="Falta","-",MAX(0,MIN(10,5+IFERROR(VALUE(TRIM(MID(SUBSTITUTE(SUBSTITUTE(SUBSTITUTE(UPPER($P358)," ",""),"C",""),";",REPT(" ",30)),1,30))),0)+IFERROR(VALUE(TRIM(MID(SUBSTITUTE(SUBSTITUTE(SUBSTITUTE(UPPER($P358)," ",""),"C",""),";",REPT(" ",30)),31,30))),0)+IFERROR(VALUE(TRIM(MID(SUBSTITUTE(SUBSTITUTE(SUBSTITUTE(UPPER($P358)," ",""),"C",""),";",REPT(" ",30)),61,30))),0)+IFERROR(VALUE(TRIM(MID(SUBSTITUTE(SUBSTITUTE(SUBSTITUTE(UPPER($P358)," ",""),"C",""),";",REPT(" ",30)),91,30))),0)+IFERROR(VALUE(TRIM(MID(SUBSTITUTE(SUBSTITUTE(SUBSTITUTE(UPPER($P358)," ",""),"C",""),";",REPT(" ",30)),121,30))),0)+IFERROR(VALUE(TRIM(MID(SUBSTITUTE(SUBSTITUTE(SUBSTITUTE(UPPER($P358)," ",""),"C",""),";",REPT(" ",30)),151,30))),0)+IFERROR(VALUE(TRIM(MID(SUBSTITUTE(SUBSTITUTE(SUBSTITUTE(UPPER($P358)," ",""),"C",""),";",REPT(" ",30)),181,30))),0)+IFERROR(VALUE(TRIM(MID(SUBSTITUTE(SUBSTITUTE(SUBSTITUTE(UPPER($P358)," ",""),"C",""),";",REPT(" ",30)),211,30))),0)))))</f>
        <v/>
      </c>
      <c r="S358" s="24" t="n"/>
      <c r="T358" s="8" t="n"/>
      <c r="U358" s="14" t="n"/>
      <c r="V358" s="25">
        <f>IF($C358="","",IF($E358="Falta","-",MAX(0,MIN(10,5+IFERROR(VALUE(TRIM(MID(SUBSTITUTE(SUBSTITUTE(SUBSTITUTE(UPPER($T358)," ",""),"P",""),";",REPT(" ",30)),1,30))),0)+IFERROR(VALUE(TRIM(MID(SUBSTITUTE(SUBSTITUTE(SUBSTITUTE(UPPER($T358)," ",""),"P",""),";",REPT(" ",30)),31,30))),0)+IFERROR(VALUE(TRIM(MID(SUBSTITUTE(SUBSTITUTE(SUBSTITUTE(UPPER($T358)," ",""),"P",""),";",REPT(" ",30)),61,30))),0)+IFERROR(VALUE(TRIM(MID(SUBSTITUTE(SUBSTITUTE(SUBSTITUTE(UPPER($T358)," ",""),"P",""),";",REPT(" ",30)),91,30))),0)+IFERROR(VALUE(TRIM(MID(SUBSTITUTE(SUBSTITUTE(SUBSTITUTE(UPPER($T358)," ",""),"P",""),";",REPT(" ",30)),121,30))),0)+IFERROR(VALUE(TRIM(MID(SUBSTITUTE(SUBSTITUTE(SUBSTITUTE(UPPER($T358)," ",""),"P",""),";",REPT(" ",30)),151,30))),0)+IFERROR(VALUE(TRIM(MID(SUBSTITUTE(SUBSTITUTE(SUBSTITUTE(UPPER($T358)," ",""),"P",""),";",REPT(" ",30)),181,30))),0)+IFERROR(VALUE(TRIM(MID(SUBSTITUTE(SUBSTITUTE(SUBSTITUTE(UPPER($T358)," ",""),"P",""),";",REPT(" ",30)),211,30))),0)))))</f>
        <v/>
      </c>
      <c r="W358" s="24" t="n"/>
      <c r="X358" s="14" t="n"/>
    </row>
    <row r="359">
      <c r="A359" s="6">
        <f>IF($C359="","",72)</f>
        <v/>
      </c>
      <c r="B359" s="6">
        <f>IF($C359="","","1ª Sessão")</f>
        <v/>
      </c>
      <c r="C359" s="6">
        <f>IF(Preenchimento!$B$81="","",Preenchimento!$B$81)</f>
        <v/>
      </c>
      <c r="D359" s="6">
        <f>IF($C359="","",IF(Preenchimento!$C$81="","-",Preenchimento!$C$81))</f>
        <v/>
      </c>
      <c r="E359" s="6" t="n"/>
      <c r="F359" s="6" t="n"/>
      <c r="G359" s="26" t="n"/>
      <c r="H359" s="6" t="n"/>
      <c r="I359" s="13" t="n"/>
      <c r="J359" s="27">
        <f>IF($C359="","",IF($E359="Falta","-",MAX(0,MIN(10,8+IFERROR(VALUE(TRIM(MID(SUBSTITUTE(SUBSTITUTE(SUBSTITUTE(UPPER($H359)," ",""),"D",""),";",REPT(" ",30)),1,30))),0)+IFERROR(VALUE(TRIM(MID(SUBSTITUTE(SUBSTITUTE(SUBSTITUTE(UPPER($H359)," ",""),"D",""),";",REPT(" ",30)),31,30))),0)+IFERROR(VALUE(TRIM(MID(SUBSTITUTE(SUBSTITUTE(SUBSTITUTE(UPPER($H359)," ",""),"D",""),";",REPT(" ",30)),61,30))),0)+IFERROR(VALUE(TRIM(MID(SUBSTITUTE(SUBSTITUTE(SUBSTITUTE(UPPER($H359)," ",""),"D",""),";",REPT(" ",30)),91,30))),0)+IFERROR(VALUE(TRIM(MID(SUBSTITUTE(SUBSTITUTE(SUBSTITUTE(UPPER($H359)," ",""),"D",""),";",REPT(" ",30)),121,30))),0)+IFERROR(VALUE(TRIM(MID(SUBSTITUTE(SUBSTITUTE(SUBSTITUTE(UPPER($H359)," ",""),"D",""),";",REPT(" ",30)),151,30))),0)+IFERROR(VALUE(TRIM(MID(SUBSTITUTE(SUBSTITUTE(SUBSTITUTE(UPPER($H359)," ",""),"D",""),";",REPT(" ",30)),181,30))),0)+IFERROR(VALUE(TRIM(MID(SUBSTITUTE(SUBSTITUTE(SUBSTITUTE(UPPER($H359)," ",""),"D",""),";",REPT(" ",30)),211,30))),0)))))</f>
        <v/>
      </c>
      <c r="K359" s="26" t="n"/>
      <c r="L359" s="6" t="n"/>
      <c r="M359" s="13" t="n"/>
      <c r="N359" s="27">
        <f>IF($C359="","",IF($E359="Falta","-",MAX(0,MIN(10,8+IFERROR(VALUE(TRIM(MID(SUBSTITUTE(SUBSTITUTE(SUBSTITUTE(UPPER($L359)," ",""),"F",""),";",REPT(" ",30)),1,30))),0)+IFERROR(VALUE(TRIM(MID(SUBSTITUTE(SUBSTITUTE(SUBSTITUTE(UPPER($L359)," ",""),"F",""),";",REPT(" ",30)),31,30))),0)+IFERROR(VALUE(TRIM(MID(SUBSTITUTE(SUBSTITUTE(SUBSTITUTE(UPPER($L359)," ",""),"F",""),";",REPT(" ",30)),61,30))),0)+IFERROR(VALUE(TRIM(MID(SUBSTITUTE(SUBSTITUTE(SUBSTITUTE(UPPER($L359)," ",""),"F",""),";",REPT(" ",30)),91,30))),0)+IFERROR(VALUE(TRIM(MID(SUBSTITUTE(SUBSTITUTE(SUBSTITUTE(UPPER($L359)," ",""),"F",""),";",REPT(" ",30)),121,30))),0)+IFERROR(VALUE(TRIM(MID(SUBSTITUTE(SUBSTITUTE(SUBSTITUTE(UPPER($L359)," ",""),"F",""),";",REPT(" ",30)),151,30))),0)+IFERROR(VALUE(TRIM(MID(SUBSTITUTE(SUBSTITUTE(SUBSTITUTE(UPPER($L359)," ",""),"F",""),";",REPT(" ",30)),181,30))),0)+IFERROR(VALUE(TRIM(MID(SUBSTITUTE(SUBSTITUTE(SUBSTITUTE(UPPER($L359)," ",""),"F",""),";",REPT(" ",30)),211,30))),0)))))</f>
        <v/>
      </c>
      <c r="O359" s="26" t="n"/>
      <c r="P359" s="6" t="n"/>
      <c r="Q359" s="13" t="n"/>
      <c r="R359" s="27">
        <f>IF($C359="","",IF($E359="Falta","-",MAX(0,MIN(10,5+IFERROR(VALUE(TRIM(MID(SUBSTITUTE(SUBSTITUTE(SUBSTITUTE(UPPER($P359)," ",""),"C",""),";",REPT(" ",30)),1,30))),0)+IFERROR(VALUE(TRIM(MID(SUBSTITUTE(SUBSTITUTE(SUBSTITUTE(UPPER($P359)," ",""),"C",""),";",REPT(" ",30)),31,30))),0)+IFERROR(VALUE(TRIM(MID(SUBSTITUTE(SUBSTITUTE(SUBSTITUTE(UPPER($P359)," ",""),"C",""),";",REPT(" ",30)),61,30))),0)+IFERROR(VALUE(TRIM(MID(SUBSTITUTE(SUBSTITUTE(SUBSTITUTE(UPPER($P359)," ",""),"C",""),";",REPT(" ",30)),91,30))),0)+IFERROR(VALUE(TRIM(MID(SUBSTITUTE(SUBSTITUTE(SUBSTITUTE(UPPER($P359)," ",""),"C",""),";",REPT(" ",30)),121,30))),0)+IFERROR(VALUE(TRIM(MID(SUBSTITUTE(SUBSTITUTE(SUBSTITUTE(UPPER($P359)," ",""),"C",""),";",REPT(" ",30)),151,30))),0)+IFERROR(VALUE(TRIM(MID(SUBSTITUTE(SUBSTITUTE(SUBSTITUTE(UPPER($P359)," ",""),"C",""),";",REPT(" ",30)),181,30))),0)+IFERROR(VALUE(TRIM(MID(SUBSTITUTE(SUBSTITUTE(SUBSTITUTE(UPPER($P359)," ",""),"C",""),";",REPT(" ",30)),211,30))),0)))))</f>
        <v/>
      </c>
      <c r="S359" s="26" t="n"/>
      <c r="T359" s="6" t="n"/>
      <c r="U359" s="13" t="n"/>
      <c r="V359" s="27">
        <f>IF($C359="","",IF($E359="Falta","-",MAX(0,MIN(10,5+IFERROR(VALUE(TRIM(MID(SUBSTITUTE(SUBSTITUTE(SUBSTITUTE(UPPER($T359)," ",""),"P",""),";",REPT(" ",30)),1,30))),0)+IFERROR(VALUE(TRIM(MID(SUBSTITUTE(SUBSTITUTE(SUBSTITUTE(UPPER($T359)," ",""),"P",""),";",REPT(" ",30)),31,30))),0)+IFERROR(VALUE(TRIM(MID(SUBSTITUTE(SUBSTITUTE(SUBSTITUTE(UPPER($T359)," ",""),"P",""),";",REPT(" ",30)),61,30))),0)+IFERROR(VALUE(TRIM(MID(SUBSTITUTE(SUBSTITUTE(SUBSTITUTE(UPPER($T359)," ",""),"P",""),";",REPT(" ",30)),91,30))),0)+IFERROR(VALUE(TRIM(MID(SUBSTITUTE(SUBSTITUTE(SUBSTITUTE(UPPER($T359)," ",""),"P",""),";",REPT(" ",30)),121,30))),0)+IFERROR(VALUE(TRIM(MID(SUBSTITUTE(SUBSTITUTE(SUBSTITUTE(UPPER($T359)," ",""),"P",""),";",REPT(" ",30)),151,30))),0)+IFERROR(VALUE(TRIM(MID(SUBSTITUTE(SUBSTITUTE(SUBSTITUTE(UPPER($T359)," ",""),"P",""),";",REPT(" ",30)),181,30))),0)+IFERROR(VALUE(TRIM(MID(SUBSTITUTE(SUBSTITUTE(SUBSTITUTE(UPPER($T359)," ",""),"P",""),";",REPT(" ",30)),211,30))),0)))))</f>
        <v/>
      </c>
      <c r="W359" s="26" t="n"/>
      <c r="X359" s="13" t="n"/>
    </row>
    <row r="360">
      <c r="A360" s="6">
        <f>IF($C360="","",72)</f>
        <v/>
      </c>
      <c r="B360" s="6">
        <f>IF($C360="","","2ª Sessão")</f>
        <v/>
      </c>
      <c r="C360" s="6">
        <f>IF(Preenchimento!$B$81="","",Preenchimento!$B$81)</f>
        <v/>
      </c>
      <c r="D360" s="6">
        <f>IF($C360="","",IF(Preenchimento!$C$81="","-",Preenchimento!$C$81))</f>
        <v/>
      </c>
      <c r="E360" s="6" t="n"/>
      <c r="F360" s="6" t="n"/>
      <c r="G360" s="26" t="n"/>
      <c r="H360" s="6" t="n"/>
      <c r="I360" s="13" t="n"/>
      <c r="J360" s="27">
        <f>IF($C360="","",IF($E360="Falta","-",MAX(0,MIN(10,8+IFERROR(VALUE(TRIM(MID(SUBSTITUTE(SUBSTITUTE(SUBSTITUTE(UPPER($H360)," ",""),"D",""),";",REPT(" ",30)),1,30))),0)+IFERROR(VALUE(TRIM(MID(SUBSTITUTE(SUBSTITUTE(SUBSTITUTE(UPPER($H360)," ",""),"D",""),";",REPT(" ",30)),31,30))),0)+IFERROR(VALUE(TRIM(MID(SUBSTITUTE(SUBSTITUTE(SUBSTITUTE(UPPER($H360)," ",""),"D",""),";",REPT(" ",30)),61,30))),0)+IFERROR(VALUE(TRIM(MID(SUBSTITUTE(SUBSTITUTE(SUBSTITUTE(UPPER($H360)," ",""),"D",""),";",REPT(" ",30)),91,30))),0)+IFERROR(VALUE(TRIM(MID(SUBSTITUTE(SUBSTITUTE(SUBSTITUTE(UPPER($H360)," ",""),"D",""),";",REPT(" ",30)),121,30))),0)+IFERROR(VALUE(TRIM(MID(SUBSTITUTE(SUBSTITUTE(SUBSTITUTE(UPPER($H360)," ",""),"D",""),";",REPT(" ",30)),151,30))),0)+IFERROR(VALUE(TRIM(MID(SUBSTITUTE(SUBSTITUTE(SUBSTITUTE(UPPER($H360)," ",""),"D",""),";",REPT(" ",30)),181,30))),0)+IFERROR(VALUE(TRIM(MID(SUBSTITUTE(SUBSTITUTE(SUBSTITUTE(UPPER($H360)," ",""),"D",""),";",REPT(" ",30)),211,30))),0)))))</f>
        <v/>
      </c>
      <c r="K360" s="26" t="n"/>
      <c r="L360" s="6" t="n"/>
      <c r="M360" s="13" t="n"/>
      <c r="N360" s="27">
        <f>IF($C360="","",IF($E360="Falta","-",MAX(0,MIN(10,8+IFERROR(VALUE(TRIM(MID(SUBSTITUTE(SUBSTITUTE(SUBSTITUTE(UPPER($L360)," ",""),"F",""),";",REPT(" ",30)),1,30))),0)+IFERROR(VALUE(TRIM(MID(SUBSTITUTE(SUBSTITUTE(SUBSTITUTE(UPPER($L360)," ",""),"F",""),";",REPT(" ",30)),31,30))),0)+IFERROR(VALUE(TRIM(MID(SUBSTITUTE(SUBSTITUTE(SUBSTITUTE(UPPER($L360)," ",""),"F",""),";",REPT(" ",30)),61,30))),0)+IFERROR(VALUE(TRIM(MID(SUBSTITUTE(SUBSTITUTE(SUBSTITUTE(UPPER($L360)," ",""),"F",""),";",REPT(" ",30)),91,30))),0)+IFERROR(VALUE(TRIM(MID(SUBSTITUTE(SUBSTITUTE(SUBSTITUTE(UPPER($L360)," ",""),"F",""),";",REPT(" ",30)),121,30))),0)+IFERROR(VALUE(TRIM(MID(SUBSTITUTE(SUBSTITUTE(SUBSTITUTE(UPPER($L360)," ",""),"F",""),";",REPT(" ",30)),151,30))),0)+IFERROR(VALUE(TRIM(MID(SUBSTITUTE(SUBSTITUTE(SUBSTITUTE(UPPER($L360)," ",""),"F",""),";",REPT(" ",30)),181,30))),0)+IFERROR(VALUE(TRIM(MID(SUBSTITUTE(SUBSTITUTE(SUBSTITUTE(UPPER($L360)," ",""),"F",""),";",REPT(" ",30)),211,30))),0)))))</f>
        <v/>
      </c>
      <c r="O360" s="26" t="n"/>
      <c r="P360" s="6" t="n"/>
      <c r="Q360" s="13" t="n"/>
      <c r="R360" s="27">
        <f>IF($C360="","",IF($E360="Falta","-",MAX(0,MIN(10,5+IFERROR(VALUE(TRIM(MID(SUBSTITUTE(SUBSTITUTE(SUBSTITUTE(UPPER($P360)," ",""),"C",""),";",REPT(" ",30)),1,30))),0)+IFERROR(VALUE(TRIM(MID(SUBSTITUTE(SUBSTITUTE(SUBSTITUTE(UPPER($P360)," ",""),"C",""),";",REPT(" ",30)),31,30))),0)+IFERROR(VALUE(TRIM(MID(SUBSTITUTE(SUBSTITUTE(SUBSTITUTE(UPPER($P360)," ",""),"C",""),";",REPT(" ",30)),61,30))),0)+IFERROR(VALUE(TRIM(MID(SUBSTITUTE(SUBSTITUTE(SUBSTITUTE(UPPER($P360)," ",""),"C",""),";",REPT(" ",30)),91,30))),0)+IFERROR(VALUE(TRIM(MID(SUBSTITUTE(SUBSTITUTE(SUBSTITUTE(UPPER($P360)," ",""),"C",""),";",REPT(" ",30)),121,30))),0)+IFERROR(VALUE(TRIM(MID(SUBSTITUTE(SUBSTITUTE(SUBSTITUTE(UPPER($P360)," ",""),"C",""),";",REPT(" ",30)),151,30))),0)+IFERROR(VALUE(TRIM(MID(SUBSTITUTE(SUBSTITUTE(SUBSTITUTE(UPPER($P360)," ",""),"C",""),";",REPT(" ",30)),181,30))),0)+IFERROR(VALUE(TRIM(MID(SUBSTITUTE(SUBSTITUTE(SUBSTITUTE(UPPER($P360)," ",""),"C",""),";",REPT(" ",30)),211,30))),0)))))</f>
        <v/>
      </c>
      <c r="S360" s="26" t="n"/>
      <c r="T360" s="6" t="n"/>
      <c r="U360" s="13" t="n"/>
      <c r="V360" s="27">
        <f>IF($C360="","",IF($E360="Falta","-",MAX(0,MIN(10,5+IFERROR(VALUE(TRIM(MID(SUBSTITUTE(SUBSTITUTE(SUBSTITUTE(UPPER($T360)," ",""),"P",""),";",REPT(" ",30)),1,30))),0)+IFERROR(VALUE(TRIM(MID(SUBSTITUTE(SUBSTITUTE(SUBSTITUTE(UPPER($T360)," ",""),"P",""),";",REPT(" ",30)),31,30))),0)+IFERROR(VALUE(TRIM(MID(SUBSTITUTE(SUBSTITUTE(SUBSTITUTE(UPPER($T360)," ",""),"P",""),";",REPT(" ",30)),61,30))),0)+IFERROR(VALUE(TRIM(MID(SUBSTITUTE(SUBSTITUTE(SUBSTITUTE(UPPER($T360)," ",""),"P",""),";",REPT(" ",30)),91,30))),0)+IFERROR(VALUE(TRIM(MID(SUBSTITUTE(SUBSTITUTE(SUBSTITUTE(UPPER($T360)," ",""),"P",""),";",REPT(" ",30)),121,30))),0)+IFERROR(VALUE(TRIM(MID(SUBSTITUTE(SUBSTITUTE(SUBSTITUTE(UPPER($T360)," ",""),"P",""),";",REPT(" ",30)),151,30))),0)+IFERROR(VALUE(TRIM(MID(SUBSTITUTE(SUBSTITUTE(SUBSTITUTE(UPPER($T360)," ",""),"P",""),";",REPT(" ",30)),181,30))),0)+IFERROR(VALUE(TRIM(MID(SUBSTITUTE(SUBSTITUTE(SUBSTITUTE(UPPER($T360)," ",""),"P",""),";",REPT(" ",30)),211,30))),0)))))</f>
        <v/>
      </c>
      <c r="W360" s="26" t="n"/>
      <c r="X360" s="13" t="n"/>
    </row>
    <row r="361">
      <c r="A361" s="6">
        <f>IF($C361="","",72)</f>
        <v/>
      </c>
      <c r="B361" s="6">
        <f>IF($C361="","","3ª Sessão")</f>
        <v/>
      </c>
      <c r="C361" s="6">
        <f>IF(Preenchimento!$B$81="","",Preenchimento!$B$81)</f>
        <v/>
      </c>
      <c r="D361" s="6">
        <f>IF($C361="","",IF(Preenchimento!$C$81="","-",Preenchimento!$C$81))</f>
        <v/>
      </c>
      <c r="E361" s="6" t="n"/>
      <c r="F361" s="6" t="n"/>
      <c r="G361" s="26" t="n"/>
      <c r="H361" s="6" t="n"/>
      <c r="I361" s="13" t="n"/>
      <c r="J361" s="27">
        <f>IF($C361="","",IF($E361="Falta","-",MAX(0,MIN(10,8+IFERROR(VALUE(TRIM(MID(SUBSTITUTE(SUBSTITUTE(SUBSTITUTE(UPPER($H361)," ",""),"D",""),";",REPT(" ",30)),1,30))),0)+IFERROR(VALUE(TRIM(MID(SUBSTITUTE(SUBSTITUTE(SUBSTITUTE(UPPER($H361)," ",""),"D",""),";",REPT(" ",30)),31,30))),0)+IFERROR(VALUE(TRIM(MID(SUBSTITUTE(SUBSTITUTE(SUBSTITUTE(UPPER($H361)," ",""),"D",""),";",REPT(" ",30)),61,30))),0)+IFERROR(VALUE(TRIM(MID(SUBSTITUTE(SUBSTITUTE(SUBSTITUTE(UPPER($H361)," ",""),"D",""),";",REPT(" ",30)),91,30))),0)+IFERROR(VALUE(TRIM(MID(SUBSTITUTE(SUBSTITUTE(SUBSTITUTE(UPPER($H361)," ",""),"D",""),";",REPT(" ",30)),121,30))),0)+IFERROR(VALUE(TRIM(MID(SUBSTITUTE(SUBSTITUTE(SUBSTITUTE(UPPER($H361)," ",""),"D",""),";",REPT(" ",30)),151,30))),0)+IFERROR(VALUE(TRIM(MID(SUBSTITUTE(SUBSTITUTE(SUBSTITUTE(UPPER($H361)," ",""),"D",""),";",REPT(" ",30)),181,30))),0)+IFERROR(VALUE(TRIM(MID(SUBSTITUTE(SUBSTITUTE(SUBSTITUTE(UPPER($H361)," ",""),"D",""),";",REPT(" ",30)),211,30))),0)))))</f>
        <v/>
      </c>
      <c r="K361" s="26" t="n"/>
      <c r="L361" s="6" t="n"/>
      <c r="M361" s="13" t="n"/>
      <c r="N361" s="27">
        <f>IF($C361="","",IF($E361="Falta","-",MAX(0,MIN(10,8+IFERROR(VALUE(TRIM(MID(SUBSTITUTE(SUBSTITUTE(SUBSTITUTE(UPPER($L361)," ",""),"F",""),";",REPT(" ",30)),1,30))),0)+IFERROR(VALUE(TRIM(MID(SUBSTITUTE(SUBSTITUTE(SUBSTITUTE(UPPER($L361)," ",""),"F",""),";",REPT(" ",30)),31,30))),0)+IFERROR(VALUE(TRIM(MID(SUBSTITUTE(SUBSTITUTE(SUBSTITUTE(UPPER($L361)," ",""),"F",""),";",REPT(" ",30)),61,30))),0)+IFERROR(VALUE(TRIM(MID(SUBSTITUTE(SUBSTITUTE(SUBSTITUTE(UPPER($L361)," ",""),"F",""),";",REPT(" ",30)),91,30))),0)+IFERROR(VALUE(TRIM(MID(SUBSTITUTE(SUBSTITUTE(SUBSTITUTE(UPPER($L361)," ",""),"F",""),";",REPT(" ",30)),121,30))),0)+IFERROR(VALUE(TRIM(MID(SUBSTITUTE(SUBSTITUTE(SUBSTITUTE(UPPER($L361)," ",""),"F",""),";",REPT(" ",30)),151,30))),0)+IFERROR(VALUE(TRIM(MID(SUBSTITUTE(SUBSTITUTE(SUBSTITUTE(UPPER($L361)," ",""),"F",""),";",REPT(" ",30)),181,30))),0)+IFERROR(VALUE(TRIM(MID(SUBSTITUTE(SUBSTITUTE(SUBSTITUTE(UPPER($L361)," ",""),"F",""),";",REPT(" ",30)),211,30))),0)))))</f>
        <v/>
      </c>
      <c r="O361" s="26" t="n"/>
      <c r="P361" s="6" t="n"/>
      <c r="Q361" s="13" t="n"/>
      <c r="R361" s="27">
        <f>IF($C361="","",IF($E361="Falta","-",MAX(0,MIN(10,5+IFERROR(VALUE(TRIM(MID(SUBSTITUTE(SUBSTITUTE(SUBSTITUTE(UPPER($P361)," ",""),"C",""),";",REPT(" ",30)),1,30))),0)+IFERROR(VALUE(TRIM(MID(SUBSTITUTE(SUBSTITUTE(SUBSTITUTE(UPPER($P361)," ",""),"C",""),";",REPT(" ",30)),31,30))),0)+IFERROR(VALUE(TRIM(MID(SUBSTITUTE(SUBSTITUTE(SUBSTITUTE(UPPER($P361)," ",""),"C",""),";",REPT(" ",30)),61,30))),0)+IFERROR(VALUE(TRIM(MID(SUBSTITUTE(SUBSTITUTE(SUBSTITUTE(UPPER($P361)," ",""),"C",""),";",REPT(" ",30)),91,30))),0)+IFERROR(VALUE(TRIM(MID(SUBSTITUTE(SUBSTITUTE(SUBSTITUTE(UPPER($P361)," ",""),"C",""),";",REPT(" ",30)),121,30))),0)+IFERROR(VALUE(TRIM(MID(SUBSTITUTE(SUBSTITUTE(SUBSTITUTE(UPPER($P361)," ",""),"C",""),";",REPT(" ",30)),151,30))),0)+IFERROR(VALUE(TRIM(MID(SUBSTITUTE(SUBSTITUTE(SUBSTITUTE(UPPER($P361)," ",""),"C",""),";",REPT(" ",30)),181,30))),0)+IFERROR(VALUE(TRIM(MID(SUBSTITUTE(SUBSTITUTE(SUBSTITUTE(UPPER($P361)," ",""),"C",""),";",REPT(" ",30)),211,30))),0)))))</f>
        <v/>
      </c>
      <c r="S361" s="26" t="n"/>
      <c r="T361" s="6" t="n"/>
      <c r="U361" s="13" t="n"/>
      <c r="V361" s="27">
        <f>IF($C361="","",IF($E361="Falta","-",MAX(0,MIN(10,5+IFERROR(VALUE(TRIM(MID(SUBSTITUTE(SUBSTITUTE(SUBSTITUTE(UPPER($T361)," ",""),"P",""),";",REPT(" ",30)),1,30))),0)+IFERROR(VALUE(TRIM(MID(SUBSTITUTE(SUBSTITUTE(SUBSTITUTE(UPPER($T361)," ",""),"P",""),";",REPT(" ",30)),31,30))),0)+IFERROR(VALUE(TRIM(MID(SUBSTITUTE(SUBSTITUTE(SUBSTITUTE(UPPER($T361)," ",""),"P",""),";",REPT(" ",30)),61,30))),0)+IFERROR(VALUE(TRIM(MID(SUBSTITUTE(SUBSTITUTE(SUBSTITUTE(UPPER($T361)," ",""),"P",""),";",REPT(" ",30)),91,30))),0)+IFERROR(VALUE(TRIM(MID(SUBSTITUTE(SUBSTITUTE(SUBSTITUTE(UPPER($T361)," ",""),"P",""),";",REPT(" ",30)),121,30))),0)+IFERROR(VALUE(TRIM(MID(SUBSTITUTE(SUBSTITUTE(SUBSTITUTE(UPPER($T361)," ",""),"P",""),";",REPT(" ",30)),151,30))),0)+IFERROR(VALUE(TRIM(MID(SUBSTITUTE(SUBSTITUTE(SUBSTITUTE(UPPER($T361)," ",""),"P",""),";",REPT(" ",30)),181,30))),0)+IFERROR(VALUE(TRIM(MID(SUBSTITUTE(SUBSTITUTE(SUBSTITUTE(UPPER($T361)," ",""),"P",""),";",REPT(" ",30)),211,30))),0)))))</f>
        <v/>
      </c>
      <c r="W361" s="26" t="n"/>
      <c r="X361" s="13" t="n"/>
    </row>
    <row r="362">
      <c r="A362" s="6">
        <f>IF($C362="","",72)</f>
        <v/>
      </c>
      <c r="B362" s="6">
        <f>IF($C362="","","4ª Sessão")</f>
        <v/>
      </c>
      <c r="C362" s="6">
        <f>IF(Preenchimento!$B$81="","",Preenchimento!$B$81)</f>
        <v/>
      </c>
      <c r="D362" s="6">
        <f>IF($C362="","",IF(Preenchimento!$C$81="","-",Preenchimento!$C$81))</f>
        <v/>
      </c>
      <c r="E362" s="6" t="n"/>
      <c r="F362" s="6" t="n"/>
      <c r="G362" s="26" t="n"/>
      <c r="H362" s="6" t="n"/>
      <c r="I362" s="13" t="n"/>
      <c r="J362" s="27">
        <f>IF($C362="","",IF($E362="Falta","-",MAX(0,MIN(10,8+IFERROR(VALUE(TRIM(MID(SUBSTITUTE(SUBSTITUTE(SUBSTITUTE(UPPER($H362)," ",""),"D",""),";",REPT(" ",30)),1,30))),0)+IFERROR(VALUE(TRIM(MID(SUBSTITUTE(SUBSTITUTE(SUBSTITUTE(UPPER($H362)," ",""),"D",""),";",REPT(" ",30)),31,30))),0)+IFERROR(VALUE(TRIM(MID(SUBSTITUTE(SUBSTITUTE(SUBSTITUTE(UPPER($H362)," ",""),"D",""),";",REPT(" ",30)),61,30))),0)+IFERROR(VALUE(TRIM(MID(SUBSTITUTE(SUBSTITUTE(SUBSTITUTE(UPPER($H362)," ",""),"D",""),";",REPT(" ",30)),91,30))),0)+IFERROR(VALUE(TRIM(MID(SUBSTITUTE(SUBSTITUTE(SUBSTITUTE(UPPER($H362)," ",""),"D",""),";",REPT(" ",30)),121,30))),0)+IFERROR(VALUE(TRIM(MID(SUBSTITUTE(SUBSTITUTE(SUBSTITUTE(UPPER($H362)," ",""),"D",""),";",REPT(" ",30)),151,30))),0)+IFERROR(VALUE(TRIM(MID(SUBSTITUTE(SUBSTITUTE(SUBSTITUTE(UPPER($H362)," ",""),"D",""),";",REPT(" ",30)),181,30))),0)+IFERROR(VALUE(TRIM(MID(SUBSTITUTE(SUBSTITUTE(SUBSTITUTE(UPPER($H362)," ",""),"D",""),";",REPT(" ",30)),211,30))),0)))))</f>
        <v/>
      </c>
      <c r="K362" s="26" t="n"/>
      <c r="L362" s="6" t="n"/>
      <c r="M362" s="13" t="n"/>
      <c r="N362" s="27">
        <f>IF($C362="","",IF($E362="Falta","-",MAX(0,MIN(10,8+IFERROR(VALUE(TRIM(MID(SUBSTITUTE(SUBSTITUTE(SUBSTITUTE(UPPER($L362)," ",""),"F",""),";",REPT(" ",30)),1,30))),0)+IFERROR(VALUE(TRIM(MID(SUBSTITUTE(SUBSTITUTE(SUBSTITUTE(UPPER($L362)," ",""),"F",""),";",REPT(" ",30)),31,30))),0)+IFERROR(VALUE(TRIM(MID(SUBSTITUTE(SUBSTITUTE(SUBSTITUTE(UPPER($L362)," ",""),"F",""),";",REPT(" ",30)),61,30))),0)+IFERROR(VALUE(TRIM(MID(SUBSTITUTE(SUBSTITUTE(SUBSTITUTE(UPPER($L362)," ",""),"F",""),";",REPT(" ",30)),91,30))),0)+IFERROR(VALUE(TRIM(MID(SUBSTITUTE(SUBSTITUTE(SUBSTITUTE(UPPER($L362)," ",""),"F",""),";",REPT(" ",30)),121,30))),0)+IFERROR(VALUE(TRIM(MID(SUBSTITUTE(SUBSTITUTE(SUBSTITUTE(UPPER($L362)," ",""),"F",""),";",REPT(" ",30)),151,30))),0)+IFERROR(VALUE(TRIM(MID(SUBSTITUTE(SUBSTITUTE(SUBSTITUTE(UPPER($L362)," ",""),"F",""),";",REPT(" ",30)),181,30))),0)+IFERROR(VALUE(TRIM(MID(SUBSTITUTE(SUBSTITUTE(SUBSTITUTE(UPPER($L362)," ",""),"F",""),";",REPT(" ",30)),211,30))),0)))))</f>
        <v/>
      </c>
      <c r="O362" s="26" t="n"/>
      <c r="P362" s="6" t="n"/>
      <c r="Q362" s="13" t="n"/>
      <c r="R362" s="27">
        <f>IF($C362="","",IF($E362="Falta","-",MAX(0,MIN(10,5+IFERROR(VALUE(TRIM(MID(SUBSTITUTE(SUBSTITUTE(SUBSTITUTE(UPPER($P362)," ",""),"C",""),";",REPT(" ",30)),1,30))),0)+IFERROR(VALUE(TRIM(MID(SUBSTITUTE(SUBSTITUTE(SUBSTITUTE(UPPER($P362)," ",""),"C",""),";",REPT(" ",30)),31,30))),0)+IFERROR(VALUE(TRIM(MID(SUBSTITUTE(SUBSTITUTE(SUBSTITUTE(UPPER($P362)," ",""),"C",""),";",REPT(" ",30)),61,30))),0)+IFERROR(VALUE(TRIM(MID(SUBSTITUTE(SUBSTITUTE(SUBSTITUTE(UPPER($P362)," ",""),"C",""),";",REPT(" ",30)),91,30))),0)+IFERROR(VALUE(TRIM(MID(SUBSTITUTE(SUBSTITUTE(SUBSTITUTE(UPPER($P362)," ",""),"C",""),";",REPT(" ",30)),121,30))),0)+IFERROR(VALUE(TRIM(MID(SUBSTITUTE(SUBSTITUTE(SUBSTITUTE(UPPER($P362)," ",""),"C",""),";",REPT(" ",30)),151,30))),0)+IFERROR(VALUE(TRIM(MID(SUBSTITUTE(SUBSTITUTE(SUBSTITUTE(UPPER($P362)," ",""),"C",""),";",REPT(" ",30)),181,30))),0)+IFERROR(VALUE(TRIM(MID(SUBSTITUTE(SUBSTITUTE(SUBSTITUTE(UPPER($P362)," ",""),"C",""),";",REPT(" ",30)),211,30))),0)))))</f>
        <v/>
      </c>
      <c r="S362" s="26" t="n"/>
      <c r="T362" s="6" t="n"/>
      <c r="U362" s="13" t="n"/>
      <c r="V362" s="27">
        <f>IF($C362="","",IF($E362="Falta","-",MAX(0,MIN(10,5+IFERROR(VALUE(TRIM(MID(SUBSTITUTE(SUBSTITUTE(SUBSTITUTE(UPPER($T362)," ",""),"P",""),";",REPT(" ",30)),1,30))),0)+IFERROR(VALUE(TRIM(MID(SUBSTITUTE(SUBSTITUTE(SUBSTITUTE(UPPER($T362)," ",""),"P",""),";",REPT(" ",30)),31,30))),0)+IFERROR(VALUE(TRIM(MID(SUBSTITUTE(SUBSTITUTE(SUBSTITUTE(UPPER($T362)," ",""),"P",""),";",REPT(" ",30)),61,30))),0)+IFERROR(VALUE(TRIM(MID(SUBSTITUTE(SUBSTITUTE(SUBSTITUTE(UPPER($T362)," ",""),"P",""),";",REPT(" ",30)),91,30))),0)+IFERROR(VALUE(TRIM(MID(SUBSTITUTE(SUBSTITUTE(SUBSTITUTE(UPPER($T362)," ",""),"P",""),";",REPT(" ",30)),121,30))),0)+IFERROR(VALUE(TRIM(MID(SUBSTITUTE(SUBSTITUTE(SUBSTITUTE(UPPER($T362)," ",""),"P",""),";",REPT(" ",30)),151,30))),0)+IFERROR(VALUE(TRIM(MID(SUBSTITUTE(SUBSTITUTE(SUBSTITUTE(UPPER($T362)," ",""),"P",""),";",REPT(" ",30)),181,30))),0)+IFERROR(VALUE(TRIM(MID(SUBSTITUTE(SUBSTITUTE(SUBSTITUTE(UPPER($T362)," ",""),"P",""),";",REPT(" ",30)),211,30))),0)))))</f>
        <v/>
      </c>
      <c r="W362" s="26" t="n"/>
      <c r="X362" s="13" t="n"/>
    </row>
    <row r="363">
      <c r="A363" s="6">
        <f>IF($C363="","",72)</f>
        <v/>
      </c>
      <c r="B363" s="6">
        <f>IF($C363="","","5ª Sessão")</f>
        <v/>
      </c>
      <c r="C363" s="6">
        <f>IF(Preenchimento!$B$81="","",Preenchimento!$B$81)</f>
        <v/>
      </c>
      <c r="D363" s="6">
        <f>IF($C363="","",IF(Preenchimento!$C$81="","-",Preenchimento!$C$81))</f>
        <v/>
      </c>
      <c r="E363" s="6" t="n"/>
      <c r="F363" s="6" t="n"/>
      <c r="G363" s="26" t="n"/>
      <c r="H363" s="6" t="n"/>
      <c r="I363" s="13" t="n"/>
      <c r="J363" s="27">
        <f>IF($C363="","",IF($E363="Falta","-",MAX(0,MIN(10,8+IFERROR(VALUE(TRIM(MID(SUBSTITUTE(SUBSTITUTE(SUBSTITUTE(UPPER($H363)," ",""),"D",""),";",REPT(" ",30)),1,30))),0)+IFERROR(VALUE(TRIM(MID(SUBSTITUTE(SUBSTITUTE(SUBSTITUTE(UPPER($H363)," ",""),"D",""),";",REPT(" ",30)),31,30))),0)+IFERROR(VALUE(TRIM(MID(SUBSTITUTE(SUBSTITUTE(SUBSTITUTE(UPPER($H363)," ",""),"D",""),";",REPT(" ",30)),61,30))),0)+IFERROR(VALUE(TRIM(MID(SUBSTITUTE(SUBSTITUTE(SUBSTITUTE(UPPER($H363)," ",""),"D",""),";",REPT(" ",30)),91,30))),0)+IFERROR(VALUE(TRIM(MID(SUBSTITUTE(SUBSTITUTE(SUBSTITUTE(UPPER($H363)," ",""),"D",""),";",REPT(" ",30)),121,30))),0)+IFERROR(VALUE(TRIM(MID(SUBSTITUTE(SUBSTITUTE(SUBSTITUTE(UPPER($H363)," ",""),"D",""),";",REPT(" ",30)),151,30))),0)+IFERROR(VALUE(TRIM(MID(SUBSTITUTE(SUBSTITUTE(SUBSTITUTE(UPPER($H363)," ",""),"D",""),";",REPT(" ",30)),181,30))),0)+IFERROR(VALUE(TRIM(MID(SUBSTITUTE(SUBSTITUTE(SUBSTITUTE(UPPER($H363)," ",""),"D",""),";",REPT(" ",30)),211,30))),0)))))</f>
        <v/>
      </c>
      <c r="K363" s="26" t="n"/>
      <c r="L363" s="6" t="n"/>
      <c r="M363" s="13" t="n"/>
      <c r="N363" s="27">
        <f>IF($C363="","",IF($E363="Falta","-",MAX(0,MIN(10,8+IFERROR(VALUE(TRIM(MID(SUBSTITUTE(SUBSTITUTE(SUBSTITUTE(UPPER($L363)," ",""),"F",""),";",REPT(" ",30)),1,30))),0)+IFERROR(VALUE(TRIM(MID(SUBSTITUTE(SUBSTITUTE(SUBSTITUTE(UPPER($L363)," ",""),"F",""),";",REPT(" ",30)),31,30))),0)+IFERROR(VALUE(TRIM(MID(SUBSTITUTE(SUBSTITUTE(SUBSTITUTE(UPPER($L363)," ",""),"F",""),";",REPT(" ",30)),61,30))),0)+IFERROR(VALUE(TRIM(MID(SUBSTITUTE(SUBSTITUTE(SUBSTITUTE(UPPER($L363)," ",""),"F",""),";",REPT(" ",30)),91,30))),0)+IFERROR(VALUE(TRIM(MID(SUBSTITUTE(SUBSTITUTE(SUBSTITUTE(UPPER($L363)," ",""),"F",""),";",REPT(" ",30)),121,30))),0)+IFERROR(VALUE(TRIM(MID(SUBSTITUTE(SUBSTITUTE(SUBSTITUTE(UPPER($L363)," ",""),"F",""),";",REPT(" ",30)),151,30))),0)+IFERROR(VALUE(TRIM(MID(SUBSTITUTE(SUBSTITUTE(SUBSTITUTE(UPPER($L363)," ",""),"F",""),";",REPT(" ",30)),181,30))),0)+IFERROR(VALUE(TRIM(MID(SUBSTITUTE(SUBSTITUTE(SUBSTITUTE(UPPER($L363)," ",""),"F",""),";",REPT(" ",30)),211,30))),0)))))</f>
        <v/>
      </c>
      <c r="O363" s="26" t="n"/>
      <c r="P363" s="6" t="n"/>
      <c r="Q363" s="13" t="n"/>
      <c r="R363" s="27">
        <f>IF($C363="","",IF($E363="Falta","-",MAX(0,MIN(10,5+IFERROR(VALUE(TRIM(MID(SUBSTITUTE(SUBSTITUTE(SUBSTITUTE(UPPER($P363)," ",""),"C",""),";",REPT(" ",30)),1,30))),0)+IFERROR(VALUE(TRIM(MID(SUBSTITUTE(SUBSTITUTE(SUBSTITUTE(UPPER($P363)," ",""),"C",""),";",REPT(" ",30)),31,30))),0)+IFERROR(VALUE(TRIM(MID(SUBSTITUTE(SUBSTITUTE(SUBSTITUTE(UPPER($P363)," ",""),"C",""),";",REPT(" ",30)),61,30))),0)+IFERROR(VALUE(TRIM(MID(SUBSTITUTE(SUBSTITUTE(SUBSTITUTE(UPPER($P363)," ",""),"C",""),";",REPT(" ",30)),91,30))),0)+IFERROR(VALUE(TRIM(MID(SUBSTITUTE(SUBSTITUTE(SUBSTITUTE(UPPER($P363)," ",""),"C",""),";",REPT(" ",30)),121,30))),0)+IFERROR(VALUE(TRIM(MID(SUBSTITUTE(SUBSTITUTE(SUBSTITUTE(UPPER($P363)," ",""),"C",""),";",REPT(" ",30)),151,30))),0)+IFERROR(VALUE(TRIM(MID(SUBSTITUTE(SUBSTITUTE(SUBSTITUTE(UPPER($P363)," ",""),"C",""),";",REPT(" ",30)),181,30))),0)+IFERROR(VALUE(TRIM(MID(SUBSTITUTE(SUBSTITUTE(SUBSTITUTE(UPPER($P363)," ",""),"C",""),";",REPT(" ",30)),211,30))),0)))))</f>
        <v/>
      </c>
      <c r="S363" s="26" t="n"/>
      <c r="T363" s="6" t="n"/>
      <c r="U363" s="13" t="n"/>
      <c r="V363" s="27">
        <f>IF($C363="","",IF($E363="Falta","-",MAX(0,MIN(10,5+IFERROR(VALUE(TRIM(MID(SUBSTITUTE(SUBSTITUTE(SUBSTITUTE(UPPER($T363)," ",""),"P",""),";",REPT(" ",30)),1,30))),0)+IFERROR(VALUE(TRIM(MID(SUBSTITUTE(SUBSTITUTE(SUBSTITUTE(UPPER($T363)," ",""),"P",""),";",REPT(" ",30)),31,30))),0)+IFERROR(VALUE(TRIM(MID(SUBSTITUTE(SUBSTITUTE(SUBSTITUTE(UPPER($T363)," ",""),"P",""),";",REPT(" ",30)),61,30))),0)+IFERROR(VALUE(TRIM(MID(SUBSTITUTE(SUBSTITUTE(SUBSTITUTE(UPPER($T363)," ",""),"P",""),";",REPT(" ",30)),91,30))),0)+IFERROR(VALUE(TRIM(MID(SUBSTITUTE(SUBSTITUTE(SUBSTITUTE(UPPER($T363)," ",""),"P",""),";",REPT(" ",30)),121,30))),0)+IFERROR(VALUE(TRIM(MID(SUBSTITUTE(SUBSTITUTE(SUBSTITUTE(UPPER($T363)," ",""),"P",""),";",REPT(" ",30)),151,30))),0)+IFERROR(VALUE(TRIM(MID(SUBSTITUTE(SUBSTITUTE(SUBSTITUTE(UPPER($T363)," ",""),"P",""),";",REPT(" ",30)),181,30))),0)+IFERROR(VALUE(TRIM(MID(SUBSTITUTE(SUBSTITUTE(SUBSTITUTE(UPPER($T363)," ",""),"P",""),";",REPT(" ",30)),211,30))),0)))))</f>
        <v/>
      </c>
      <c r="W363" s="26" t="n"/>
      <c r="X363" s="13" t="n"/>
    </row>
    <row r="364">
      <c r="A364" s="8">
        <f>IF($C364="","",73)</f>
        <v/>
      </c>
      <c r="B364" s="8">
        <f>IF($C364="","","1ª Sessão")</f>
        <v/>
      </c>
      <c r="C364" s="8">
        <f>IF(Preenchimento!$B$82="","",Preenchimento!$B$82)</f>
        <v/>
      </c>
      <c r="D364" s="8">
        <f>IF($C364="","",IF(Preenchimento!$C$82="","-",Preenchimento!$C$82))</f>
        <v/>
      </c>
      <c r="E364" s="8" t="n"/>
      <c r="F364" s="8" t="n"/>
      <c r="G364" s="24" t="n"/>
      <c r="H364" s="8" t="n"/>
      <c r="I364" s="14" t="n"/>
      <c r="J364" s="25">
        <f>IF($C364="","",IF($E364="Falta","-",MAX(0,MIN(10,8+IFERROR(VALUE(TRIM(MID(SUBSTITUTE(SUBSTITUTE(SUBSTITUTE(UPPER($H364)," ",""),"D",""),";",REPT(" ",30)),1,30))),0)+IFERROR(VALUE(TRIM(MID(SUBSTITUTE(SUBSTITUTE(SUBSTITUTE(UPPER($H364)," ",""),"D",""),";",REPT(" ",30)),31,30))),0)+IFERROR(VALUE(TRIM(MID(SUBSTITUTE(SUBSTITUTE(SUBSTITUTE(UPPER($H364)," ",""),"D",""),";",REPT(" ",30)),61,30))),0)+IFERROR(VALUE(TRIM(MID(SUBSTITUTE(SUBSTITUTE(SUBSTITUTE(UPPER($H364)," ",""),"D",""),";",REPT(" ",30)),91,30))),0)+IFERROR(VALUE(TRIM(MID(SUBSTITUTE(SUBSTITUTE(SUBSTITUTE(UPPER($H364)," ",""),"D",""),";",REPT(" ",30)),121,30))),0)+IFERROR(VALUE(TRIM(MID(SUBSTITUTE(SUBSTITUTE(SUBSTITUTE(UPPER($H364)," ",""),"D",""),";",REPT(" ",30)),151,30))),0)+IFERROR(VALUE(TRIM(MID(SUBSTITUTE(SUBSTITUTE(SUBSTITUTE(UPPER($H364)," ",""),"D",""),";",REPT(" ",30)),181,30))),0)+IFERROR(VALUE(TRIM(MID(SUBSTITUTE(SUBSTITUTE(SUBSTITUTE(UPPER($H364)," ",""),"D",""),";",REPT(" ",30)),211,30))),0)))))</f>
        <v/>
      </c>
      <c r="K364" s="24" t="n"/>
      <c r="L364" s="8" t="n"/>
      <c r="M364" s="14" t="n"/>
      <c r="N364" s="25">
        <f>IF($C364="","",IF($E364="Falta","-",MAX(0,MIN(10,8+IFERROR(VALUE(TRIM(MID(SUBSTITUTE(SUBSTITUTE(SUBSTITUTE(UPPER($L364)," ",""),"F",""),";",REPT(" ",30)),1,30))),0)+IFERROR(VALUE(TRIM(MID(SUBSTITUTE(SUBSTITUTE(SUBSTITUTE(UPPER($L364)," ",""),"F",""),";",REPT(" ",30)),31,30))),0)+IFERROR(VALUE(TRIM(MID(SUBSTITUTE(SUBSTITUTE(SUBSTITUTE(UPPER($L364)," ",""),"F",""),";",REPT(" ",30)),61,30))),0)+IFERROR(VALUE(TRIM(MID(SUBSTITUTE(SUBSTITUTE(SUBSTITUTE(UPPER($L364)," ",""),"F",""),";",REPT(" ",30)),91,30))),0)+IFERROR(VALUE(TRIM(MID(SUBSTITUTE(SUBSTITUTE(SUBSTITUTE(UPPER($L364)," ",""),"F",""),";",REPT(" ",30)),121,30))),0)+IFERROR(VALUE(TRIM(MID(SUBSTITUTE(SUBSTITUTE(SUBSTITUTE(UPPER($L364)," ",""),"F",""),";",REPT(" ",30)),151,30))),0)+IFERROR(VALUE(TRIM(MID(SUBSTITUTE(SUBSTITUTE(SUBSTITUTE(UPPER($L364)," ",""),"F",""),";",REPT(" ",30)),181,30))),0)+IFERROR(VALUE(TRIM(MID(SUBSTITUTE(SUBSTITUTE(SUBSTITUTE(UPPER($L364)," ",""),"F",""),";",REPT(" ",30)),211,30))),0)))))</f>
        <v/>
      </c>
      <c r="O364" s="24" t="n"/>
      <c r="P364" s="8" t="n"/>
      <c r="Q364" s="14" t="n"/>
      <c r="R364" s="25">
        <f>IF($C364="","",IF($E364="Falta","-",MAX(0,MIN(10,5+IFERROR(VALUE(TRIM(MID(SUBSTITUTE(SUBSTITUTE(SUBSTITUTE(UPPER($P364)," ",""),"C",""),";",REPT(" ",30)),1,30))),0)+IFERROR(VALUE(TRIM(MID(SUBSTITUTE(SUBSTITUTE(SUBSTITUTE(UPPER($P364)," ",""),"C",""),";",REPT(" ",30)),31,30))),0)+IFERROR(VALUE(TRIM(MID(SUBSTITUTE(SUBSTITUTE(SUBSTITUTE(UPPER($P364)," ",""),"C",""),";",REPT(" ",30)),61,30))),0)+IFERROR(VALUE(TRIM(MID(SUBSTITUTE(SUBSTITUTE(SUBSTITUTE(UPPER($P364)," ",""),"C",""),";",REPT(" ",30)),91,30))),0)+IFERROR(VALUE(TRIM(MID(SUBSTITUTE(SUBSTITUTE(SUBSTITUTE(UPPER($P364)," ",""),"C",""),";",REPT(" ",30)),121,30))),0)+IFERROR(VALUE(TRIM(MID(SUBSTITUTE(SUBSTITUTE(SUBSTITUTE(UPPER($P364)," ",""),"C",""),";",REPT(" ",30)),151,30))),0)+IFERROR(VALUE(TRIM(MID(SUBSTITUTE(SUBSTITUTE(SUBSTITUTE(UPPER($P364)," ",""),"C",""),";",REPT(" ",30)),181,30))),0)+IFERROR(VALUE(TRIM(MID(SUBSTITUTE(SUBSTITUTE(SUBSTITUTE(UPPER($P364)," ",""),"C",""),";",REPT(" ",30)),211,30))),0)))))</f>
        <v/>
      </c>
      <c r="S364" s="24" t="n"/>
      <c r="T364" s="8" t="n"/>
      <c r="U364" s="14" t="n"/>
      <c r="V364" s="25">
        <f>IF($C364="","",IF($E364="Falta","-",MAX(0,MIN(10,5+IFERROR(VALUE(TRIM(MID(SUBSTITUTE(SUBSTITUTE(SUBSTITUTE(UPPER($T364)," ",""),"P",""),";",REPT(" ",30)),1,30))),0)+IFERROR(VALUE(TRIM(MID(SUBSTITUTE(SUBSTITUTE(SUBSTITUTE(UPPER($T364)," ",""),"P",""),";",REPT(" ",30)),31,30))),0)+IFERROR(VALUE(TRIM(MID(SUBSTITUTE(SUBSTITUTE(SUBSTITUTE(UPPER($T364)," ",""),"P",""),";",REPT(" ",30)),61,30))),0)+IFERROR(VALUE(TRIM(MID(SUBSTITUTE(SUBSTITUTE(SUBSTITUTE(UPPER($T364)," ",""),"P",""),";",REPT(" ",30)),91,30))),0)+IFERROR(VALUE(TRIM(MID(SUBSTITUTE(SUBSTITUTE(SUBSTITUTE(UPPER($T364)," ",""),"P",""),";",REPT(" ",30)),121,30))),0)+IFERROR(VALUE(TRIM(MID(SUBSTITUTE(SUBSTITUTE(SUBSTITUTE(UPPER($T364)," ",""),"P",""),";",REPT(" ",30)),151,30))),0)+IFERROR(VALUE(TRIM(MID(SUBSTITUTE(SUBSTITUTE(SUBSTITUTE(UPPER($T364)," ",""),"P",""),";",REPT(" ",30)),181,30))),0)+IFERROR(VALUE(TRIM(MID(SUBSTITUTE(SUBSTITUTE(SUBSTITUTE(UPPER($T364)," ",""),"P",""),";",REPT(" ",30)),211,30))),0)))))</f>
        <v/>
      </c>
      <c r="W364" s="24" t="n"/>
      <c r="X364" s="14" t="n"/>
    </row>
    <row r="365">
      <c r="A365" s="8">
        <f>IF($C365="","",73)</f>
        <v/>
      </c>
      <c r="B365" s="8">
        <f>IF($C365="","","2ª Sessão")</f>
        <v/>
      </c>
      <c r="C365" s="8">
        <f>IF(Preenchimento!$B$82="","",Preenchimento!$B$82)</f>
        <v/>
      </c>
      <c r="D365" s="8">
        <f>IF($C365="","",IF(Preenchimento!$C$82="","-",Preenchimento!$C$82))</f>
        <v/>
      </c>
      <c r="E365" s="8" t="n"/>
      <c r="F365" s="8" t="n"/>
      <c r="G365" s="24" t="n"/>
      <c r="H365" s="8" t="n"/>
      <c r="I365" s="14" t="n"/>
      <c r="J365" s="25">
        <f>IF($C365="","",IF($E365="Falta","-",MAX(0,MIN(10,8+IFERROR(VALUE(TRIM(MID(SUBSTITUTE(SUBSTITUTE(SUBSTITUTE(UPPER($H365)," ",""),"D",""),";",REPT(" ",30)),1,30))),0)+IFERROR(VALUE(TRIM(MID(SUBSTITUTE(SUBSTITUTE(SUBSTITUTE(UPPER($H365)," ",""),"D",""),";",REPT(" ",30)),31,30))),0)+IFERROR(VALUE(TRIM(MID(SUBSTITUTE(SUBSTITUTE(SUBSTITUTE(UPPER($H365)," ",""),"D",""),";",REPT(" ",30)),61,30))),0)+IFERROR(VALUE(TRIM(MID(SUBSTITUTE(SUBSTITUTE(SUBSTITUTE(UPPER($H365)," ",""),"D",""),";",REPT(" ",30)),91,30))),0)+IFERROR(VALUE(TRIM(MID(SUBSTITUTE(SUBSTITUTE(SUBSTITUTE(UPPER($H365)," ",""),"D",""),";",REPT(" ",30)),121,30))),0)+IFERROR(VALUE(TRIM(MID(SUBSTITUTE(SUBSTITUTE(SUBSTITUTE(UPPER($H365)," ",""),"D",""),";",REPT(" ",30)),151,30))),0)+IFERROR(VALUE(TRIM(MID(SUBSTITUTE(SUBSTITUTE(SUBSTITUTE(UPPER($H365)," ",""),"D",""),";",REPT(" ",30)),181,30))),0)+IFERROR(VALUE(TRIM(MID(SUBSTITUTE(SUBSTITUTE(SUBSTITUTE(UPPER($H365)," ",""),"D",""),";",REPT(" ",30)),211,30))),0)))))</f>
        <v/>
      </c>
      <c r="K365" s="24" t="n"/>
      <c r="L365" s="8" t="n"/>
      <c r="M365" s="14" t="n"/>
      <c r="N365" s="25">
        <f>IF($C365="","",IF($E365="Falta","-",MAX(0,MIN(10,8+IFERROR(VALUE(TRIM(MID(SUBSTITUTE(SUBSTITUTE(SUBSTITUTE(UPPER($L365)," ",""),"F",""),";",REPT(" ",30)),1,30))),0)+IFERROR(VALUE(TRIM(MID(SUBSTITUTE(SUBSTITUTE(SUBSTITUTE(UPPER($L365)," ",""),"F",""),";",REPT(" ",30)),31,30))),0)+IFERROR(VALUE(TRIM(MID(SUBSTITUTE(SUBSTITUTE(SUBSTITUTE(UPPER($L365)," ",""),"F",""),";",REPT(" ",30)),61,30))),0)+IFERROR(VALUE(TRIM(MID(SUBSTITUTE(SUBSTITUTE(SUBSTITUTE(UPPER($L365)," ",""),"F",""),";",REPT(" ",30)),91,30))),0)+IFERROR(VALUE(TRIM(MID(SUBSTITUTE(SUBSTITUTE(SUBSTITUTE(UPPER($L365)," ",""),"F",""),";",REPT(" ",30)),121,30))),0)+IFERROR(VALUE(TRIM(MID(SUBSTITUTE(SUBSTITUTE(SUBSTITUTE(UPPER($L365)," ",""),"F",""),";",REPT(" ",30)),151,30))),0)+IFERROR(VALUE(TRIM(MID(SUBSTITUTE(SUBSTITUTE(SUBSTITUTE(UPPER($L365)," ",""),"F",""),";",REPT(" ",30)),181,30))),0)+IFERROR(VALUE(TRIM(MID(SUBSTITUTE(SUBSTITUTE(SUBSTITUTE(UPPER($L365)," ",""),"F",""),";",REPT(" ",30)),211,30))),0)))))</f>
        <v/>
      </c>
      <c r="O365" s="24" t="n"/>
      <c r="P365" s="8" t="n"/>
      <c r="Q365" s="14" t="n"/>
      <c r="R365" s="25">
        <f>IF($C365="","",IF($E365="Falta","-",MAX(0,MIN(10,5+IFERROR(VALUE(TRIM(MID(SUBSTITUTE(SUBSTITUTE(SUBSTITUTE(UPPER($P365)," ",""),"C",""),";",REPT(" ",30)),1,30))),0)+IFERROR(VALUE(TRIM(MID(SUBSTITUTE(SUBSTITUTE(SUBSTITUTE(UPPER($P365)," ",""),"C",""),";",REPT(" ",30)),31,30))),0)+IFERROR(VALUE(TRIM(MID(SUBSTITUTE(SUBSTITUTE(SUBSTITUTE(UPPER($P365)," ",""),"C",""),";",REPT(" ",30)),61,30))),0)+IFERROR(VALUE(TRIM(MID(SUBSTITUTE(SUBSTITUTE(SUBSTITUTE(UPPER($P365)," ",""),"C",""),";",REPT(" ",30)),91,30))),0)+IFERROR(VALUE(TRIM(MID(SUBSTITUTE(SUBSTITUTE(SUBSTITUTE(UPPER($P365)," ",""),"C",""),";",REPT(" ",30)),121,30))),0)+IFERROR(VALUE(TRIM(MID(SUBSTITUTE(SUBSTITUTE(SUBSTITUTE(UPPER($P365)," ",""),"C",""),";",REPT(" ",30)),151,30))),0)+IFERROR(VALUE(TRIM(MID(SUBSTITUTE(SUBSTITUTE(SUBSTITUTE(UPPER($P365)," ",""),"C",""),";",REPT(" ",30)),181,30))),0)+IFERROR(VALUE(TRIM(MID(SUBSTITUTE(SUBSTITUTE(SUBSTITUTE(UPPER($P365)," ",""),"C",""),";",REPT(" ",30)),211,30))),0)))))</f>
        <v/>
      </c>
      <c r="S365" s="24" t="n"/>
      <c r="T365" s="8" t="n"/>
      <c r="U365" s="14" t="n"/>
      <c r="V365" s="25">
        <f>IF($C365="","",IF($E365="Falta","-",MAX(0,MIN(10,5+IFERROR(VALUE(TRIM(MID(SUBSTITUTE(SUBSTITUTE(SUBSTITUTE(UPPER($T365)," ",""),"P",""),";",REPT(" ",30)),1,30))),0)+IFERROR(VALUE(TRIM(MID(SUBSTITUTE(SUBSTITUTE(SUBSTITUTE(UPPER($T365)," ",""),"P",""),";",REPT(" ",30)),31,30))),0)+IFERROR(VALUE(TRIM(MID(SUBSTITUTE(SUBSTITUTE(SUBSTITUTE(UPPER($T365)," ",""),"P",""),";",REPT(" ",30)),61,30))),0)+IFERROR(VALUE(TRIM(MID(SUBSTITUTE(SUBSTITUTE(SUBSTITUTE(UPPER($T365)," ",""),"P",""),";",REPT(" ",30)),91,30))),0)+IFERROR(VALUE(TRIM(MID(SUBSTITUTE(SUBSTITUTE(SUBSTITUTE(UPPER($T365)," ",""),"P",""),";",REPT(" ",30)),121,30))),0)+IFERROR(VALUE(TRIM(MID(SUBSTITUTE(SUBSTITUTE(SUBSTITUTE(UPPER($T365)," ",""),"P",""),";",REPT(" ",30)),151,30))),0)+IFERROR(VALUE(TRIM(MID(SUBSTITUTE(SUBSTITUTE(SUBSTITUTE(UPPER($T365)," ",""),"P",""),";",REPT(" ",30)),181,30))),0)+IFERROR(VALUE(TRIM(MID(SUBSTITUTE(SUBSTITUTE(SUBSTITUTE(UPPER($T365)," ",""),"P",""),";",REPT(" ",30)),211,30))),0)))))</f>
        <v/>
      </c>
      <c r="W365" s="24" t="n"/>
      <c r="X365" s="14" t="n"/>
    </row>
    <row r="366">
      <c r="A366" s="8">
        <f>IF($C366="","",73)</f>
        <v/>
      </c>
      <c r="B366" s="8">
        <f>IF($C366="","","3ª Sessão")</f>
        <v/>
      </c>
      <c r="C366" s="8">
        <f>IF(Preenchimento!$B$82="","",Preenchimento!$B$82)</f>
        <v/>
      </c>
      <c r="D366" s="8">
        <f>IF($C366="","",IF(Preenchimento!$C$82="","-",Preenchimento!$C$82))</f>
        <v/>
      </c>
      <c r="E366" s="8" t="n"/>
      <c r="F366" s="8" t="n"/>
      <c r="G366" s="24" t="n"/>
      <c r="H366" s="8" t="n"/>
      <c r="I366" s="14" t="n"/>
      <c r="J366" s="25">
        <f>IF($C366="","",IF($E366="Falta","-",MAX(0,MIN(10,8+IFERROR(VALUE(TRIM(MID(SUBSTITUTE(SUBSTITUTE(SUBSTITUTE(UPPER($H366)," ",""),"D",""),";",REPT(" ",30)),1,30))),0)+IFERROR(VALUE(TRIM(MID(SUBSTITUTE(SUBSTITUTE(SUBSTITUTE(UPPER($H366)," ",""),"D",""),";",REPT(" ",30)),31,30))),0)+IFERROR(VALUE(TRIM(MID(SUBSTITUTE(SUBSTITUTE(SUBSTITUTE(UPPER($H366)," ",""),"D",""),";",REPT(" ",30)),61,30))),0)+IFERROR(VALUE(TRIM(MID(SUBSTITUTE(SUBSTITUTE(SUBSTITUTE(UPPER($H366)," ",""),"D",""),";",REPT(" ",30)),91,30))),0)+IFERROR(VALUE(TRIM(MID(SUBSTITUTE(SUBSTITUTE(SUBSTITUTE(UPPER($H366)," ",""),"D",""),";",REPT(" ",30)),121,30))),0)+IFERROR(VALUE(TRIM(MID(SUBSTITUTE(SUBSTITUTE(SUBSTITUTE(UPPER($H366)," ",""),"D",""),";",REPT(" ",30)),151,30))),0)+IFERROR(VALUE(TRIM(MID(SUBSTITUTE(SUBSTITUTE(SUBSTITUTE(UPPER($H366)," ",""),"D",""),";",REPT(" ",30)),181,30))),0)+IFERROR(VALUE(TRIM(MID(SUBSTITUTE(SUBSTITUTE(SUBSTITUTE(UPPER($H366)," ",""),"D",""),";",REPT(" ",30)),211,30))),0)))))</f>
        <v/>
      </c>
      <c r="K366" s="24" t="n"/>
      <c r="L366" s="8" t="n"/>
      <c r="M366" s="14" t="n"/>
      <c r="N366" s="25">
        <f>IF($C366="","",IF($E366="Falta","-",MAX(0,MIN(10,8+IFERROR(VALUE(TRIM(MID(SUBSTITUTE(SUBSTITUTE(SUBSTITUTE(UPPER($L366)," ",""),"F",""),";",REPT(" ",30)),1,30))),0)+IFERROR(VALUE(TRIM(MID(SUBSTITUTE(SUBSTITUTE(SUBSTITUTE(UPPER($L366)," ",""),"F",""),";",REPT(" ",30)),31,30))),0)+IFERROR(VALUE(TRIM(MID(SUBSTITUTE(SUBSTITUTE(SUBSTITUTE(UPPER($L366)," ",""),"F",""),";",REPT(" ",30)),61,30))),0)+IFERROR(VALUE(TRIM(MID(SUBSTITUTE(SUBSTITUTE(SUBSTITUTE(UPPER($L366)," ",""),"F",""),";",REPT(" ",30)),91,30))),0)+IFERROR(VALUE(TRIM(MID(SUBSTITUTE(SUBSTITUTE(SUBSTITUTE(UPPER($L366)," ",""),"F",""),";",REPT(" ",30)),121,30))),0)+IFERROR(VALUE(TRIM(MID(SUBSTITUTE(SUBSTITUTE(SUBSTITUTE(UPPER($L366)," ",""),"F",""),";",REPT(" ",30)),151,30))),0)+IFERROR(VALUE(TRIM(MID(SUBSTITUTE(SUBSTITUTE(SUBSTITUTE(UPPER($L366)," ",""),"F",""),";",REPT(" ",30)),181,30))),0)+IFERROR(VALUE(TRIM(MID(SUBSTITUTE(SUBSTITUTE(SUBSTITUTE(UPPER($L366)," ",""),"F",""),";",REPT(" ",30)),211,30))),0)))))</f>
        <v/>
      </c>
      <c r="O366" s="24" t="n"/>
      <c r="P366" s="8" t="n"/>
      <c r="Q366" s="14" t="n"/>
      <c r="R366" s="25">
        <f>IF($C366="","",IF($E366="Falta","-",MAX(0,MIN(10,5+IFERROR(VALUE(TRIM(MID(SUBSTITUTE(SUBSTITUTE(SUBSTITUTE(UPPER($P366)," ",""),"C",""),";",REPT(" ",30)),1,30))),0)+IFERROR(VALUE(TRIM(MID(SUBSTITUTE(SUBSTITUTE(SUBSTITUTE(UPPER($P366)," ",""),"C",""),";",REPT(" ",30)),31,30))),0)+IFERROR(VALUE(TRIM(MID(SUBSTITUTE(SUBSTITUTE(SUBSTITUTE(UPPER($P366)," ",""),"C",""),";",REPT(" ",30)),61,30))),0)+IFERROR(VALUE(TRIM(MID(SUBSTITUTE(SUBSTITUTE(SUBSTITUTE(UPPER($P366)," ",""),"C",""),";",REPT(" ",30)),91,30))),0)+IFERROR(VALUE(TRIM(MID(SUBSTITUTE(SUBSTITUTE(SUBSTITUTE(UPPER($P366)," ",""),"C",""),";",REPT(" ",30)),121,30))),0)+IFERROR(VALUE(TRIM(MID(SUBSTITUTE(SUBSTITUTE(SUBSTITUTE(UPPER($P366)," ",""),"C",""),";",REPT(" ",30)),151,30))),0)+IFERROR(VALUE(TRIM(MID(SUBSTITUTE(SUBSTITUTE(SUBSTITUTE(UPPER($P366)," ",""),"C",""),";",REPT(" ",30)),181,30))),0)+IFERROR(VALUE(TRIM(MID(SUBSTITUTE(SUBSTITUTE(SUBSTITUTE(UPPER($P366)," ",""),"C",""),";",REPT(" ",30)),211,30))),0)))))</f>
        <v/>
      </c>
      <c r="S366" s="24" t="n"/>
      <c r="T366" s="8" t="n"/>
      <c r="U366" s="14" t="n"/>
      <c r="V366" s="25">
        <f>IF($C366="","",IF($E366="Falta","-",MAX(0,MIN(10,5+IFERROR(VALUE(TRIM(MID(SUBSTITUTE(SUBSTITUTE(SUBSTITUTE(UPPER($T366)," ",""),"P",""),";",REPT(" ",30)),1,30))),0)+IFERROR(VALUE(TRIM(MID(SUBSTITUTE(SUBSTITUTE(SUBSTITUTE(UPPER($T366)," ",""),"P",""),";",REPT(" ",30)),31,30))),0)+IFERROR(VALUE(TRIM(MID(SUBSTITUTE(SUBSTITUTE(SUBSTITUTE(UPPER($T366)," ",""),"P",""),";",REPT(" ",30)),61,30))),0)+IFERROR(VALUE(TRIM(MID(SUBSTITUTE(SUBSTITUTE(SUBSTITUTE(UPPER($T366)," ",""),"P",""),";",REPT(" ",30)),91,30))),0)+IFERROR(VALUE(TRIM(MID(SUBSTITUTE(SUBSTITUTE(SUBSTITUTE(UPPER($T366)," ",""),"P",""),";",REPT(" ",30)),121,30))),0)+IFERROR(VALUE(TRIM(MID(SUBSTITUTE(SUBSTITUTE(SUBSTITUTE(UPPER($T366)," ",""),"P",""),";",REPT(" ",30)),151,30))),0)+IFERROR(VALUE(TRIM(MID(SUBSTITUTE(SUBSTITUTE(SUBSTITUTE(UPPER($T366)," ",""),"P",""),";",REPT(" ",30)),181,30))),0)+IFERROR(VALUE(TRIM(MID(SUBSTITUTE(SUBSTITUTE(SUBSTITUTE(UPPER($T366)," ",""),"P",""),";",REPT(" ",30)),211,30))),0)))))</f>
        <v/>
      </c>
      <c r="W366" s="24" t="n"/>
      <c r="X366" s="14" t="n"/>
    </row>
    <row r="367">
      <c r="A367" s="8">
        <f>IF($C367="","",73)</f>
        <v/>
      </c>
      <c r="B367" s="8">
        <f>IF($C367="","","4ª Sessão")</f>
        <v/>
      </c>
      <c r="C367" s="8">
        <f>IF(Preenchimento!$B$82="","",Preenchimento!$B$82)</f>
        <v/>
      </c>
      <c r="D367" s="8">
        <f>IF($C367="","",IF(Preenchimento!$C$82="","-",Preenchimento!$C$82))</f>
        <v/>
      </c>
      <c r="E367" s="8" t="n"/>
      <c r="F367" s="8" t="n"/>
      <c r="G367" s="24" t="n"/>
      <c r="H367" s="8" t="n"/>
      <c r="I367" s="14" t="n"/>
      <c r="J367" s="25">
        <f>IF($C367="","",IF($E367="Falta","-",MAX(0,MIN(10,8+IFERROR(VALUE(TRIM(MID(SUBSTITUTE(SUBSTITUTE(SUBSTITUTE(UPPER($H367)," ",""),"D",""),";",REPT(" ",30)),1,30))),0)+IFERROR(VALUE(TRIM(MID(SUBSTITUTE(SUBSTITUTE(SUBSTITUTE(UPPER($H367)," ",""),"D",""),";",REPT(" ",30)),31,30))),0)+IFERROR(VALUE(TRIM(MID(SUBSTITUTE(SUBSTITUTE(SUBSTITUTE(UPPER($H367)," ",""),"D",""),";",REPT(" ",30)),61,30))),0)+IFERROR(VALUE(TRIM(MID(SUBSTITUTE(SUBSTITUTE(SUBSTITUTE(UPPER($H367)," ",""),"D",""),";",REPT(" ",30)),91,30))),0)+IFERROR(VALUE(TRIM(MID(SUBSTITUTE(SUBSTITUTE(SUBSTITUTE(UPPER($H367)," ",""),"D",""),";",REPT(" ",30)),121,30))),0)+IFERROR(VALUE(TRIM(MID(SUBSTITUTE(SUBSTITUTE(SUBSTITUTE(UPPER($H367)," ",""),"D",""),";",REPT(" ",30)),151,30))),0)+IFERROR(VALUE(TRIM(MID(SUBSTITUTE(SUBSTITUTE(SUBSTITUTE(UPPER($H367)," ",""),"D",""),";",REPT(" ",30)),181,30))),0)+IFERROR(VALUE(TRIM(MID(SUBSTITUTE(SUBSTITUTE(SUBSTITUTE(UPPER($H367)," ",""),"D",""),";",REPT(" ",30)),211,30))),0)))))</f>
        <v/>
      </c>
      <c r="K367" s="24" t="n"/>
      <c r="L367" s="8" t="n"/>
      <c r="M367" s="14" t="n"/>
      <c r="N367" s="25">
        <f>IF($C367="","",IF($E367="Falta","-",MAX(0,MIN(10,8+IFERROR(VALUE(TRIM(MID(SUBSTITUTE(SUBSTITUTE(SUBSTITUTE(UPPER($L367)," ",""),"F",""),";",REPT(" ",30)),1,30))),0)+IFERROR(VALUE(TRIM(MID(SUBSTITUTE(SUBSTITUTE(SUBSTITUTE(UPPER($L367)," ",""),"F",""),";",REPT(" ",30)),31,30))),0)+IFERROR(VALUE(TRIM(MID(SUBSTITUTE(SUBSTITUTE(SUBSTITUTE(UPPER($L367)," ",""),"F",""),";",REPT(" ",30)),61,30))),0)+IFERROR(VALUE(TRIM(MID(SUBSTITUTE(SUBSTITUTE(SUBSTITUTE(UPPER($L367)," ",""),"F",""),";",REPT(" ",30)),91,30))),0)+IFERROR(VALUE(TRIM(MID(SUBSTITUTE(SUBSTITUTE(SUBSTITUTE(UPPER($L367)," ",""),"F",""),";",REPT(" ",30)),121,30))),0)+IFERROR(VALUE(TRIM(MID(SUBSTITUTE(SUBSTITUTE(SUBSTITUTE(UPPER($L367)," ",""),"F",""),";",REPT(" ",30)),151,30))),0)+IFERROR(VALUE(TRIM(MID(SUBSTITUTE(SUBSTITUTE(SUBSTITUTE(UPPER($L367)," ",""),"F",""),";",REPT(" ",30)),181,30))),0)+IFERROR(VALUE(TRIM(MID(SUBSTITUTE(SUBSTITUTE(SUBSTITUTE(UPPER($L367)," ",""),"F",""),";",REPT(" ",30)),211,30))),0)))))</f>
        <v/>
      </c>
      <c r="O367" s="24" t="n"/>
      <c r="P367" s="8" t="n"/>
      <c r="Q367" s="14" t="n"/>
      <c r="R367" s="25">
        <f>IF($C367="","",IF($E367="Falta","-",MAX(0,MIN(10,5+IFERROR(VALUE(TRIM(MID(SUBSTITUTE(SUBSTITUTE(SUBSTITUTE(UPPER($P367)," ",""),"C",""),";",REPT(" ",30)),1,30))),0)+IFERROR(VALUE(TRIM(MID(SUBSTITUTE(SUBSTITUTE(SUBSTITUTE(UPPER($P367)," ",""),"C",""),";",REPT(" ",30)),31,30))),0)+IFERROR(VALUE(TRIM(MID(SUBSTITUTE(SUBSTITUTE(SUBSTITUTE(UPPER($P367)," ",""),"C",""),";",REPT(" ",30)),61,30))),0)+IFERROR(VALUE(TRIM(MID(SUBSTITUTE(SUBSTITUTE(SUBSTITUTE(UPPER($P367)," ",""),"C",""),";",REPT(" ",30)),91,30))),0)+IFERROR(VALUE(TRIM(MID(SUBSTITUTE(SUBSTITUTE(SUBSTITUTE(UPPER($P367)," ",""),"C",""),";",REPT(" ",30)),121,30))),0)+IFERROR(VALUE(TRIM(MID(SUBSTITUTE(SUBSTITUTE(SUBSTITUTE(UPPER($P367)," ",""),"C",""),";",REPT(" ",30)),151,30))),0)+IFERROR(VALUE(TRIM(MID(SUBSTITUTE(SUBSTITUTE(SUBSTITUTE(UPPER($P367)," ",""),"C",""),";",REPT(" ",30)),181,30))),0)+IFERROR(VALUE(TRIM(MID(SUBSTITUTE(SUBSTITUTE(SUBSTITUTE(UPPER($P367)," ",""),"C",""),";",REPT(" ",30)),211,30))),0)))))</f>
        <v/>
      </c>
      <c r="S367" s="24" t="n"/>
      <c r="T367" s="8" t="n"/>
      <c r="U367" s="14" t="n"/>
      <c r="V367" s="25">
        <f>IF($C367="","",IF($E367="Falta","-",MAX(0,MIN(10,5+IFERROR(VALUE(TRIM(MID(SUBSTITUTE(SUBSTITUTE(SUBSTITUTE(UPPER($T367)," ",""),"P",""),";",REPT(" ",30)),1,30))),0)+IFERROR(VALUE(TRIM(MID(SUBSTITUTE(SUBSTITUTE(SUBSTITUTE(UPPER($T367)," ",""),"P",""),";",REPT(" ",30)),31,30))),0)+IFERROR(VALUE(TRIM(MID(SUBSTITUTE(SUBSTITUTE(SUBSTITUTE(UPPER($T367)," ",""),"P",""),";",REPT(" ",30)),61,30))),0)+IFERROR(VALUE(TRIM(MID(SUBSTITUTE(SUBSTITUTE(SUBSTITUTE(UPPER($T367)," ",""),"P",""),";",REPT(" ",30)),91,30))),0)+IFERROR(VALUE(TRIM(MID(SUBSTITUTE(SUBSTITUTE(SUBSTITUTE(UPPER($T367)," ",""),"P",""),";",REPT(" ",30)),121,30))),0)+IFERROR(VALUE(TRIM(MID(SUBSTITUTE(SUBSTITUTE(SUBSTITUTE(UPPER($T367)," ",""),"P",""),";",REPT(" ",30)),151,30))),0)+IFERROR(VALUE(TRIM(MID(SUBSTITUTE(SUBSTITUTE(SUBSTITUTE(UPPER($T367)," ",""),"P",""),";",REPT(" ",30)),181,30))),0)+IFERROR(VALUE(TRIM(MID(SUBSTITUTE(SUBSTITUTE(SUBSTITUTE(UPPER($T367)," ",""),"P",""),";",REPT(" ",30)),211,30))),0)))))</f>
        <v/>
      </c>
      <c r="W367" s="24" t="n"/>
      <c r="X367" s="14" t="n"/>
    </row>
    <row r="368">
      <c r="A368" s="8">
        <f>IF($C368="","",73)</f>
        <v/>
      </c>
      <c r="B368" s="8">
        <f>IF($C368="","","5ª Sessão")</f>
        <v/>
      </c>
      <c r="C368" s="8">
        <f>IF(Preenchimento!$B$82="","",Preenchimento!$B$82)</f>
        <v/>
      </c>
      <c r="D368" s="8">
        <f>IF($C368="","",IF(Preenchimento!$C$82="","-",Preenchimento!$C$82))</f>
        <v/>
      </c>
      <c r="E368" s="8" t="n"/>
      <c r="F368" s="8" t="n"/>
      <c r="G368" s="24" t="n"/>
      <c r="H368" s="8" t="n"/>
      <c r="I368" s="14" t="n"/>
      <c r="J368" s="25">
        <f>IF($C368="","",IF($E368="Falta","-",MAX(0,MIN(10,8+IFERROR(VALUE(TRIM(MID(SUBSTITUTE(SUBSTITUTE(SUBSTITUTE(UPPER($H368)," ",""),"D",""),";",REPT(" ",30)),1,30))),0)+IFERROR(VALUE(TRIM(MID(SUBSTITUTE(SUBSTITUTE(SUBSTITUTE(UPPER($H368)," ",""),"D",""),";",REPT(" ",30)),31,30))),0)+IFERROR(VALUE(TRIM(MID(SUBSTITUTE(SUBSTITUTE(SUBSTITUTE(UPPER($H368)," ",""),"D",""),";",REPT(" ",30)),61,30))),0)+IFERROR(VALUE(TRIM(MID(SUBSTITUTE(SUBSTITUTE(SUBSTITUTE(UPPER($H368)," ",""),"D",""),";",REPT(" ",30)),91,30))),0)+IFERROR(VALUE(TRIM(MID(SUBSTITUTE(SUBSTITUTE(SUBSTITUTE(UPPER($H368)," ",""),"D",""),";",REPT(" ",30)),121,30))),0)+IFERROR(VALUE(TRIM(MID(SUBSTITUTE(SUBSTITUTE(SUBSTITUTE(UPPER($H368)," ",""),"D",""),";",REPT(" ",30)),151,30))),0)+IFERROR(VALUE(TRIM(MID(SUBSTITUTE(SUBSTITUTE(SUBSTITUTE(UPPER($H368)," ",""),"D",""),";",REPT(" ",30)),181,30))),0)+IFERROR(VALUE(TRIM(MID(SUBSTITUTE(SUBSTITUTE(SUBSTITUTE(UPPER($H368)," ",""),"D",""),";",REPT(" ",30)),211,30))),0)))))</f>
        <v/>
      </c>
      <c r="K368" s="24" t="n"/>
      <c r="L368" s="8" t="n"/>
      <c r="M368" s="14" t="n"/>
      <c r="N368" s="25">
        <f>IF($C368="","",IF($E368="Falta","-",MAX(0,MIN(10,8+IFERROR(VALUE(TRIM(MID(SUBSTITUTE(SUBSTITUTE(SUBSTITUTE(UPPER($L368)," ",""),"F",""),";",REPT(" ",30)),1,30))),0)+IFERROR(VALUE(TRIM(MID(SUBSTITUTE(SUBSTITUTE(SUBSTITUTE(UPPER($L368)," ",""),"F",""),";",REPT(" ",30)),31,30))),0)+IFERROR(VALUE(TRIM(MID(SUBSTITUTE(SUBSTITUTE(SUBSTITUTE(UPPER($L368)," ",""),"F",""),";",REPT(" ",30)),61,30))),0)+IFERROR(VALUE(TRIM(MID(SUBSTITUTE(SUBSTITUTE(SUBSTITUTE(UPPER($L368)," ",""),"F",""),";",REPT(" ",30)),91,30))),0)+IFERROR(VALUE(TRIM(MID(SUBSTITUTE(SUBSTITUTE(SUBSTITUTE(UPPER($L368)," ",""),"F",""),";",REPT(" ",30)),121,30))),0)+IFERROR(VALUE(TRIM(MID(SUBSTITUTE(SUBSTITUTE(SUBSTITUTE(UPPER($L368)," ",""),"F",""),";",REPT(" ",30)),151,30))),0)+IFERROR(VALUE(TRIM(MID(SUBSTITUTE(SUBSTITUTE(SUBSTITUTE(UPPER($L368)," ",""),"F",""),";",REPT(" ",30)),181,30))),0)+IFERROR(VALUE(TRIM(MID(SUBSTITUTE(SUBSTITUTE(SUBSTITUTE(UPPER($L368)," ",""),"F",""),";",REPT(" ",30)),211,30))),0)))))</f>
        <v/>
      </c>
      <c r="O368" s="24" t="n"/>
      <c r="P368" s="8" t="n"/>
      <c r="Q368" s="14" t="n"/>
      <c r="R368" s="25">
        <f>IF($C368="","",IF($E368="Falta","-",MAX(0,MIN(10,5+IFERROR(VALUE(TRIM(MID(SUBSTITUTE(SUBSTITUTE(SUBSTITUTE(UPPER($P368)," ",""),"C",""),";",REPT(" ",30)),1,30))),0)+IFERROR(VALUE(TRIM(MID(SUBSTITUTE(SUBSTITUTE(SUBSTITUTE(UPPER($P368)," ",""),"C",""),";",REPT(" ",30)),31,30))),0)+IFERROR(VALUE(TRIM(MID(SUBSTITUTE(SUBSTITUTE(SUBSTITUTE(UPPER($P368)," ",""),"C",""),";",REPT(" ",30)),61,30))),0)+IFERROR(VALUE(TRIM(MID(SUBSTITUTE(SUBSTITUTE(SUBSTITUTE(UPPER($P368)," ",""),"C",""),";",REPT(" ",30)),91,30))),0)+IFERROR(VALUE(TRIM(MID(SUBSTITUTE(SUBSTITUTE(SUBSTITUTE(UPPER($P368)," ",""),"C",""),";",REPT(" ",30)),121,30))),0)+IFERROR(VALUE(TRIM(MID(SUBSTITUTE(SUBSTITUTE(SUBSTITUTE(UPPER($P368)," ",""),"C",""),";",REPT(" ",30)),151,30))),0)+IFERROR(VALUE(TRIM(MID(SUBSTITUTE(SUBSTITUTE(SUBSTITUTE(UPPER($P368)," ",""),"C",""),";",REPT(" ",30)),181,30))),0)+IFERROR(VALUE(TRIM(MID(SUBSTITUTE(SUBSTITUTE(SUBSTITUTE(UPPER($P368)," ",""),"C",""),";",REPT(" ",30)),211,30))),0)))))</f>
        <v/>
      </c>
      <c r="S368" s="24" t="n"/>
      <c r="T368" s="8" t="n"/>
      <c r="U368" s="14" t="n"/>
      <c r="V368" s="25">
        <f>IF($C368="","",IF($E368="Falta","-",MAX(0,MIN(10,5+IFERROR(VALUE(TRIM(MID(SUBSTITUTE(SUBSTITUTE(SUBSTITUTE(UPPER($T368)," ",""),"P",""),";",REPT(" ",30)),1,30))),0)+IFERROR(VALUE(TRIM(MID(SUBSTITUTE(SUBSTITUTE(SUBSTITUTE(UPPER($T368)," ",""),"P",""),";",REPT(" ",30)),31,30))),0)+IFERROR(VALUE(TRIM(MID(SUBSTITUTE(SUBSTITUTE(SUBSTITUTE(UPPER($T368)," ",""),"P",""),";",REPT(" ",30)),61,30))),0)+IFERROR(VALUE(TRIM(MID(SUBSTITUTE(SUBSTITUTE(SUBSTITUTE(UPPER($T368)," ",""),"P",""),";",REPT(" ",30)),91,30))),0)+IFERROR(VALUE(TRIM(MID(SUBSTITUTE(SUBSTITUTE(SUBSTITUTE(UPPER($T368)," ",""),"P",""),";",REPT(" ",30)),121,30))),0)+IFERROR(VALUE(TRIM(MID(SUBSTITUTE(SUBSTITUTE(SUBSTITUTE(UPPER($T368)," ",""),"P",""),";",REPT(" ",30)),151,30))),0)+IFERROR(VALUE(TRIM(MID(SUBSTITUTE(SUBSTITUTE(SUBSTITUTE(UPPER($T368)," ",""),"P",""),";",REPT(" ",30)),181,30))),0)+IFERROR(VALUE(TRIM(MID(SUBSTITUTE(SUBSTITUTE(SUBSTITUTE(UPPER($T368)," ",""),"P",""),";",REPT(" ",30)),211,30))),0)))))</f>
        <v/>
      </c>
      <c r="W368" s="24" t="n"/>
      <c r="X368" s="14" t="n"/>
    </row>
    <row r="369">
      <c r="A369" s="6">
        <f>IF($C369="","",74)</f>
        <v/>
      </c>
      <c r="B369" s="6">
        <f>IF($C369="","","1ª Sessão")</f>
        <v/>
      </c>
      <c r="C369" s="6">
        <f>IF(Preenchimento!$B$83="","",Preenchimento!$B$83)</f>
        <v/>
      </c>
      <c r="D369" s="6">
        <f>IF($C369="","",IF(Preenchimento!$C$83="","-",Preenchimento!$C$83))</f>
        <v/>
      </c>
      <c r="E369" s="6" t="n"/>
      <c r="F369" s="6" t="n"/>
      <c r="G369" s="26" t="n"/>
      <c r="H369" s="6" t="n"/>
      <c r="I369" s="13" t="n"/>
      <c r="J369" s="27">
        <f>IF($C369="","",IF($E369="Falta","-",MAX(0,MIN(10,8+IFERROR(VALUE(TRIM(MID(SUBSTITUTE(SUBSTITUTE(SUBSTITUTE(UPPER($H369)," ",""),"D",""),";",REPT(" ",30)),1,30))),0)+IFERROR(VALUE(TRIM(MID(SUBSTITUTE(SUBSTITUTE(SUBSTITUTE(UPPER($H369)," ",""),"D",""),";",REPT(" ",30)),31,30))),0)+IFERROR(VALUE(TRIM(MID(SUBSTITUTE(SUBSTITUTE(SUBSTITUTE(UPPER($H369)," ",""),"D",""),";",REPT(" ",30)),61,30))),0)+IFERROR(VALUE(TRIM(MID(SUBSTITUTE(SUBSTITUTE(SUBSTITUTE(UPPER($H369)," ",""),"D",""),";",REPT(" ",30)),91,30))),0)+IFERROR(VALUE(TRIM(MID(SUBSTITUTE(SUBSTITUTE(SUBSTITUTE(UPPER($H369)," ",""),"D",""),";",REPT(" ",30)),121,30))),0)+IFERROR(VALUE(TRIM(MID(SUBSTITUTE(SUBSTITUTE(SUBSTITUTE(UPPER($H369)," ",""),"D",""),";",REPT(" ",30)),151,30))),0)+IFERROR(VALUE(TRIM(MID(SUBSTITUTE(SUBSTITUTE(SUBSTITUTE(UPPER($H369)," ",""),"D",""),";",REPT(" ",30)),181,30))),0)+IFERROR(VALUE(TRIM(MID(SUBSTITUTE(SUBSTITUTE(SUBSTITUTE(UPPER($H369)," ",""),"D",""),";",REPT(" ",30)),211,30))),0)))))</f>
        <v/>
      </c>
      <c r="K369" s="26" t="n"/>
      <c r="L369" s="6" t="n"/>
      <c r="M369" s="13" t="n"/>
      <c r="N369" s="27">
        <f>IF($C369="","",IF($E369="Falta","-",MAX(0,MIN(10,8+IFERROR(VALUE(TRIM(MID(SUBSTITUTE(SUBSTITUTE(SUBSTITUTE(UPPER($L369)," ",""),"F",""),";",REPT(" ",30)),1,30))),0)+IFERROR(VALUE(TRIM(MID(SUBSTITUTE(SUBSTITUTE(SUBSTITUTE(UPPER($L369)," ",""),"F",""),";",REPT(" ",30)),31,30))),0)+IFERROR(VALUE(TRIM(MID(SUBSTITUTE(SUBSTITUTE(SUBSTITUTE(UPPER($L369)," ",""),"F",""),";",REPT(" ",30)),61,30))),0)+IFERROR(VALUE(TRIM(MID(SUBSTITUTE(SUBSTITUTE(SUBSTITUTE(UPPER($L369)," ",""),"F",""),";",REPT(" ",30)),91,30))),0)+IFERROR(VALUE(TRIM(MID(SUBSTITUTE(SUBSTITUTE(SUBSTITUTE(UPPER($L369)," ",""),"F",""),";",REPT(" ",30)),121,30))),0)+IFERROR(VALUE(TRIM(MID(SUBSTITUTE(SUBSTITUTE(SUBSTITUTE(UPPER($L369)," ",""),"F",""),";",REPT(" ",30)),151,30))),0)+IFERROR(VALUE(TRIM(MID(SUBSTITUTE(SUBSTITUTE(SUBSTITUTE(UPPER($L369)," ",""),"F",""),";",REPT(" ",30)),181,30))),0)+IFERROR(VALUE(TRIM(MID(SUBSTITUTE(SUBSTITUTE(SUBSTITUTE(UPPER($L369)," ",""),"F",""),";",REPT(" ",30)),211,30))),0)))))</f>
        <v/>
      </c>
      <c r="O369" s="26" t="n"/>
      <c r="P369" s="6" t="n"/>
      <c r="Q369" s="13" t="n"/>
      <c r="R369" s="27">
        <f>IF($C369="","",IF($E369="Falta","-",MAX(0,MIN(10,5+IFERROR(VALUE(TRIM(MID(SUBSTITUTE(SUBSTITUTE(SUBSTITUTE(UPPER($P369)," ",""),"C",""),";",REPT(" ",30)),1,30))),0)+IFERROR(VALUE(TRIM(MID(SUBSTITUTE(SUBSTITUTE(SUBSTITUTE(UPPER($P369)," ",""),"C",""),";",REPT(" ",30)),31,30))),0)+IFERROR(VALUE(TRIM(MID(SUBSTITUTE(SUBSTITUTE(SUBSTITUTE(UPPER($P369)," ",""),"C",""),";",REPT(" ",30)),61,30))),0)+IFERROR(VALUE(TRIM(MID(SUBSTITUTE(SUBSTITUTE(SUBSTITUTE(UPPER($P369)," ",""),"C",""),";",REPT(" ",30)),91,30))),0)+IFERROR(VALUE(TRIM(MID(SUBSTITUTE(SUBSTITUTE(SUBSTITUTE(UPPER($P369)," ",""),"C",""),";",REPT(" ",30)),121,30))),0)+IFERROR(VALUE(TRIM(MID(SUBSTITUTE(SUBSTITUTE(SUBSTITUTE(UPPER($P369)," ",""),"C",""),";",REPT(" ",30)),151,30))),0)+IFERROR(VALUE(TRIM(MID(SUBSTITUTE(SUBSTITUTE(SUBSTITUTE(UPPER($P369)," ",""),"C",""),";",REPT(" ",30)),181,30))),0)+IFERROR(VALUE(TRIM(MID(SUBSTITUTE(SUBSTITUTE(SUBSTITUTE(UPPER($P369)," ",""),"C",""),";",REPT(" ",30)),211,30))),0)))))</f>
        <v/>
      </c>
      <c r="S369" s="26" t="n"/>
      <c r="T369" s="6" t="n"/>
      <c r="U369" s="13" t="n"/>
      <c r="V369" s="27">
        <f>IF($C369="","",IF($E369="Falta","-",MAX(0,MIN(10,5+IFERROR(VALUE(TRIM(MID(SUBSTITUTE(SUBSTITUTE(SUBSTITUTE(UPPER($T369)," ",""),"P",""),";",REPT(" ",30)),1,30))),0)+IFERROR(VALUE(TRIM(MID(SUBSTITUTE(SUBSTITUTE(SUBSTITUTE(UPPER($T369)," ",""),"P",""),";",REPT(" ",30)),31,30))),0)+IFERROR(VALUE(TRIM(MID(SUBSTITUTE(SUBSTITUTE(SUBSTITUTE(UPPER($T369)," ",""),"P",""),";",REPT(" ",30)),61,30))),0)+IFERROR(VALUE(TRIM(MID(SUBSTITUTE(SUBSTITUTE(SUBSTITUTE(UPPER($T369)," ",""),"P",""),";",REPT(" ",30)),91,30))),0)+IFERROR(VALUE(TRIM(MID(SUBSTITUTE(SUBSTITUTE(SUBSTITUTE(UPPER($T369)," ",""),"P",""),";",REPT(" ",30)),121,30))),0)+IFERROR(VALUE(TRIM(MID(SUBSTITUTE(SUBSTITUTE(SUBSTITUTE(UPPER($T369)," ",""),"P",""),";",REPT(" ",30)),151,30))),0)+IFERROR(VALUE(TRIM(MID(SUBSTITUTE(SUBSTITUTE(SUBSTITUTE(UPPER($T369)," ",""),"P",""),";",REPT(" ",30)),181,30))),0)+IFERROR(VALUE(TRIM(MID(SUBSTITUTE(SUBSTITUTE(SUBSTITUTE(UPPER($T369)," ",""),"P",""),";",REPT(" ",30)),211,30))),0)))))</f>
        <v/>
      </c>
      <c r="W369" s="26" t="n"/>
      <c r="X369" s="13" t="n"/>
    </row>
    <row r="370">
      <c r="A370" s="6">
        <f>IF($C370="","",74)</f>
        <v/>
      </c>
      <c r="B370" s="6">
        <f>IF($C370="","","2ª Sessão")</f>
        <v/>
      </c>
      <c r="C370" s="6">
        <f>IF(Preenchimento!$B$83="","",Preenchimento!$B$83)</f>
        <v/>
      </c>
      <c r="D370" s="6">
        <f>IF($C370="","",IF(Preenchimento!$C$83="","-",Preenchimento!$C$83))</f>
        <v/>
      </c>
      <c r="E370" s="6" t="n"/>
      <c r="F370" s="6" t="n"/>
      <c r="G370" s="26" t="n"/>
      <c r="H370" s="6" t="n"/>
      <c r="I370" s="13" t="n"/>
      <c r="J370" s="27">
        <f>IF($C370="","",IF($E370="Falta","-",MAX(0,MIN(10,8+IFERROR(VALUE(TRIM(MID(SUBSTITUTE(SUBSTITUTE(SUBSTITUTE(UPPER($H370)," ",""),"D",""),";",REPT(" ",30)),1,30))),0)+IFERROR(VALUE(TRIM(MID(SUBSTITUTE(SUBSTITUTE(SUBSTITUTE(UPPER($H370)," ",""),"D",""),";",REPT(" ",30)),31,30))),0)+IFERROR(VALUE(TRIM(MID(SUBSTITUTE(SUBSTITUTE(SUBSTITUTE(UPPER($H370)," ",""),"D",""),";",REPT(" ",30)),61,30))),0)+IFERROR(VALUE(TRIM(MID(SUBSTITUTE(SUBSTITUTE(SUBSTITUTE(UPPER($H370)," ",""),"D",""),";",REPT(" ",30)),91,30))),0)+IFERROR(VALUE(TRIM(MID(SUBSTITUTE(SUBSTITUTE(SUBSTITUTE(UPPER($H370)," ",""),"D",""),";",REPT(" ",30)),121,30))),0)+IFERROR(VALUE(TRIM(MID(SUBSTITUTE(SUBSTITUTE(SUBSTITUTE(UPPER($H370)," ",""),"D",""),";",REPT(" ",30)),151,30))),0)+IFERROR(VALUE(TRIM(MID(SUBSTITUTE(SUBSTITUTE(SUBSTITUTE(UPPER($H370)," ",""),"D",""),";",REPT(" ",30)),181,30))),0)+IFERROR(VALUE(TRIM(MID(SUBSTITUTE(SUBSTITUTE(SUBSTITUTE(UPPER($H370)," ",""),"D",""),";",REPT(" ",30)),211,30))),0)))))</f>
        <v/>
      </c>
      <c r="K370" s="26" t="n"/>
      <c r="L370" s="6" t="n"/>
      <c r="M370" s="13" t="n"/>
      <c r="N370" s="27">
        <f>IF($C370="","",IF($E370="Falta","-",MAX(0,MIN(10,8+IFERROR(VALUE(TRIM(MID(SUBSTITUTE(SUBSTITUTE(SUBSTITUTE(UPPER($L370)," ",""),"F",""),";",REPT(" ",30)),1,30))),0)+IFERROR(VALUE(TRIM(MID(SUBSTITUTE(SUBSTITUTE(SUBSTITUTE(UPPER($L370)," ",""),"F",""),";",REPT(" ",30)),31,30))),0)+IFERROR(VALUE(TRIM(MID(SUBSTITUTE(SUBSTITUTE(SUBSTITUTE(UPPER($L370)," ",""),"F",""),";",REPT(" ",30)),61,30))),0)+IFERROR(VALUE(TRIM(MID(SUBSTITUTE(SUBSTITUTE(SUBSTITUTE(UPPER($L370)," ",""),"F",""),";",REPT(" ",30)),91,30))),0)+IFERROR(VALUE(TRIM(MID(SUBSTITUTE(SUBSTITUTE(SUBSTITUTE(UPPER($L370)," ",""),"F",""),";",REPT(" ",30)),121,30))),0)+IFERROR(VALUE(TRIM(MID(SUBSTITUTE(SUBSTITUTE(SUBSTITUTE(UPPER($L370)," ",""),"F",""),";",REPT(" ",30)),151,30))),0)+IFERROR(VALUE(TRIM(MID(SUBSTITUTE(SUBSTITUTE(SUBSTITUTE(UPPER($L370)," ",""),"F",""),";",REPT(" ",30)),181,30))),0)+IFERROR(VALUE(TRIM(MID(SUBSTITUTE(SUBSTITUTE(SUBSTITUTE(UPPER($L370)," ",""),"F",""),";",REPT(" ",30)),211,30))),0)))))</f>
        <v/>
      </c>
      <c r="O370" s="26" t="n"/>
      <c r="P370" s="6" t="n"/>
      <c r="Q370" s="13" t="n"/>
      <c r="R370" s="27">
        <f>IF($C370="","",IF($E370="Falta","-",MAX(0,MIN(10,5+IFERROR(VALUE(TRIM(MID(SUBSTITUTE(SUBSTITUTE(SUBSTITUTE(UPPER($P370)," ",""),"C",""),";",REPT(" ",30)),1,30))),0)+IFERROR(VALUE(TRIM(MID(SUBSTITUTE(SUBSTITUTE(SUBSTITUTE(UPPER($P370)," ",""),"C",""),";",REPT(" ",30)),31,30))),0)+IFERROR(VALUE(TRIM(MID(SUBSTITUTE(SUBSTITUTE(SUBSTITUTE(UPPER($P370)," ",""),"C",""),";",REPT(" ",30)),61,30))),0)+IFERROR(VALUE(TRIM(MID(SUBSTITUTE(SUBSTITUTE(SUBSTITUTE(UPPER($P370)," ",""),"C",""),";",REPT(" ",30)),91,30))),0)+IFERROR(VALUE(TRIM(MID(SUBSTITUTE(SUBSTITUTE(SUBSTITUTE(UPPER($P370)," ",""),"C",""),";",REPT(" ",30)),121,30))),0)+IFERROR(VALUE(TRIM(MID(SUBSTITUTE(SUBSTITUTE(SUBSTITUTE(UPPER($P370)," ",""),"C",""),";",REPT(" ",30)),151,30))),0)+IFERROR(VALUE(TRIM(MID(SUBSTITUTE(SUBSTITUTE(SUBSTITUTE(UPPER($P370)," ",""),"C",""),";",REPT(" ",30)),181,30))),0)+IFERROR(VALUE(TRIM(MID(SUBSTITUTE(SUBSTITUTE(SUBSTITUTE(UPPER($P370)," ",""),"C",""),";",REPT(" ",30)),211,30))),0)))))</f>
        <v/>
      </c>
      <c r="S370" s="26" t="n"/>
      <c r="T370" s="6" t="n"/>
      <c r="U370" s="13" t="n"/>
      <c r="V370" s="27">
        <f>IF($C370="","",IF($E370="Falta","-",MAX(0,MIN(10,5+IFERROR(VALUE(TRIM(MID(SUBSTITUTE(SUBSTITUTE(SUBSTITUTE(UPPER($T370)," ",""),"P",""),";",REPT(" ",30)),1,30))),0)+IFERROR(VALUE(TRIM(MID(SUBSTITUTE(SUBSTITUTE(SUBSTITUTE(UPPER($T370)," ",""),"P",""),";",REPT(" ",30)),31,30))),0)+IFERROR(VALUE(TRIM(MID(SUBSTITUTE(SUBSTITUTE(SUBSTITUTE(UPPER($T370)," ",""),"P",""),";",REPT(" ",30)),61,30))),0)+IFERROR(VALUE(TRIM(MID(SUBSTITUTE(SUBSTITUTE(SUBSTITUTE(UPPER($T370)," ",""),"P",""),";",REPT(" ",30)),91,30))),0)+IFERROR(VALUE(TRIM(MID(SUBSTITUTE(SUBSTITUTE(SUBSTITUTE(UPPER($T370)," ",""),"P",""),";",REPT(" ",30)),121,30))),0)+IFERROR(VALUE(TRIM(MID(SUBSTITUTE(SUBSTITUTE(SUBSTITUTE(UPPER($T370)," ",""),"P",""),";",REPT(" ",30)),151,30))),0)+IFERROR(VALUE(TRIM(MID(SUBSTITUTE(SUBSTITUTE(SUBSTITUTE(UPPER($T370)," ",""),"P",""),";",REPT(" ",30)),181,30))),0)+IFERROR(VALUE(TRIM(MID(SUBSTITUTE(SUBSTITUTE(SUBSTITUTE(UPPER($T370)," ",""),"P",""),";",REPT(" ",30)),211,30))),0)))))</f>
        <v/>
      </c>
      <c r="W370" s="26" t="n"/>
      <c r="X370" s="13" t="n"/>
    </row>
    <row r="371">
      <c r="A371" s="6">
        <f>IF($C371="","",74)</f>
        <v/>
      </c>
      <c r="B371" s="6">
        <f>IF($C371="","","3ª Sessão")</f>
        <v/>
      </c>
      <c r="C371" s="6">
        <f>IF(Preenchimento!$B$83="","",Preenchimento!$B$83)</f>
        <v/>
      </c>
      <c r="D371" s="6">
        <f>IF($C371="","",IF(Preenchimento!$C$83="","-",Preenchimento!$C$83))</f>
        <v/>
      </c>
      <c r="E371" s="6" t="n"/>
      <c r="F371" s="6" t="n"/>
      <c r="G371" s="26" t="n"/>
      <c r="H371" s="6" t="n"/>
      <c r="I371" s="13" t="n"/>
      <c r="J371" s="27">
        <f>IF($C371="","",IF($E371="Falta","-",MAX(0,MIN(10,8+IFERROR(VALUE(TRIM(MID(SUBSTITUTE(SUBSTITUTE(SUBSTITUTE(UPPER($H371)," ",""),"D",""),";",REPT(" ",30)),1,30))),0)+IFERROR(VALUE(TRIM(MID(SUBSTITUTE(SUBSTITUTE(SUBSTITUTE(UPPER($H371)," ",""),"D",""),";",REPT(" ",30)),31,30))),0)+IFERROR(VALUE(TRIM(MID(SUBSTITUTE(SUBSTITUTE(SUBSTITUTE(UPPER($H371)," ",""),"D",""),";",REPT(" ",30)),61,30))),0)+IFERROR(VALUE(TRIM(MID(SUBSTITUTE(SUBSTITUTE(SUBSTITUTE(UPPER($H371)," ",""),"D",""),";",REPT(" ",30)),91,30))),0)+IFERROR(VALUE(TRIM(MID(SUBSTITUTE(SUBSTITUTE(SUBSTITUTE(UPPER($H371)," ",""),"D",""),";",REPT(" ",30)),121,30))),0)+IFERROR(VALUE(TRIM(MID(SUBSTITUTE(SUBSTITUTE(SUBSTITUTE(UPPER($H371)," ",""),"D",""),";",REPT(" ",30)),151,30))),0)+IFERROR(VALUE(TRIM(MID(SUBSTITUTE(SUBSTITUTE(SUBSTITUTE(UPPER($H371)," ",""),"D",""),";",REPT(" ",30)),181,30))),0)+IFERROR(VALUE(TRIM(MID(SUBSTITUTE(SUBSTITUTE(SUBSTITUTE(UPPER($H371)," ",""),"D",""),";",REPT(" ",30)),211,30))),0)))))</f>
        <v/>
      </c>
      <c r="K371" s="26" t="n"/>
      <c r="L371" s="6" t="n"/>
      <c r="M371" s="13" t="n"/>
      <c r="N371" s="27">
        <f>IF($C371="","",IF($E371="Falta","-",MAX(0,MIN(10,8+IFERROR(VALUE(TRIM(MID(SUBSTITUTE(SUBSTITUTE(SUBSTITUTE(UPPER($L371)," ",""),"F",""),";",REPT(" ",30)),1,30))),0)+IFERROR(VALUE(TRIM(MID(SUBSTITUTE(SUBSTITUTE(SUBSTITUTE(UPPER($L371)," ",""),"F",""),";",REPT(" ",30)),31,30))),0)+IFERROR(VALUE(TRIM(MID(SUBSTITUTE(SUBSTITUTE(SUBSTITUTE(UPPER($L371)," ",""),"F",""),";",REPT(" ",30)),61,30))),0)+IFERROR(VALUE(TRIM(MID(SUBSTITUTE(SUBSTITUTE(SUBSTITUTE(UPPER($L371)," ",""),"F",""),";",REPT(" ",30)),91,30))),0)+IFERROR(VALUE(TRIM(MID(SUBSTITUTE(SUBSTITUTE(SUBSTITUTE(UPPER($L371)," ",""),"F",""),";",REPT(" ",30)),121,30))),0)+IFERROR(VALUE(TRIM(MID(SUBSTITUTE(SUBSTITUTE(SUBSTITUTE(UPPER($L371)," ",""),"F",""),";",REPT(" ",30)),151,30))),0)+IFERROR(VALUE(TRIM(MID(SUBSTITUTE(SUBSTITUTE(SUBSTITUTE(UPPER($L371)," ",""),"F",""),";",REPT(" ",30)),181,30))),0)+IFERROR(VALUE(TRIM(MID(SUBSTITUTE(SUBSTITUTE(SUBSTITUTE(UPPER($L371)," ",""),"F",""),";",REPT(" ",30)),211,30))),0)))))</f>
        <v/>
      </c>
      <c r="O371" s="26" t="n"/>
      <c r="P371" s="6" t="n"/>
      <c r="Q371" s="13" t="n"/>
      <c r="R371" s="27">
        <f>IF($C371="","",IF($E371="Falta","-",MAX(0,MIN(10,5+IFERROR(VALUE(TRIM(MID(SUBSTITUTE(SUBSTITUTE(SUBSTITUTE(UPPER($P371)," ",""),"C",""),";",REPT(" ",30)),1,30))),0)+IFERROR(VALUE(TRIM(MID(SUBSTITUTE(SUBSTITUTE(SUBSTITUTE(UPPER($P371)," ",""),"C",""),";",REPT(" ",30)),31,30))),0)+IFERROR(VALUE(TRIM(MID(SUBSTITUTE(SUBSTITUTE(SUBSTITUTE(UPPER($P371)," ",""),"C",""),";",REPT(" ",30)),61,30))),0)+IFERROR(VALUE(TRIM(MID(SUBSTITUTE(SUBSTITUTE(SUBSTITUTE(UPPER($P371)," ",""),"C",""),";",REPT(" ",30)),91,30))),0)+IFERROR(VALUE(TRIM(MID(SUBSTITUTE(SUBSTITUTE(SUBSTITUTE(UPPER($P371)," ",""),"C",""),";",REPT(" ",30)),121,30))),0)+IFERROR(VALUE(TRIM(MID(SUBSTITUTE(SUBSTITUTE(SUBSTITUTE(UPPER($P371)," ",""),"C",""),";",REPT(" ",30)),151,30))),0)+IFERROR(VALUE(TRIM(MID(SUBSTITUTE(SUBSTITUTE(SUBSTITUTE(UPPER($P371)," ",""),"C",""),";",REPT(" ",30)),181,30))),0)+IFERROR(VALUE(TRIM(MID(SUBSTITUTE(SUBSTITUTE(SUBSTITUTE(UPPER($P371)," ",""),"C",""),";",REPT(" ",30)),211,30))),0)))))</f>
        <v/>
      </c>
      <c r="S371" s="26" t="n"/>
      <c r="T371" s="6" t="n"/>
      <c r="U371" s="13" t="n"/>
      <c r="V371" s="27">
        <f>IF($C371="","",IF($E371="Falta","-",MAX(0,MIN(10,5+IFERROR(VALUE(TRIM(MID(SUBSTITUTE(SUBSTITUTE(SUBSTITUTE(UPPER($T371)," ",""),"P",""),";",REPT(" ",30)),1,30))),0)+IFERROR(VALUE(TRIM(MID(SUBSTITUTE(SUBSTITUTE(SUBSTITUTE(UPPER($T371)," ",""),"P",""),";",REPT(" ",30)),31,30))),0)+IFERROR(VALUE(TRIM(MID(SUBSTITUTE(SUBSTITUTE(SUBSTITUTE(UPPER($T371)," ",""),"P",""),";",REPT(" ",30)),61,30))),0)+IFERROR(VALUE(TRIM(MID(SUBSTITUTE(SUBSTITUTE(SUBSTITUTE(UPPER($T371)," ",""),"P",""),";",REPT(" ",30)),91,30))),0)+IFERROR(VALUE(TRIM(MID(SUBSTITUTE(SUBSTITUTE(SUBSTITUTE(UPPER($T371)," ",""),"P",""),";",REPT(" ",30)),121,30))),0)+IFERROR(VALUE(TRIM(MID(SUBSTITUTE(SUBSTITUTE(SUBSTITUTE(UPPER($T371)," ",""),"P",""),";",REPT(" ",30)),151,30))),0)+IFERROR(VALUE(TRIM(MID(SUBSTITUTE(SUBSTITUTE(SUBSTITUTE(UPPER($T371)," ",""),"P",""),";",REPT(" ",30)),181,30))),0)+IFERROR(VALUE(TRIM(MID(SUBSTITUTE(SUBSTITUTE(SUBSTITUTE(UPPER($T371)," ",""),"P",""),";",REPT(" ",30)),211,30))),0)))))</f>
        <v/>
      </c>
      <c r="W371" s="26" t="n"/>
      <c r="X371" s="13" t="n"/>
    </row>
    <row r="372">
      <c r="A372" s="6">
        <f>IF($C372="","",74)</f>
        <v/>
      </c>
      <c r="B372" s="6">
        <f>IF($C372="","","4ª Sessão")</f>
        <v/>
      </c>
      <c r="C372" s="6">
        <f>IF(Preenchimento!$B$83="","",Preenchimento!$B$83)</f>
        <v/>
      </c>
      <c r="D372" s="6">
        <f>IF($C372="","",IF(Preenchimento!$C$83="","-",Preenchimento!$C$83))</f>
        <v/>
      </c>
      <c r="E372" s="6" t="n"/>
      <c r="F372" s="6" t="n"/>
      <c r="G372" s="26" t="n"/>
      <c r="H372" s="6" t="n"/>
      <c r="I372" s="13" t="n"/>
      <c r="J372" s="27">
        <f>IF($C372="","",IF($E372="Falta","-",MAX(0,MIN(10,8+IFERROR(VALUE(TRIM(MID(SUBSTITUTE(SUBSTITUTE(SUBSTITUTE(UPPER($H372)," ",""),"D",""),";",REPT(" ",30)),1,30))),0)+IFERROR(VALUE(TRIM(MID(SUBSTITUTE(SUBSTITUTE(SUBSTITUTE(UPPER($H372)," ",""),"D",""),";",REPT(" ",30)),31,30))),0)+IFERROR(VALUE(TRIM(MID(SUBSTITUTE(SUBSTITUTE(SUBSTITUTE(UPPER($H372)," ",""),"D",""),";",REPT(" ",30)),61,30))),0)+IFERROR(VALUE(TRIM(MID(SUBSTITUTE(SUBSTITUTE(SUBSTITUTE(UPPER($H372)," ",""),"D",""),";",REPT(" ",30)),91,30))),0)+IFERROR(VALUE(TRIM(MID(SUBSTITUTE(SUBSTITUTE(SUBSTITUTE(UPPER($H372)," ",""),"D",""),";",REPT(" ",30)),121,30))),0)+IFERROR(VALUE(TRIM(MID(SUBSTITUTE(SUBSTITUTE(SUBSTITUTE(UPPER($H372)," ",""),"D",""),";",REPT(" ",30)),151,30))),0)+IFERROR(VALUE(TRIM(MID(SUBSTITUTE(SUBSTITUTE(SUBSTITUTE(UPPER($H372)," ",""),"D",""),";",REPT(" ",30)),181,30))),0)+IFERROR(VALUE(TRIM(MID(SUBSTITUTE(SUBSTITUTE(SUBSTITUTE(UPPER($H372)," ",""),"D",""),";",REPT(" ",30)),211,30))),0)))))</f>
        <v/>
      </c>
      <c r="K372" s="26" t="n"/>
      <c r="L372" s="6" t="n"/>
      <c r="M372" s="13" t="n"/>
      <c r="N372" s="27">
        <f>IF($C372="","",IF($E372="Falta","-",MAX(0,MIN(10,8+IFERROR(VALUE(TRIM(MID(SUBSTITUTE(SUBSTITUTE(SUBSTITUTE(UPPER($L372)," ",""),"F",""),";",REPT(" ",30)),1,30))),0)+IFERROR(VALUE(TRIM(MID(SUBSTITUTE(SUBSTITUTE(SUBSTITUTE(UPPER($L372)," ",""),"F",""),";",REPT(" ",30)),31,30))),0)+IFERROR(VALUE(TRIM(MID(SUBSTITUTE(SUBSTITUTE(SUBSTITUTE(UPPER($L372)," ",""),"F",""),";",REPT(" ",30)),61,30))),0)+IFERROR(VALUE(TRIM(MID(SUBSTITUTE(SUBSTITUTE(SUBSTITUTE(UPPER($L372)," ",""),"F",""),";",REPT(" ",30)),91,30))),0)+IFERROR(VALUE(TRIM(MID(SUBSTITUTE(SUBSTITUTE(SUBSTITUTE(UPPER($L372)," ",""),"F",""),";",REPT(" ",30)),121,30))),0)+IFERROR(VALUE(TRIM(MID(SUBSTITUTE(SUBSTITUTE(SUBSTITUTE(UPPER($L372)," ",""),"F",""),";",REPT(" ",30)),151,30))),0)+IFERROR(VALUE(TRIM(MID(SUBSTITUTE(SUBSTITUTE(SUBSTITUTE(UPPER($L372)," ",""),"F",""),";",REPT(" ",30)),181,30))),0)+IFERROR(VALUE(TRIM(MID(SUBSTITUTE(SUBSTITUTE(SUBSTITUTE(UPPER($L372)," ",""),"F",""),";",REPT(" ",30)),211,30))),0)))))</f>
        <v/>
      </c>
      <c r="O372" s="26" t="n"/>
      <c r="P372" s="6" t="n"/>
      <c r="Q372" s="13" t="n"/>
      <c r="R372" s="27">
        <f>IF($C372="","",IF($E372="Falta","-",MAX(0,MIN(10,5+IFERROR(VALUE(TRIM(MID(SUBSTITUTE(SUBSTITUTE(SUBSTITUTE(UPPER($P372)," ",""),"C",""),";",REPT(" ",30)),1,30))),0)+IFERROR(VALUE(TRIM(MID(SUBSTITUTE(SUBSTITUTE(SUBSTITUTE(UPPER($P372)," ",""),"C",""),";",REPT(" ",30)),31,30))),0)+IFERROR(VALUE(TRIM(MID(SUBSTITUTE(SUBSTITUTE(SUBSTITUTE(UPPER($P372)," ",""),"C",""),";",REPT(" ",30)),61,30))),0)+IFERROR(VALUE(TRIM(MID(SUBSTITUTE(SUBSTITUTE(SUBSTITUTE(UPPER($P372)," ",""),"C",""),";",REPT(" ",30)),91,30))),0)+IFERROR(VALUE(TRIM(MID(SUBSTITUTE(SUBSTITUTE(SUBSTITUTE(UPPER($P372)," ",""),"C",""),";",REPT(" ",30)),121,30))),0)+IFERROR(VALUE(TRIM(MID(SUBSTITUTE(SUBSTITUTE(SUBSTITUTE(UPPER($P372)," ",""),"C",""),";",REPT(" ",30)),151,30))),0)+IFERROR(VALUE(TRIM(MID(SUBSTITUTE(SUBSTITUTE(SUBSTITUTE(UPPER($P372)," ",""),"C",""),";",REPT(" ",30)),181,30))),0)+IFERROR(VALUE(TRIM(MID(SUBSTITUTE(SUBSTITUTE(SUBSTITUTE(UPPER($P372)," ",""),"C",""),";",REPT(" ",30)),211,30))),0)))))</f>
        <v/>
      </c>
      <c r="S372" s="26" t="n"/>
      <c r="T372" s="6" t="n"/>
      <c r="U372" s="13" t="n"/>
      <c r="V372" s="27">
        <f>IF($C372="","",IF($E372="Falta","-",MAX(0,MIN(10,5+IFERROR(VALUE(TRIM(MID(SUBSTITUTE(SUBSTITUTE(SUBSTITUTE(UPPER($T372)," ",""),"P",""),";",REPT(" ",30)),1,30))),0)+IFERROR(VALUE(TRIM(MID(SUBSTITUTE(SUBSTITUTE(SUBSTITUTE(UPPER($T372)," ",""),"P",""),";",REPT(" ",30)),31,30))),0)+IFERROR(VALUE(TRIM(MID(SUBSTITUTE(SUBSTITUTE(SUBSTITUTE(UPPER($T372)," ",""),"P",""),";",REPT(" ",30)),61,30))),0)+IFERROR(VALUE(TRIM(MID(SUBSTITUTE(SUBSTITUTE(SUBSTITUTE(UPPER($T372)," ",""),"P",""),";",REPT(" ",30)),91,30))),0)+IFERROR(VALUE(TRIM(MID(SUBSTITUTE(SUBSTITUTE(SUBSTITUTE(UPPER($T372)," ",""),"P",""),";",REPT(" ",30)),121,30))),0)+IFERROR(VALUE(TRIM(MID(SUBSTITUTE(SUBSTITUTE(SUBSTITUTE(UPPER($T372)," ",""),"P",""),";",REPT(" ",30)),151,30))),0)+IFERROR(VALUE(TRIM(MID(SUBSTITUTE(SUBSTITUTE(SUBSTITUTE(UPPER($T372)," ",""),"P",""),";",REPT(" ",30)),181,30))),0)+IFERROR(VALUE(TRIM(MID(SUBSTITUTE(SUBSTITUTE(SUBSTITUTE(UPPER($T372)," ",""),"P",""),";",REPT(" ",30)),211,30))),0)))))</f>
        <v/>
      </c>
      <c r="W372" s="26" t="n"/>
      <c r="X372" s="13" t="n"/>
    </row>
    <row r="373">
      <c r="A373" s="6">
        <f>IF($C373="","",74)</f>
        <v/>
      </c>
      <c r="B373" s="6">
        <f>IF($C373="","","5ª Sessão")</f>
        <v/>
      </c>
      <c r="C373" s="6">
        <f>IF(Preenchimento!$B$83="","",Preenchimento!$B$83)</f>
        <v/>
      </c>
      <c r="D373" s="6">
        <f>IF($C373="","",IF(Preenchimento!$C$83="","-",Preenchimento!$C$83))</f>
        <v/>
      </c>
      <c r="E373" s="6" t="n"/>
      <c r="F373" s="6" t="n"/>
      <c r="G373" s="26" t="n"/>
      <c r="H373" s="6" t="n"/>
      <c r="I373" s="13" t="n"/>
      <c r="J373" s="27">
        <f>IF($C373="","",IF($E373="Falta","-",MAX(0,MIN(10,8+IFERROR(VALUE(TRIM(MID(SUBSTITUTE(SUBSTITUTE(SUBSTITUTE(UPPER($H373)," ",""),"D",""),";",REPT(" ",30)),1,30))),0)+IFERROR(VALUE(TRIM(MID(SUBSTITUTE(SUBSTITUTE(SUBSTITUTE(UPPER($H373)," ",""),"D",""),";",REPT(" ",30)),31,30))),0)+IFERROR(VALUE(TRIM(MID(SUBSTITUTE(SUBSTITUTE(SUBSTITUTE(UPPER($H373)," ",""),"D",""),";",REPT(" ",30)),61,30))),0)+IFERROR(VALUE(TRIM(MID(SUBSTITUTE(SUBSTITUTE(SUBSTITUTE(UPPER($H373)," ",""),"D",""),";",REPT(" ",30)),91,30))),0)+IFERROR(VALUE(TRIM(MID(SUBSTITUTE(SUBSTITUTE(SUBSTITUTE(UPPER($H373)," ",""),"D",""),";",REPT(" ",30)),121,30))),0)+IFERROR(VALUE(TRIM(MID(SUBSTITUTE(SUBSTITUTE(SUBSTITUTE(UPPER($H373)," ",""),"D",""),";",REPT(" ",30)),151,30))),0)+IFERROR(VALUE(TRIM(MID(SUBSTITUTE(SUBSTITUTE(SUBSTITUTE(UPPER($H373)," ",""),"D",""),";",REPT(" ",30)),181,30))),0)+IFERROR(VALUE(TRIM(MID(SUBSTITUTE(SUBSTITUTE(SUBSTITUTE(UPPER($H373)," ",""),"D",""),";",REPT(" ",30)),211,30))),0)))))</f>
        <v/>
      </c>
      <c r="K373" s="26" t="n"/>
      <c r="L373" s="6" t="n"/>
      <c r="M373" s="13" t="n"/>
      <c r="N373" s="27">
        <f>IF($C373="","",IF($E373="Falta","-",MAX(0,MIN(10,8+IFERROR(VALUE(TRIM(MID(SUBSTITUTE(SUBSTITUTE(SUBSTITUTE(UPPER($L373)," ",""),"F",""),";",REPT(" ",30)),1,30))),0)+IFERROR(VALUE(TRIM(MID(SUBSTITUTE(SUBSTITUTE(SUBSTITUTE(UPPER($L373)," ",""),"F",""),";",REPT(" ",30)),31,30))),0)+IFERROR(VALUE(TRIM(MID(SUBSTITUTE(SUBSTITUTE(SUBSTITUTE(UPPER($L373)," ",""),"F",""),";",REPT(" ",30)),61,30))),0)+IFERROR(VALUE(TRIM(MID(SUBSTITUTE(SUBSTITUTE(SUBSTITUTE(UPPER($L373)," ",""),"F",""),";",REPT(" ",30)),91,30))),0)+IFERROR(VALUE(TRIM(MID(SUBSTITUTE(SUBSTITUTE(SUBSTITUTE(UPPER($L373)," ",""),"F",""),";",REPT(" ",30)),121,30))),0)+IFERROR(VALUE(TRIM(MID(SUBSTITUTE(SUBSTITUTE(SUBSTITUTE(UPPER($L373)," ",""),"F",""),";",REPT(" ",30)),151,30))),0)+IFERROR(VALUE(TRIM(MID(SUBSTITUTE(SUBSTITUTE(SUBSTITUTE(UPPER($L373)," ",""),"F",""),";",REPT(" ",30)),181,30))),0)+IFERROR(VALUE(TRIM(MID(SUBSTITUTE(SUBSTITUTE(SUBSTITUTE(UPPER($L373)," ",""),"F",""),";",REPT(" ",30)),211,30))),0)))))</f>
        <v/>
      </c>
      <c r="O373" s="26" t="n"/>
      <c r="P373" s="6" t="n"/>
      <c r="Q373" s="13" t="n"/>
      <c r="R373" s="27">
        <f>IF($C373="","",IF($E373="Falta","-",MAX(0,MIN(10,5+IFERROR(VALUE(TRIM(MID(SUBSTITUTE(SUBSTITUTE(SUBSTITUTE(UPPER($P373)," ",""),"C",""),";",REPT(" ",30)),1,30))),0)+IFERROR(VALUE(TRIM(MID(SUBSTITUTE(SUBSTITUTE(SUBSTITUTE(UPPER($P373)," ",""),"C",""),";",REPT(" ",30)),31,30))),0)+IFERROR(VALUE(TRIM(MID(SUBSTITUTE(SUBSTITUTE(SUBSTITUTE(UPPER($P373)," ",""),"C",""),";",REPT(" ",30)),61,30))),0)+IFERROR(VALUE(TRIM(MID(SUBSTITUTE(SUBSTITUTE(SUBSTITUTE(UPPER($P373)," ",""),"C",""),";",REPT(" ",30)),91,30))),0)+IFERROR(VALUE(TRIM(MID(SUBSTITUTE(SUBSTITUTE(SUBSTITUTE(UPPER($P373)," ",""),"C",""),";",REPT(" ",30)),121,30))),0)+IFERROR(VALUE(TRIM(MID(SUBSTITUTE(SUBSTITUTE(SUBSTITUTE(UPPER($P373)," ",""),"C",""),";",REPT(" ",30)),151,30))),0)+IFERROR(VALUE(TRIM(MID(SUBSTITUTE(SUBSTITUTE(SUBSTITUTE(UPPER($P373)," ",""),"C",""),";",REPT(" ",30)),181,30))),0)+IFERROR(VALUE(TRIM(MID(SUBSTITUTE(SUBSTITUTE(SUBSTITUTE(UPPER($P373)," ",""),"C",""),";",REPT(" ",30)),211,30))),0)))))</f>
        <v/>
      </c>
      <c r="S373" s="26" t="n"/>
      <c r="T373" s="6" t="n"/>
      <c r="U373" s="13" t="n"/>
      <c r="V373" s="27">
        <f>IF($C373="","",IF($E373="Falta","-",MAX(0,MIN(10,5+IFERROR(VALUE(TRIM(MID(SUBSTITUTE(SUBSTITUTE(SUBSTITUTE(UPPER($T373)," ",""),"P",""),";",REPT(" ",30)),1,30))),0)+IFERROR(VALUE(TRIM(MID(SUBSTITUTE(SUBSTITUTE(SUBSTITUTE(UPPER($T373)," ",""),"P",""),";",REPT(" ",30)),31,30))),0)+IFERROR(VALUE(TRIM(MID(SUBSTITUTE(SUBSTITUTE(SUBSTITUTE(UPPER($T373)," ",""),"P",""),";",REPT(" ",30)),61,30))),0)+IFERROR(VALUE(TRIM(MID(SUBSTITUTE(SUBSTITUTE(SUBSTITUTE(UPPER($T373)," ",""),"P",""),";",REPT(" ",30)),91,30))),0)+IFERROR(VALUE(TRIM(MID(SUBSTITUTE(SUBSTITUTE(SUBSTITUTE(UPPER($T373)," ",""),"P",""),";",REPT(" ",30)),121,30))),0)+IFERROR(VALUE(TRIM(MID(SUBSTITUTE(SUBSTITUTE(SUBSTITUTE(UPPER($T373)," ",""),"P",""),";",REPT(" ",30)),151,30))),0)+IFERROR(VALUE(TRIM(MID(SUBSTITUTE(SUBSTITUTE(SUBSTITUTE(UPPER($T373)," ",""),"P",""),";",REPT(" ",30)),181,30))),0)+IFERROR(VALUE(TRIM(MID(SUBSTITUTE(SUBSTITUTE(SUBSTITUTE(UPPER($T373)," ",""),"P",""),";",REPT(" ",30)),211,30))),0)))))</f>
        <v/>
      </c>
      <c r="W373" s="26" t="n"/>
      <c r="X373" s="13" t="n"/>
    </row>
    <row r="374">
      <c r="A374" s="8">
        <f>IF($C374="","",75)</f>
        <v/>
      </c>
      <c r="B374" s="8">
        <f>IF($C374="","","1ª Sessão")</f>
        <v/>
      </c>
      <c r="C374" s="8">
        <f>IF(Preenchimento!$B$84="","",Preenchimento!$B$84)</f>
        <v/>
      </c>
      <c r="D374" s="8">
        <f>IF($C374="","",IF(Preenchimento!$C$84="","-",Preenchimento!$C$84))</f>
        <v/>
      </c>
      <c r="E374" s="8" t="n"/>
      <c r="F374" s="8" t="n"/>
      <c r="G374" s="24" t="n"/>
      <c r="H374" s="8" t="n"/>
      <c r="I374" s="14" t="n"/>
      <c r="J374" s="25">
        <f>IF($C374="","",IF($E374="Falta","-",MAX(0,MIN(10,8+IFERROR(VALUE(TRIM(MID(SUBSTITUTE(SUBSTITUTE(SUBSTITUTE(UPPER($H374)," ",""),"D",""),";",REPT(" ",30)),1,30))),0)+IFERROR(VALUE(TRIM(MID(SUBSTITUTE(SUBSTITUTE(SUBSTITUTE(UPPER($H374)," ",""),"D",""),";",REPT(" ",30)),31,30))),0)+IFERROR(VALUE(TRIM(MID(SUBSTITUTE(SUBSTITUTE(SUBSTITUTE(UPPER($H374)," ",""),"D",""),";",REPT(" ",30)),61,30))),0)+IFERROR(VALUE(TRIM(MID(SUBSTITUTE(SUBSTITUTE(SUBSTITUTE(UPPER($H374)," ",""),"D",""),";",REPT(" ",30)),91,30))),0)+IFERROR(VALUE(TRIM(MID(SUBSTITUTE(SUBSTITUTE(SUBSTITUTE(UPPER($H374)," ",""),"D",""),";",REPT(" ",30)),121,30))),0)+IFERROR(VALUE(TRIM(MID(SUBSTITUTE(SUBSTITUTE(SUBSTITUTE(UPPER($H374)," ",""),"D",""),";",REPT(" ",30)),151,30))),0)+IFERROR(VALUE(TRIM(MID(SUBSTITUTE(SUBSTITUTE(SUBSTITUTE(UPPER($H374)," ",""),"D",""),";",REPT(" ",30)),181,30))),0)+IFERROR(VALUE(TRIM(MID(SUBSTITUTE(SUBSTITUTE(SUBSTITUTE(UPPER($H374)," ",""),"D",""),";",REPT(" ",30)),211,30))),0)))))</f>
        <v/>
      </c>
      <c r="K374" s="24" t="n"/>
      <c r="L374" s="8" t="n"/>
      <c r="M374" s="14" t="n"/>
      <c r="N374" s="25">
        <f>IF($C374="","",IF($E374="Falta","-",MAX(0,MIN(10,8+IFERROR(VALUE(TRIM(MID(SUBSTITUTE(SUBSTITUTE(SUBSTITUTE(UPPER($L374)," ",""),"F",""),";",REPT(" ",30)),1,30))),0)+IFERROR(VALUE(TRIM(MID(SUBSTITUTE(SUBSTITUTE(SUBSTITUTE(UPPER($L374)," ",""),"F",""),";",REPT(" ",30)),31,30))),0)+IFERROR(VALUE(TRIM(MID(SUBSTITUTE(SUBSTITUTE(SUBSTITUTE(UPPER($L374)," ",""),"F",""),";",REPT(" ",30)),61,30))),0)+IFERROR(VALUE(TRIM(MID(SUBSTITUTE(SUBSTITUTE(SUBSTITUTE(UPPER($L374)," ",""),"F",""),";",REPT(" ",30)),91,30))),0)+IFERROR(VALUE(TRIM(MID(SUBSTITUTE(SUBSTITUTE(SUBSTITUTE(UPPER($L374)," ",""),"F",""),";",REPT(" ",30)),121,30))),0)+IFERROR(VALUE(TRIM(MID(SUBSTITUTE(SUBSTITUTE(SUBSTITUTE(UPPER($L374)," ",""),"F",""),";",REPT(" ",30)),151,30))),0)+IFERROR(VALUE(TRIM(MID(SUBSTITUTE(SUBSTITUTE(SUBSTITUTE(UPPER($L374)," ",""),"F",""),";",REPT(" ",30)),181,30))),0)+IFERROR(VALUE(TRIM(MID(SUBSTITUTE(SUBSTITUTE(SUBSTITUTE(UPPER($L374)," ",""),"F",""),";",REPT(" ",30)),211,30))),0)))))</f>
        <v/>
      </c>
      <c r="O374" s="24" t="n"/>
      <c r="P374" s="8" t="n"/>
      <c r="Q374" s="14" t="n"/>
      <c r="R374" s="25">
        <f>IF($C374="","",IF($E374="Falta","-",MAX(0,MIN(10,5+IFERROR(VALUE(TRIM(MID(SUBSTITUTE(SUBSTITUTE(SUBSTITUTE(UPPER($P374)," ",""),"C",""),";",REPT(" ",30)),1,30))),0)+IFERROR(VALUE(TRIM(MID(SUBSTITUTE(SUBSTITUTE(SUBSTITUTE(UPPER($P374)," ",""),"C",""),";",REPT(" ",30)),31,30))),0)+IFERROR(VALUE(TRIM(MID(SUBSTITUTE(SUBSTITUTE(SUBSTITUTE(UPPER($P374)," ",""),"C",""),";",REPT(" ",30)),61,30))),0)+IFERROR(VALUE(TRIM(MID(SUBSTITUTE(SUBSTITUTE(SUBSTITUTE(UPPER($P374)," ",""),"C",""),";",REPT(" ",30)),91,30))),0)+IFERROR(VALUE(TRIM(MID(SUBSTITUTE(SUBSTITUTE(SUBSTITUTE(UPPER($P374)," ",""),"C",""),";",REPT(" ",30)),121,30))),0)+IFERROR(VALUE(TRIM(MID(SUBSTITUTE(SUBSTITUTE(SUBSTITUTE(UPPER($P374)," ",""),"C",""),";",REPT(" ",30)),151,30))),0)+IFERROR(VALUE(TRIM(MID(SUBSTITUTE(SUBSTITUTE(SUBSTITUTE(UPPER($P374)," ",""),"C",""),";",REPT(" ",30)),181,30))),0)+IFERROR(VALUE(TRIM(MID(SUBSTITUTE(SUBSTITUTE(SUBSTITUTE(UPPER($P374)," ",""),"C",""),";",REPT(" ",30)),211,30))),0)))))</f>
        <v/>
      </c>
      <c r="S374" s="24" t="n"/>
      <c r="T374" s="8" t="n"/>
      <c r="U374" s="14" t="n"/>
      <c r="V374" s="25">
        <f>IF($C374="","",IF($E374="Falta","-",MAX(0,MIN(10,5+IFERROR(VALUE(TRIM(MID(SUBSTITUTE(SUBSTITUTE(SUBSTITUTE(UPPER($T374)," ",""),"P",""),";",REPT(" ",30)),1,30))),0)+IFERROR(VALUE(TRIM(MID(SUBSTITUTE(SUBSTITUTE(SUBSTITUTE(UPPER($T374)," ",""),"P",""),";",REPT(" ",30)),31,30))),0)+IFERROR(VALUE(TRIM(MID(SUBSTITUTE(SUBSTITUTE(SUBSTITUTE(UPPER($T374)," ",""),"P",""),";",REPT(" ",30)),61,30))),0)+IFERROR(VALUE(TRIM(MID(SUBSTITUTE(SUBSTITUTE(SUBSTITUTE(UPPER($T374)," ",""),"P",""),";",REPT(" ",30)),91,30))),0)+IFERROR(VALUE(TRIM(MID(SUBSTITUTE(SUBSTITUTE(SUBSTITUTE(UPPER($T374)," ",""),"P",""),";",REPT(" ",30)),121,30))),0)+IFERROR(VALUE(TRIM(MID(SUBSTITUTE(SUBSTITUTE(SUBSTITUTE(UPPER($T374)," ",""),"P",""),";",REPT(" ",30)),151,30))),0)+IFERROR(VALUE(TRIM(MID(SUBSTITUTE(SUBSTITUTE(SUBSTITUTE(UPPER($T374)," ",""),"P",""),";",REPT(" ",30)),181,30))),0)+IFERROR(VALUE(TRIM(MID(SUBSTITUTE(SUBSTITUTE(SUBSTITUTE(UPPER($T374)," ",""),"P",""),";",REPT(" ",30)),211,30))),0)))))</f>
        <v/>
      </c>
      <c r="W374" s="24" t="n"/>
      <c r="X374" s="14" t="n"/>
    </row>
    <row r="375">
      <c r="A375" s="8">
        <f>IF($C375="","",75)</f>
        <v/>
      </c>
      <c r="B375" s="8">
        <f>IF($C375="","","2ª Sessão")</f>
        <v/>
      </c>
      <c r="C375" s="8">
        <f>IF(Preenchimento!$B$84="","",Preenchimento!$B$84)</f>
        <v/>
      </c>
      <c r="D375" s="8">
        <f>IF($C375="","",IF(Preenchimento!$C$84="","-",Preenchimento!$C$84))</f>
        <v/>
      </c>
      <c r="E375" s="8" t="n"/>
      <c r="F375" s="8" t="n"/>
      <c r="G375" s="24" t="n"/>
      <c r="H375" s="8" t="n"/>
      <c r="I375" s="14" t="n"/>
      <c r="J375" s="25">
        <f>IF($C375="","",IF($E375="Falta","-",MAX(0,MIN(10,8+IFERROR(VALUE(TRIM(MID(SUBSTITUTE(SUBSTITUTE(SUBSTITUTE(UPPER($H375)," ",""),"D",""),";",REPT(" ",30)),1,30))),0)+IFERROR(VALUE(TRIM(MID(SUBSTITUTE(SUBSTITUTE(SUBSTITUTE(UPPER($H375)," ",""),"D",""),";",REPT(" ",30)),31,30))),0)+IFERROR(VALUE(TRIM(MID(SUBSTITUTE(SUBSTITUTE(SUBSTITUTE(UPPER($H375)," ",""),"D",""),";",REPT(" ",30)),61,30))),0)+IFERROR(VALUE(TRIM(MID(SUBSTITUTE(SUBSTITUTE(SUBSTITUTE(UPPER($H375)," ",""),"D",""),";",REPT(" ",30)),91,30))),0)+IFERROR(VALUE(TRIM(MID(SUBSTITUTE(SUBSTITUTE(SUBSTITUTE(UPPER($H375)," ",""),"D",""),";",REPT(" ",30)),121,30))),0)+IFERROR(VALUE(TRIM(MID(SUBSTITUTE(SUBSTITUTE(SUBSTITUTE(UPPER($H375)," ",""),"D",""),";",REPT(" ",30)),151,30))),0)+IFERROR(VALUE(TRIM(MID(SUBSTITUTE(SUBSTITUTE(SUBSTITUTE(UPPER($H375)," ",""),"D",""),";",REPT(" ",30)),181,30))),0)+IFERROR(VALUE(TRIM(MID(SUBSTITUTE(SUBSTITUTE(SUBSTITUTE(UPPER($H375)," ",""),"D",""),";",REPT(" ",30)),211,30))),0)))))</f>
        <v/>
      </c>
      <c r="K375" s="24" t="n"/>
      <c r="L375" s="8" t="n"/>
      <c r="M375" s="14" t="n"/>
      <c r="N375" s="25">
        <f>IF($C375="","",IF($E375="Falta","-",MAX(0,MIN(10,8+IFERROR(VALUE(TRIM(MID(SUBSTITUTE(SUBSTITUTE(SUBSTITUTE(UPPER($L375)," ",""),"F",""),";",REPT(" ",30)),1,30))),0)+IFERROR(VALUE(TRIM(MID(SUBSTITUTE(SUBSTITUTE(SUBSTITUTE(UPPER($L375)," ",""),"F",""),";",REPT(" ",30)),31,30))),0)+IFERROR(VALUE(TRIM(MID(SUBSTITUTE(SUBSTITUTE(SUBSTITUTE(UPPER($L375)," ",""),"F",""),";",REPT(" ",30)),61,30))),0)+IFERROR(VALUE(TRIM(MID(SUBSTITUTE(SUBSTITUTE(SUBSTITUTE(UPPER($L375)," ",""),"F",""),";",REPT(" ",30)),91,30))),0)+IFERROR(VALUE(TRIM(MID(SUBSTITUTE(SUBSTITUTE(SUBSTITUTE(UPPER($L375)," ",""),"F",""),";",REPT(" ",30)),121,30))),0)+IFERROR(VALUE(TRIM(MID(SUBSTITUTE(SUBSTITUTE(SUBSTITUTE(UPPER($L375)," ",""),"F",""),";",REPT(" ",30)),151,30))),0)+IFERROR(VALUE(TRIM(MID(SUBSTITUTE(SUBSTITUTE(SUBSTITUTE(UPPER($L375)," ",""),"F",""),";",REPT(" ",30)),181,30))),0)+IFERROR(VALUE(TRIM(MID(SUBSTITUTE(SUBSTITUTE(SUBSTITUTE(UPPER($L375)," ",""),"F",""),";",REPT(" ",30)),211,30))),0)))))</f>
        <v/>
      </c>
      <c r="O375" s="24" t="n"/>
      <c r="P375" s="8" t="n"/>
      <c r="Q375" s="14" t="n"/>
      <c r="R375" s="25">
        <f>IF($C375="","",IF($E375="Falta","-",MAX(0,MIN(10,5+IFERROR(VALUE(TRIM(MID(SUBSTITUTE(SUBSTITUTE(SUBSTITUTE(UPPER($P375)," ",""),"C",""),";",REPT(" ",30)),1,30))),0)+IFERROR(VALUE(TRIM(MID(SUBSTITUTE(SUBSTITUTE(SUBSTITUTE(UPPER($P375)," ",""),"C",""),";",REPT(" ",30)),31,30))),0)+IFERROR(VALUE(TRIM(MID(SUBSTITUTE(SUBSTITUTE(SUBSTITUTE(UPPER($P375)," ",""),"C",""),";",REPT(" ",30)),61,30))),0)+IFERROR(VALUE(TRIM(MID(SUBSTITUTE(SUBSTITUTE(SUBSTITUTE(UPPER($P375)," ",""),"C",""),";",REPT(" ",30)),91,30))),0)+IFERROR(VALUE(TRIM(MID(SUBSTITUTE(SUBSTITUTE(SUBSTITUTE(UPPER($P375)," ",""),"C",""),";",REPT(" ",30)),121,30))),0)+IFERROR(VALUE(TRIM(MID(SUBSTITUTE(SUBSTITUTE(SUBSTITUTE(UPPER($P375)," ",""),"C",""),";",REPT(" ",30)),151,30))),0)+IFERROR(VALUE(TRIM(MID(SUBSTITUTE(SUBSTITUTE(SUBSTITUTE(UPPER($P375)," ",""),"C",""),";",REPT(" ",30)),181,30))),0)+IFERROR(VALUE(TRIM(MID(SUBSTITUTE(SUBSTITUTE(SUBSTITUTE(UPPER($P375)," ",""),"C",""),";",REPT(" ",30)),211,30))),0)))))</f>
        <v/>
      </c>
      <c r="S375" s="24" t="n"/>
      <c r="T375" s="8" t="n"/>
      <c r="U375" s="14" t="n"/>
      <c r="V375" s="25">
        <f>IF($C375="","",IF($E375="Falta","-",MAX(0,MIN(10,5+IFERROR(VALUE(TRIM(MID(SUBSTITUTE(SUBSTITUTE(SUBSTITUTE(UPPER($T375)," ",""),"P",""),";",REPT(" ",30)),1,30))),0)+IFERROR(VALUE(TRIM(MID(SUBSTITUTE(SUBSTITUTE(SUBSTITUTE(UPPER($T375)," ",""),"P",""),";",REPT(" ",30)),31,30))),0)+IFERROR(VALUE(TRIM(MID(SUBSTITUTE(SUBSTITUTE(SUBSTITUTE(UPPER($T375)," ",""),"P",""),";",REPT(" ",30)),61,30))),0)+IFERROR(VALUE(TRIM(MID(SUBSTITUTE(SUBSTITUTE(SUBSTITUTE(UPPER($T375)," ",""),"P",""),";",REPT(" ",30)),91,30))),0)+IFERROR(VALUE(TRIM(MID(SUBSTITUTE(SUBSTITUTE(SUBSTITUTE(UPPER($T375)," ",""),"P",""),";",REPT(" ",30)),121,30))),0)+IFERROR(VALUE(TRIM(MID(SUBSTITUTE(SUBSTITUTE(SUBSTITUTE(UPPER($T375)," ",""),"P",""),";",REPT(" ",30)),151,30))),0)+IFERROR(VALUE(TRIM(MID(SUBSTITUTE(SUBSTITUTE(SUBSTITUTE(UPPER($T375)," ",""),"P",""),";",REPT(" ",30)),181,30))),0)+IFERROR(VALUE(TRIM(MID(SUBSTITUTE(SUBSTITUTE(SUBSTITUTE(UPPER($T375)," ",""),"P",""),";",REPT(" ",30)),211,30))),0)))))</f>
        <v/>
      </c>
      <c r="W375" s="24" t="n"/>
      <c r="X375" s="14" t="n"/>
    </row>
    <row r="376">
      <c r="A376" s="8">
        <f>IF($C376="","",75)</f>
        <v/>
      </c>
      <c r="B376" s="8">
        <f>IF($C376="","","3ª Sessão")</f>
        <v/>
      </c>
      <c r="C376" s="8">
        <f>IF(Preenchimento!$B$84="","",Preenchimento!$B$84)</f>
        <v/>
      </c>
      <c r="D376" s="8">
        <f>IF($C376="","",IF(Preenchimento!$C$84="","-",Preenchimento!$C$84))</f>
        <v/>
      </c>
      <c r="E376" s="8" t="n"/>
      <c r="F376" s="8" t="n"/>
      <c r="G376" s="24" t="n"/>
      <c r="H376" s="8" t="n"/>
      <c r="I376" s="14" t="n"/>
      <c r="J376" s="25">
        <f>IF($C376="","",IF($E376="Falta","-",MAX(0,MIN(10,8+IFERROR(VALUE(TRIM(MID(SUBSTITUTE(SUBSTITUTE(SUBSTITUTE(UPPER($H376)," ",""),"D",""),";",REPT(" ",30)),1,30))),0)+IFERROR(VALUE(TRIM(MID(SUBSTITUTE(SUBSTITUTE(SUBSTITUTE(UPPER($H376)," ",""),"D",""),";",REPT(" ",30)),31,30))),0)+IFERROR(VALUE(TRIM(MID(SUBSTITUTE(SUBSTITUTE(SUBSTITUTE(UPPER($H376)," ",""),"D",""),";",REPT(" ",30)),61,30))),0)+IFERROR(VALUE(TRIM(MID(SUBSTITUTE(SUBSTITUTE(SUBSTITUTE(UPPER($H376)," ",""),"D",""),";",REPT(" ",30)),91,30))),0)+IFERROR(VALUE(TRIM(MID(SUBSTITUTE(SUBSTITUTE(SUBSTITUTE(UPPER($H376)," ",""),"D",""),";",REPT(" ",30)),121,30))),0)+IFERROR(VALUE(TRIM(MID(SUBSTITUTE(SUBSTITUTE(SUBSTITUTE(UPPER($H376)," ",""),"D",""),";",REPT(" ",30)),151,30))),0)+IFERROR(VALUE(TRIM(MID(SUBSTITUTE(SUBSTITUTE(SUBSTITUTE(UPPER($H376)," ",""),"D",""),";",REPT(" ",30)),181,30))),0)+IFERROR(VALUE(TRIM(MID(SUBSTITUTE(SUBSTITUTE(SUBSTITUTE(UPPER($H376)," ",""),"D",""),";",REPT(" ",30)),211,30))),0)))))</f>
        <v/>
      </c>
      <c r="K376" s="24" t="n"/>
      <c r="L376" s="8" t="n"/>
      <c r="M376" s="14" t="n"/>
      <c r="N376" s="25">
        <f>IF($C376="","",IF($E376="Falta","-",MAX(0,MIN(10,8+IFERROR(VALUE(TRIM(MID(SUBSTITUTE(SUBSTITUTE(SUBSTITUTE(UPPER($L376)," ",""),"F",""),";",REPT(" ",30)),1,30))),0)+IFERROR(VALUE(TRIM(MID(SUBSTITUTE(SUBSTITUTE(SUBSTITUTE(UPPER($L376)," ",""),"F",""),";",REPT(" ",30)),31,30))),0)+IFERROR(VALUE(TRIM(MID(SUBSTITUTE(SUBSTITUTE(SUBSTITUTE(UPPER($L376)," ",""),"F",""),";",REPT(" ",30)),61,30))),0)+IFERROR(VALUE(TRIM(MID(SUBSTITUTE(SUBSTITUTE(SUBSTITUTE(UPPER($L376)," ",""),"F",""),";",REPT(" ",30)),91,30))),0)+IFERROR(VALUE(TRIM(MID(SUBSTITUTE(SUBSTITUTE(SUBSTITUTE(UPPER($L376)," ",""),"F",""),";",REPT(" ",30)),121,30))),0)+IFERROR(VALUE(TRIM(MID(SUBSTITUTE(SUBSTITUTE(SUBSTITUTE(UPPER($L376)," ",""),"F",""),";",REPT(" ",30)),151,30))),0)+IFERROR(VALUE(TRIM(MID(SUBSTITUTE(SUBSTITUTE(SUBSTITUTE(UPPER($L376)," ",""),"F",""),";",REPT(" ",30)),181,30))),0)+IFERROR(VALUE(TRIM(MID(SUBSTITUTE(SUBSTITUTE(SUBSTITUTE(UPPER($L376)," ",""),"F",""),";",REPT(" ",30)),211,30))),0)))))</f>
        <v/>
      </c>
      <c r="O376" s="24" t="n"/>
      <c r="P376" s="8" t="n"/>
      <c r="Q376" s="14" t="n"/>
      <c r="R376" s="25">
        <f>IF($C376="","",IF($E376="Falta","-",MAX(0,MIN(10,5+IFERROR(VALUE(TRIM(MID(SUBSTITUTE(SUBSTITUTE(SUBSTITUTE(UPPER($P376)," ",""),"C",""),";",REPT(" ",30)),1,30))),0)+IFERROR(VALUE(TRIM(MID(SUBSTITUTE(SUBSTITUTE(SUBSTITUTE(UPPER($P376)," ",""),"C",""),";",REPT(" ",30)),31,30))),0)+IFERROR(VALUE(TRIM(MID(SUBSTITUTE(SUBSTITUTE(SUBSTITUTE(UPPER($P376)," ",""),"C",""),";",REPT(" ",30)),61,30))),0)+IFERROR(VALUE(TRIM(MID(SUBSTITUTE(SUBSTITUTE(SUBSTITUTE(UPPER($P376)," ",""),"C",""),";",REPT(" ",30)),91,30))),0)+IFERROR(VALUE(TRIM(MID(SUBSTITUTE(SUBSTITUTE(SUBSTITUTE(UPPER($P376)," ",""),"C",""),";",REPT(" ",30)),121,30))),0)+IFERROR(VALUE(TRIM(MID(SUBSTITUTE(SUBSTITUTE(SUBSTITUTE(UPPER($P376)," ",""),"C",""),";",REPT(" ",30)),151,30))),0)+IFERROR(VALUE(TRIM(MID(SUBSTITUTE(SUBSTITUTE(SUBSTITUTE(UPPER($P376)," ",""),"C",""),";",REPT(" ",30)),181,30))),0)+IFERROR(VALUE(TRIM(MID(SUBSTITUTE(SUBSTITUTE(SUBSTITUTE(UPPER($P376)," ",""),"C",""),";",REPT(" ",30)),211,30))),0)))))</f>
        <v/>
      </c>
      <c r="S376" s="24" t="n"/>
      <c r="T376" s="8" t="n"/>
      <c r="U376" s="14" t="n"/>
      <c r="V376" s="25">
        <f>IF($C376="","",IF($E376="Falta","-",MAX(0,MIN(10,5+IFERROR(VALUE(TRIM(MID(SUBSTITUTE(SUBSTITUTE(SUBSTITUTE(UPPER($T376)," ",""),"P",""),";",REPT(" ",30)),1,30))),0)+IFERROR(VALUE(TRIM(MID(SUBSTITUTE(SUBSTITUTE(SUBSTITUTE(UPPER($T376)," ",""),"P",""),";",REPT(" ",30)),31,30))),0)+IFERROR(VALUE(TRIM(MID(SUBSTITUTE(SUBSTITUTE(SUBSTITUTE(UPPER($T376)," ",""),"P",""),";",REPT(" ",30)),61,30))),0)+IFERROR(VALUE(TRIM(MID(SUBSTITUTE(SUBSTITUTE(SUBSTITUTE(UPPER($T376)," ",""),"P",""),";",REPT(" ",30)),91,30))),0)+IFERROR(VALUE(TRIM(MID(SUBSTITUTE(SUBSTITUTE(SUBSTITUTE(UPPER($T376)," ",""),"P",""),";",REPT(" ",30)),121,30))),0)+IFERROR(VALUE(TRIM(MID(SUBSTITUTE(SUBSTITUTE(SUBSTITUTE(UPPER($T376)," ",""),"P",""),";",REPT(" ",30)),151,30))),0)+IFERROR(VALUE(TRIM(MID(SUBSTITUTE(SUBSTITUTE(SUBSTITUTE(UPPER($T376)," ",""),"P",""),";",REPT(" ",30)),181,30))),0)+IFERROR(VALUE(TRIM(MID(SUBSTITUTE(SUBSTITUTE(SUBSTITUTE(UPPER($T376)," ",""),"P",""),";",REPT(" ",30)),211,30))),0)))))</f>
        <v/>
      </c>
      <c r="W376" s="24" t="n"/>
      <c r="X376" s="14" t="n"/>
    </row>
    <row r="377">
      <c r="A377" s="8">
        <f>IF($C377="","",75)</f>
        <v/>
      </c>
      <c r="B377" s="8">
        <f>IF($C377="","","4ª Sessão")</f>
        <v/>
      </c>
      <c r="C377" s="8">
        <f>IF(Preenchimento!$B$84="","",Preenchimento!$B$84)</f>
        <v/>
      </c>
      <c r="D377" s="8">
        <f>IF($C377="","",IF(Preenchimento!$C$84="","-",Preenchimento!$C$84))</f>
        <v/>
      </c>
      <c r="E377" s="8" t="n"/>
      <c r="F377" s="8" t="n"/>
      <c r="G377" s="24" t="n"/>
      <c r="H377" s="8" t="n"/>
      <c r="I377" s="14" t="n"/>
      <c r="J377" s="25">
        <f>IF($C377="","",IF($E377="Falta","-",MAX(0,MIN(10,8+IFERROR(VALUE(TRIM(MID(SUBSTITUTE(SUBSTITUTE(SUBSTITUTE(UPPER($H377)," ",""),"D",""),";",REPT(" ",30)),1,30))),0)+IFERROR(VALUE(TRIM(MID(SUBSTITUTE(SUBSTITUTE(SUBSTITUTE(UPPER($H377)," ",""),"D",""),";",REPT(" ",30)),31,30))),0)+IFERROR(VALUE(TRIM(MID(SUBSTITUTE(SUBSTITUTE(SUBSTITUTE(UPPER($H377)," ",""),"D",""),";",REPT(" ",30)),61,30))),0)+IFERROR(VALUE(TRIM(MID(SUBSTITUTE(SUBSTITUTE(SUBSTITUTE(UPPER($H377)," ",""),"D",""),";",REPT(" ",30)),91,30))),0)+IFERROR(VALUE(TRIM(MID(SUBSTITUTE(SUBSTITUTE(SUBSTITUTE(UPPER($H377)," ",""),"D",""),";",REPT(" ",30)),121,30))),0)+IFERROR(VALUE(TRIM(MID(SUBSTITUTE(SUBSTITUTE(SUBSTITUTE(UPPER($H377)," ",""),"D",""),";",REPT(" ",30)),151,30))),0)+IFERROR(VALUE(TRIM(MID(SUBSTITUTE(SUBSTITUTE(SUBSTITUTE(UPPER($H377)," ",""),"D",""),";",REPT(" ",30)),181,30))),0)+IFERROR(VALUE(TRIM(MID(SUBSTITUTE(SUBSTITUTE(SUBSTITUTE(UPPER($H377)," ",""),"D",""),";",REPT(" ",30)),211,30))),0)))))</f>
        <v/>
      </c>
      <c r="K377" s="24" t="n"/>
      <c r="L377" s="8" t="n"/>
      <c r="M377" s="14" t="n"/>
      <c r="N377" s="25">
        <f>IF($C377="","",IF($E377="Falta","-",MAX(0,MIN(10,8+IFERROR(VALUE(TRIM(MID(SUBSTITUTE(SUBSTITUTE(SUBSTITUTE(UPPER($L377)," ",""),"F",""),";",REPT(" ",30)),1,30))),0)+IFERROR(VALUE(TRIM(MID(SUBSTITUTE(SUBSTITUTE(SUBSTITUTE(UPPER($L377)," ",""),"F",""),";",REPT(" ",30)),31,30))),0)+IFERROR(VALUE(TRIM(MID(SUBSTITUTE(SUBSTITUTE(SUBSTITUTE(UPPER($L377)," ",""),"F",""),";",REPT(" ",30)),61,30))),0)+IFERROR(VALUE(TRIM(MID(SUBSTITUTE(SUBSTITUTE(SUBSTITUTE(UPPER($L377)," ",""),"F",""),";",REPT(" ",30)),91,30))),0)+IFERROR(VALUE(TRIM(MID(SUBSTITUTE(SUBSTITUTE(SUBSTITUTE(UPPER($L377)," ",""),"F",""),";",REPT(" ",30)),121,30))),0)+IFERROR(VALUE(TRIM(MID(SUBSTITUTE(SUBSTITUTE(SUBSTITUTE(UPPER($L377)," ",""),"F",""),";",REPT(" ",30)),151,30))),0)+IFERROR(VALUE(TRIM(MID(SUBSTITUTE(SUBSTITUTE(SUBSTITUTE(UPPER($L377)," ",""),"F",""),";",REPT(" ",30)),181,30))),0)+IFERROR(VALUE(TRIM(MID(SUBSTITUTE(SUBSTITUTE(SUBSTITUTE(UPPER($L377)," ",""),"F",""),";",REPT(" ",30)),211,30))),0)))))</f>
        <v/>
      </c>
      <c r="O377" s="24" t="n"/>
      <c r="P377" s="8" t="n"/>
      <c r="Q377" s="14" t="n"/>
      <c r="R377" s="25">
        <f>IF($C377="","",IF($E377="Falta","-",MAX(0,MIN(10,5+IFERROR(VALUE(TRIM(MID(SUBSTITUTE(SUBSTITUTE(SUBSTITUTE(UPPER($P377)," ",""),"C",""),";",REPT(" ",30)),1,30))),0)+IFERROR(VALUE(TRIM(MID(SUBSTITUTE(SUBSTITUTE(SUBSTITUTE(UPPER($P377)," ",""),"C",""),";",REPT(" ",30)),31,30))),0)+IFERROR(VALUE(TRIM(MID(SUBSTITUTE(SUBSTITUTE(SUBSTITUTE(UPPER($P377)," ",""),"C",""),";",REPT(" ",30)),61,30))),0)+IFERROR(VALUE(TRIM(MID(SUBSTITUTE(SUBSTITUTE(SUBSTITUTE(UPPER($P377)," ",""),"C",""),";",REPT(" ",30)),91,30))),0)+IFERROR(VALUE(TRIM(MID(SUBSTITUTE(SUBSTITUTE(SUBSTITUTE(UPPER($P377)," ",""),"C",""),";",REPT(" ",30)),121,30))),0)+IFERROR(VALUE(TRIM(MID(SUBSTITUTE(SUBSTITUTE(SUBSTITUTE(UPPER($P377)," ",""),"C",""),";",REPT(" ",30)),151,30))),0)+IFERROR(VALUE(TRIM(MID(SUBSTITUTE(SUBSTITUTE(SUBSTITUTE(UPPER($P377)," ",""),"C",""),";",REPT(" ",30)),181,30))),0)+IFERROR(VALUE(TRIM(MID(SUBSTITUTE(SUBSTITUTE(SUBSTITUTE(UPPER($P377)," ",""),"C",""),";",REPT(" ",30)),211,30))),0)))))</f>
        <v/>
      </c>
      <c r="S377" s="24" t="n"/>
      <c r="T377" s="8" t="n"/>
      <c r="U377" s="14" t="n"/>
      <c r="V377" s="25">
        <f>IF($C377="","",IF($E377="Falta","-",MAX(0,MIN(10,5+IFERROR(VALUE(TRIM(MID(SUBSTITUTE(SUBSTITUTE(SUBSTITUTE(UPPER($T377)," ",""),"P",""),";",REPT(" ",30)),1,30))),0)+IFERROR(VALUE(TRIM(MID(SUBSTITUTE(SUBSTITUTE(SUBSTITUTE(UPPER($T377)," ",""),"P",""),";",REPT(" ",30)),31,30))),0)+IFERROR(VALUE(TRIM(MID(SUBSTITUTE(SUBSTITUTE(SUBSTITUTE(UPPER($T377)," ",""),"P",""),";",REPT(" ",30)),61,30))),0)+IFERROR(VALUE(TRIM(MID(SUBSTITUTE(SUBSTITUTE(SUBSTITUTE(UPPER($T377)," ",""),"P",""),";",REPT(" ",30)),91,30))),0)+IFERROR(VALUE(TRIM(MID(SUBSTITUTE(SUBSTITUTE(SUBSTITUTE(UPPER($T377)," ",""),"P",""),";",REPT(" ",30)),121,30))),0)+IFERROR(VALUE(TRIM(MID(SUBSTITUTE(SUBSTITUTE(SUBSTITUTE(UPPER($T377)," ",""),"P",""),";",REPT(" ",30)),151,30))),0)+IFERROR(VALUE(TRIM(MID(SUBSTITUTE(SUBSTITUTE(SUBSTITUTE(UPPER($T377)," ",""),"P",""),";",REPT(" ",30)),181,30))),0)+IFERROR(VALUE(TRIM(MID(SUBSTITUTE(SUBSTITUTE(SUBSTITUTE(UPPER($T377)," ",""),"P",""),";",REPT(" ",30)),211,30))),0)))))</f>
        <v/>
      </c>
      <c r="W377" s="24" t="n"/>
      <c r="X377" s="14" t="n"/>
    </row>
    <row r="378">
      <c r="A378" s="8">
        <f>IF($C378="","",75)</f>
        <v/>
      </c>
      <c r="B378" s="8">
        <f>IF($C378="","","5ª Sessão")</f>
        <v/>
      </c>
      <c r="C378" s="8">
        <f>IF(Preenchimento!$B$84="","",Preenchimento!$B$84)</f>
        <v/>
      </c>
      <c r="D378" s="8">
        <f>IF($C378="","",IF(Preenchimento!$C$84="","-",Preenchimento!$C$84))</f>
        <v/>
      </c>
      <c r="E378" s="8" t="n"/>
      <c r="F378" s="8" t="n"/>
      <c r="G378" s="24" t="n"/>
      <c r="H378" s="8" t="n"/>
      <c r="I378" s="14" t="n"/>
      <c r="J378" s="25">
        <f>IF($C378="","",IF($E378="Falta","-",MAX(0,MIN(10,8+IFERROR(VALUE(TRIM(MID(SUBSTITUTE(SUBSTITUTE(SUBSTITUTE(UPPER($H378)," ",""),"D",""),";",REPT(" ",30)),1,30))),0)+IFERROR(VALUE(TRIM(MID(SUBSTITUTE(SUBSTITUTE(SUBSTITUTE(UPPER($H378)," ",""),"D",""),";",REPT(" ",30)),31,30))),0)+IFERROR(VALUE(TRIM(MID(SUBSTITUTE(SUBSTITUTE(SUBSTITUTE(UPPER($H378)," ",""),"D",""),";",REPT(" ",30)),61,30))),0)+IFERROR(VALUE(TRIM(MID(SUBSTITUTE(SUBSTITUTE(SUBSTITUTE(UPPER($H378)," ",""),"D",""),";",REPT(" ",30)),91,30))),0)+IFERROR(VALUE(TRIM(MID(SUBSTITUTE(SUBSTITUTE(SUBSTITUTE(UPPER($H378)," ",""),"D",""),";",REPT(" ",30)),121,30))),0)+IFERROR(VALUE(TRIM(MID(SUBSTITUTE(SUBSTITUTE(SUBSTITUTE(UPPER($H378)," ",""),"D",""),";",REPT(" ",30)),151,30))),0)+IFERROR(VALUE(TRIM(MID(SUBSTITUTE(SUBSTITUTE(SUBSTITUTE(UPPER($H378)," ",""),"D",""),";",REPT(" ",30)),181,30))),0)+IFERROR(VALUE(TRIM(MID(SUBSTITUTE(SUBSTITUTE(SUBSTITUTE(UPPER($H378)," ",""),"D",""),";",REPT(" ",30)),211,30))),0)))))</f>
        <v/>
      </c>
      <c r="K378" s="24" t="n"/>
      <c r="L378" s="8" t="n"/>
      <c r="M378" s="14" t="n"/>
      <c r="N378" s="25">
        <f>IF($C378="","",IF($E378="Falta","-",MAX(0,MIN(10,8+IFERROR(VALUE(TRIM(MID(SUBSTITUTE(SUBSTITUTE(SUBSTITUTE(UPPER($L378)," ",""),"F",""),";",REPT(" ",30)),1,30))),0)+IFERROR(VALUE(TRIM(MID(SUBSTITUTE(SUBSTITUTE(SUBSTITUTE(UPPER($L378)," ",""),"F",""),";",REPT(" ",30)),31,30))),0)+IFERROR(VALUE(TRIM(MID(SUBSTITUTE(SUBSTITUTE(SUBSTITUTE(UPPER($L378)," ",""),"F",""),";",REPT(" ",30)),61,30))),0)+IFERROR(VALUE(TRIM(MID(SUBSTITUTE(SUBSTITUTE(SUBSTITUTE(UPPER($L378)," ",""),"F",""),";",REPT(" ",30)),91,30))),0)+IFERROR(VALUE(TRIM(MID(SUBSTITUTE(SUBSTITUTE(SUBSTITUTE(UPPER($L378)," ",""),"F",""),";",REPT(" ",30)),121,30))),0)+IFERROR(VALUE(TRIM(MID(SUBSTITUTE(SUBSTITUTE(SUBSTITUTE(UPPER($L378)," ",""),"F",""),";",REPT(" ",30)),151,30))),0)+IFERROR(VALUE(TRIM(MID(SUBSTITUTE(SUBSTITUTE(SUBSTITUTE(UPPER($L378)," ",""),"F",""),";",REPT(" ",30)),181,30))),0)+IFERROR(VALUE(TRIM(MID(SUBSTITUTE(SUBSTITUTE(SUBSTITUTE(UPPER($L378)," ",""),"F",""),";",REPT(" ",30)),211,30))),0)))))</f>
        <v/>
      </c>
      <c r="O378" s="24" t="n"/>
      <c r="P378" s="8" t="n"/>
      <c r="Q378" s="14" t="n"/>
      <c r="R378" s="25">
        <f>IF($C378="","",IF($E378="Falta","-",MAX(0,MIN(10,5+IFERROR(VALUE(TRIM(MID(SUBSTITUTE(SUBSTITUTE(SUBSTITUTE(UPPER($P378)," ",""),"C",""),";",REPT(" ",30)),1,30))),0)+IFERROR(VALUE(TRIM(MID(SUBSTITUTE(SUBSTITUTE(SUBSTITUTE(UPPER($P378)," ",""),"C",""),";",REPT(" ",30)),31,30))),0)+IFERROR(VALUE(TRIM(MID(SUBSTITUTE(SUBSTITUTE(SUBSTITUTE(UPPER($P378)," ",""),"C",""),";",REPT(" ",30)),61,30))),0)+IFERROR(VALUE(TRIM(MID(SUBSTITUTE(SUBSTITUTE(SUBSTITUTE(UPPER($P378)," ",""),"C",""),";",REPT(" ",30)),91,30))),0)+IFERROR(VALUE(TRIM(MID(SUBSTITUTE(SUBSTITUTE(SUBSTITUTE(UPPER($P378)," ",""),"C",""),";",REPT(" ",30)),121,30))),0)+IFERROR(VALUE(TRIM(MID(SUBSTITUTE(SUBSTITUTE(SUBSTITUTE(UPPER($P378)," ",""),"C",""),";",REPT(" ",30)),151,30))),0)+IFERROR(VALUE(TRIM(MID(SUBSTITUTE(SUBSTITUTE(SUBSTITUTE(UPPER($P378)," ",""),"C",""),";",REPT(" ",30)),181,30))),0)+IFERROR(VALUE(TRIM(MID(SUBSTITUTE(SUBSTITUTE(SUBSTITUTE(UPPER($P378)," ",""),"C",""),";",REPT(" ",30)),211,30))),0)))))</f>
        <v/>
      </c>
      <c r="S378" s="24" t="n"/>
      <c r="T378" s="8" t="n"/>
      <c r="U378" s="14" t="n"/>
      <c r="V378" s="25">
        <f>IF($C378="","",IF($E378="Falta","-",MAX(0,MIN(10,5+IFERROR(VALUE(TRIM(MID(SUBSTITUTE(SUBSTITUTE(SUBSTITUTE(UPPER($T378)," ",""),"P",""),";",REPT(" ",30)),1,30))),0)+IFERROR(VALUE(TRIM(MID(SUBSTITUTE(SUBSTITUTE(SUBSTITUTE(UPPER($T378)," ",""),"P",""),";",REPT(" ",30)),31,30))),0)+IFERROR(VALUE(TRIM(MID(SUBSTITUTE(SUBSTITUTE(SUBSTITUTE(UPPER($T378)," ",""),"P",""),";",REPT(" ",30)),61,30))),0)+IFERROR(VALUE(TRIM(MID(SUBSTITUTE(SUBSTITUTE(SUBSTITUTE(UPPER($T378)," ",""),"P",""),";",REPT(" ",30)),91,30))),0)+IFERROR(VALUE(TRIM(MID(SUBSTITUTE(SUBSTITUTE(SUBSTITUTE(UPPER($T378)," ",""),"P",""),";",REPT(" ",30)),121,30))),0)+IFERROR(VALUE(TRIM(MID(SUBSTITUTE(SUBSTITUTE(SUBSTITUTE(UPPER($T378)," ",""),"P",""),";",REPT(" ",30)),151,30))),0)+IFERROR(VALUE(TRIM(MID(SUBSTITUTE(SUBSTITUTE(SUBSTITUTE(UPPER($T378)," ",""),"P",""),";",REPT(" ",30)),181,30))),0)+IFERROR(VALUE(TRIM(MID(SUBSTITUTE(SUBSTITUTE(SUBSTITUTE(UPPER($T378)," ",""),"P",""),";",REPT(" ",30)),211,30))),0)))))</f>
        <v/>
      </c>
      <c r="W378" s="24" t="n"/>
      <c r="X378" s="14" t="n"/>
    </row>
    <row r="379">
      <c r="A379" s="6">
        <f>IF($C379="","",76)</f>
        <v/>
      </c>
      <c r="B379" s="6">
        <f>IF($C379="","","1ª Sessão")</f>
        <v/>
      </c>
      <c r="C379" s="6">
        <f>IF(Preenchimento!$B$85="","",Preenchimento!$B$85)</f>
        <v/>
      </c>
      <c r="D379" s="6">
        <f>IF($C379="","",IF(Preenchimento!$C$85="","-",Preenchimento!$C$85))</f>
        <v/>
      </c>
      <c r="E379" s="6" t="n"/>
      <c r="F379" s="6" t="n"/>
      <c r="G379" s="26" t="n"/>
      <c r="H379" s="6" t="n"/>
      <c r="I379" s="13" t="n"/>
      <c r="J379" s="27">
        <f>IF($C379="","",IF($E379="Falta","-",MAX(0,MIN(10,8+IFERROR(VALUE(TRIM(MID(SUBSTITUTE(SUBSTITUTE(SUBSTITUTE(UPPER($H379)," ",""),"D",""),";",REPT(" ",30)),1,30))),0)+IFERROR(VALUE(TRIM(MID(SUBSTITUTE(SUBSTITUTE(SUBSTITUTE(UPPER($H379)," ",""),"D",""),";",REPT(" ",30)),31,30))),0)+IFERROR(VALUE(TRIM(MID(SUBSTITUTE(SUBSTITUTE(SUBSTITUTE(UPPER($H379)," ",""),"D",""),";",REPT(" ",30)),61,30))),0)+IFERROR(VALUE(TRIM(MID(SUBSTITUTE(SUBSTITUTE(SUBSTITUTE(UPPER($H379)," ",""),"D",""),";",REPT(" ",30)),91,30))),0)+IFERROR(VALUE(TRIM(MID(SUBSTITUTE(SUBSTITUTE(SUBSTITUTE(UPPER($H379)," ",""),"D",""),";",REPT(" ",30)),121,30))),0)+IFERROR(VALUE(TRIM(MID(SUBSTITUTE(SUBSTITUTE(SUBSTITUTE(UPPER($H379)," ",""),"D",""),";",REPT(" ",30)),151,30))),0)+IFERROR(VALUE(TRIM(MID(SUBSTITUTE(SUBSTITUTE(SUBSTITUTE(UPPER($H379)," ",""),"D",""),";",REPT(" ",30)),181,30))),0)+IFERROR(VALUE(TRIM(MID(SUBSTITUTE(SUBSTITUTE(SUBSTITUTE(UPPER($H379)," ",""),"D",""),";",REPT(" ",30)),211,30))),0)))))</f>
        <v/>
      </c>
      <c r="K379" s="26" t="n"/>
      <c r="L379" s="6" t="n"/>
      <c r="M379" s="13" t="n"/>
      <c r="N379" s="27">
        <f>IF($C379="","",IF($E379="Falta","-",MAX(0,MIN(10,8+IFERROR(VALUE(TRIM(MID(SUBSTITUTE(SUBSTITUTE(SUBSTITUTE(UPPER($L379)," ",""),"F",""),";",REPT(" ",30)),1,30))),0)+IFERROR(VALUE(TRIM(MID(SUBSTITUTE(SUBSTITUTE(SUBSTITUTE(UPPER($L379)," ",""),"F",""),";",REPT(" ",30)),31,30))),0)+IFERROR(VALUE(TRIM(MID(SUBSTITUTE(SUBSTITUTE(SUBSTITUTE(UPPER($L379)," ",""),"F",""),";",REPT(" ",30)),61,30))),0)+IFERROR(VALUE(TRIM(MID(SUBSTITUTE(SUBSTITUTE(SUBSTITUTE(UPPER($L379)," ",""),"F",""),";",REPT(" ",30)),91,30))),0)+IFERROR(VALUE(TRIM(MID(SUBSTITUTE(SUBSTITUTE(SUBSTITUTE(UPPER($L379)," ",""),"F",""),";",REPT(" ",30)),121,30))),0)+IFERROR(VALUE(TRIM(MID(SUBSTITUTE(SUBSTITUTE(SUBSTITUTE(UPPER($L379)," ",""),"F",""),";",REPT(" ",30)),151,30))),0)+IFERROR(VALUE(TRIM(MID(SUBSTITUTE(SUBSTITUTE(SUBSTITUTE(UPPER($L379)," ",""),"F",""),";",REPT(" ",30)),181,30))),0)+IFERROR(VALUE(TRIM(MID(SUBSTITUTE(SUBSTITUTE(SUBSTITUTE(UPPER($L379)," ",""),"F",""),";",REPT(" ",30)),211,30))),0)))))</f>
        <v/>
      </c>
      <c r="O379" s="26" t="n"/>
      <c r="P379" s="6" t="n"/>
      <c r="Q379" s="13" t="n"/>
      <c r="R379" s="27">
        <f>IF($C379="","",IF($E379="Falta","-",MAX(0,MIN(10,5+IFERROR(VALUE(TRIM(MID(SUBSTITUTE(SUBSTITUTE(SUBSTITUTE(UPPER($P379)," ",""),"C",""),";",REPT(" ",30)),1,30))),0)+IFERROR(VALUE(TRIM(MID(SUBSTITUTE(SUBSTITUTE(SUBSTITUTE(UPPER($P379)," ",""),"C",""),";",REPT(" ",30)),31,30))),0)+IFERROR(VALUE(TRIM(MID(SUBSTITUTE(SUBSTITUTE(SUBSTITUTE(UPPER($P379)," ",""),"C",""),";",REPT(" ",30)),61,30))),0)+IFERROR(VALUE(TRIM(MID(SUBSTITUTE(SUBSTITUTE(SUBSTITUTE(UPPER($P379)," ",""),"C",""),";",REPT(" ",30)),91,30))),0)+IFERROR(VALUE(TRIM(MID(SUBSTITUTE(SUBSTITUTE(SUBSTITUTE(UPPER($P379)," ",""),"C",""),";",REPT(" ",30)),121,30))),0)+IFERROR(VALUE(TRIM(MID(SUBSTITUTE(SUBSTITUTE(SUBSTITUTE(UPPER($P379)," ",""),"C",""),";",REPT(" ",30)),151,30))),0)+IFERROR(VALUE(TRIM(MID(SUBSTITUTE(SUBSTITUTE(SUBSTITUTE(UPPER($P379)," ",""),"C",""),";",REPT(" ",30)),181,30))),0)+IFERROR(VALUE(TRIM(MID(SUBSTITUTE(SUBSTITUTE(SUBSTITUTE(UPPER($P379)," ",""),"C",""),";",REPT(" ",30)),211,30))),0)))))</f>
        <v/>
      </c>
      <c r="S379" s="26" t="n"/>
      <c r="T379" s="6" t="n"/>
      <c r="U379" s="13" t="n"/>
      <c r="V379" s="27">
        <f>IF($C379="","",IF($E379="Falta","-",MAX(0,MIN(10,5+IFERROR(VALUE(TRIM(MID(SUBSTITUTE(SUBSTITUTE(SUBSTITUTE(UPPER($T379)," ",""),"P",""),";",REPT(" ",30)),1,30))),0)+IFERROR(VALUE(TRIM(MID(SUBSTITUTE(SUBSTITUTE(SUBSTITUTE(UPPER($T379)," ",""),"P",""),";",REPT(" ",30)),31,30))),0)+IFERROR(VALUE(TRIM(MID(SUBSTITUTE(SUBSTITUTE(SUBSTITUTE(UPPER($T379)," ",""),"P",""),";",REPT(" ",30)),61,30))),0)+IFERROR(VALUE(TRIM(MID(SUBSTITUTE(SUBSTITUTE(SUBSTITUTE(UPPER($T379)," ",""),"P",""),";",REPT(" ",30)),91,30))),0)+IFERROR(VALUE(TRIM(MID(SUBSTITUTE(SUBSTITUTE(SUBSTITUTE(UPPER($T379)," ",""),"P",""),";",REPT(" ",30)),121,30))),0)+IFERROR(VALUE(TRIM(MID(SUBSTITUTE(SUBSTITUTE(SUBSTITUTE(UPPER($T379)," ",""),"P",""),";",REPT(" ",30)),151,30))),0)+IFERROR(VALUE(TRIM(MID(SUBSTITUTE(SUBSTITUTE(SUBSTITUTE(UPPER($T379)," ",""),"P",""),";",REPT(" ",30)),181,30))),0)+IFERROR(VALUE(TRIM(MID(SUBSTITUTE(SUBSTITUTE(SUBSTITUTE(UPPER($T379)," ",""),"P",""),";",REPT(" ",30)),211,30))),0)))))</f>
        <v/>
      </c>
      <c r="W379" s="26" t="n"/>
      <c r="X379" s="13" t="n"/>
    </row>
    <row r="380">
      <c r="A380" s="6">
        <f>IF($C380="","",76)</f>
        <v/>
      </c>
      <c r="B380" s="6">
        <f>IF($C380="","","2ª Sessão")</f>
        <v/>
      </c>
      <c r="C380" s="6">
        <f>IF(Preenchimento!$B$85="","",Preenchimento!$B$85)</f>
        <v/>
      </c>
      <c r="D380" s="6">
        <f>IF($C380="","",IF(Preenchimento!$C$85="","-",Preenchimento!$C$85))</f>
        <v/>
      </c>
      <c r="E380" s="6" t="n"/>
      <c r="F380" s="6" t="n"/>
      <c r="G380" s="26" t="n"/>
      <c r="H380" s="6" t="n"/>
      <c r="I380" s="13" t="n"/>
      <c r="J380" s="27">
        <f>IF($C380="","",IF($E380="Falta","-",MAX(0,MIN(10,8+IFERROR(VALUE(TRIM(MID(SUBSTITUTE(SUBSTITUTE(SUBSTITUTE(UPPER($H380)," ",""),"D",""),";",REPT(" ",30)),1,30))),0)+IFERROR(VALUE(TRIM(MID(SUBSTITUTE(SUBSTITUTE(SUBSTITUTE(UPPER($H380)," ",""),"D",""),";",REPT(" ",30)),31,30))),0)+IFERROR(VALUE(TRIM(MID(SUBSTITUTE(SUBSTITUTE(SUBSTITUTE(UPPER($H380)," ",""),"D",""),";",REPT(" ",30)),61,30))),0)+IFERROR(VALUE(TRIM(MID(SUBSTITUTE(SUBSTITUTE(SUBSTITUTE(UPPER($H380)," ",""),"D",""),";",REPT(" ",30)),91,30))),0)+IFERROR(VALUE(TRIM(MID(SUBSTITUTE(SUBSTITUTE(SUBSTITUTE(UPPER($H380)," ",""),"D",""),";",REPT(" ",30)),121,30))),0)+IFERROR(VALUE(TRIM(MID(SUBSTITUTE(SUBSTITUTE(SUBSTITUTE(UPPER($H380)," ",""),"D",""),";",REPT(" ",30)),151,30))),0)+IFERROR(VALUE(TRIM(MID(SUBSTITUTE(SUBSTITUTE(SUBSTITUTE(UPPER($H380)," ",""),"D",""),";",REPT(" ",30)),181,30))),0)+IFERROR(VALUE(TRIM(MID(SUBSTITUTE(SUBSTITUTE(SUBSTITUTE(UPPER($H380)," ",""),"D",""),";",REPT(" ",30)),211,30))),0)))))</f>
        <v/>
      </c>
      <c r="K380" s="26" t="n"/>
      <c r="L380" s="6" t="n"/>
      <c r="M380" s="13" t="n"/>
      <c r="N380" s="27">
        <f>IF($C380="","",IF($E380="Falta","-",MAX(0,MIN(10,8+IFERROR(VALUE(TRIM(MID(SUBSTITUTE(SUBSTITUTE(SUBSTITUTE(UPPER($L380)," ",""),"F",""),";",REPT(" ",30)),1,30))),0)+IFERROR(VALUE(TRIM(MID(SUBSTITUTE(SUBSTITUTE(SUBSTITUTE(UPPER($L380)," ",""),"F",""),";",REPT(" ",30)),31,30))),0)+IFERROR(VALUE(TRIM(MID(SUBSTITUTE(SUBSTITUTE(SUBSTITUTE(UPPER($L380)," ",""),"F",""),";",REPT(" ",30)),61,30))),0)+IFERROR(VALUE(TRIM(MID(SUBSTITUTE(SUBSTITUTE(SUBSTITUTE(UPPER($L380)," ",""),"F",""),";",REPT(" ",30)),91,30))),0)+IFERROR(VALUE(TRIM(MID(SUBSTITUTE(SUBSTITUTE(SUBSTITUTE(UPPER($L380)," ",""),"F",""),";",REPT(" ",30)),121,30))),0)+IFERROR(VALUE(TRIM(MID(SUBSTITUTE(SUBSTITUTE(SUBSTITUTE(UPPER($L380)," ",""),"F",""),";",REPT(" ",30)),151,30))),0)+IFERROR(VALUE(TRIM(MID(SUBSTITUTE(SUBSTITUTE(SUBSTITUTE(UPPER($L380)," ",""),"F",""),";",REPT(" ",30)),181,30))),0)+IFERROR(VALUE(TRIM(MID(SUBSTITUTE(SUBSTITUTE(SUBSTITUTE(UPPER($L380)," ",""),"F",""),";",REPT(" ",30)),211,30))),0)))))</f>
        <v/>
      </c>
      <c r="O380" s="26" t="n"/>
      <c r="P380" s="6" t="n"/>
      <c r="Q380" s="13" t="n"/>
      <c r="R380" s="27">
        <f>IF($C380="","",IF($E380="Falta","-",MAX(0,MIN(10,5+IFERROR(VALUE(TRIM(MID(SUBSTITUTE(SUBSTITUTE(SUBSTITUTE(UPPER($P380)," ",""),"C",""),";",REPT(" ",30)),1,30))),0)+IFERROR(VALUE(TRIM(MID(SUBSTITUTE(SUBSTITUTE(SUBSTITUTE(UPPER($P380)," ",""),"C",""),";",REPT(" ",30)),31,30))),0)+IFERROR(VALUE(TRIM(MID(SUBSTITUTE(SUBSTITUTE(SUBSTITUTE(UPPER($P380)," ",""),"C",""),";",REPT(" ",30)),61,30))),0)+IFERROR(VALUE(TRIM(MID(SUBSTITUTE(SUBSTITUTE(SUBSTITUTE(UPPER($P380)," ",""),"C",""),";",REPT(" ",30)),91,30))),0)+IFERROR(VALUE(TRIM(MID(SUBSTITUTE(SUBSTITUTE(SUBSTITUTE(UPPER($P380)," ",""),"C",""),";",REPT(" ",30)),121,30))),0)+IFERROR(VALUE(TRIM(MID(SUBSTITUTE(SUBSTITUTE(SUBSTITUTE(UPPER($P380)," ",""),"C",""),";",REPT(" ",30)),151,30))),0)+IFERROR(VALUE(TRIM(MID(SUBSTITUTE(SUBSTITUTE(SUBSTITUTE(UPPER($P380)," ",""),"C",""),";",REPT(" ",30)),181,30))),0)+IFERROR(VALUE(TRIM(MID(SUBSTITUTE(SUBSTITUTE(SUBSTITUTE(UPPER($P380)," ",""),"C",""),";",REPT(" ",30)),211,30))),0)))))</f>
        <v/>
      </c>
      <c r="S380" s="26" t="n"/>
      <c r="T380" s="6" t="n"/>
      <c r="U380" s="13" t="n"/>
      <c r="V380" s="27">
        <f>IF($C380="","",IF($E380="Falta","-",MAX(0,MIN(10,5+IFERROR(VALUE(TRIM(MID(SUBSTITUTE(SUBSTITUTE(SUBSTITUTE(UPPER($T380)," ",""),"P",""),";",REPT(" ",30)),1,30))),0)+IFERROR(VALUE(TRIM(MID(SUBSTITUTE(SUBSTITUTE(SUBSTITUTE(UPPER($T380)," ",""),"P",""),";",REPT(" ",30)),31,30))),0)+IFERROR(VALUE(TRIM(MID(SUBSTITUTE(SUBSTITUTE(SUBSTITUTE(UPPER($T380)," ",""),"P",""),";",REPT(" ",30)),61,30))),0)+IFERROR(VALUE(TRIM(MID(SUBSTITUTE(SUBSTITUTE(SUBSTITUTE(UPPER($T380)," ",""),"P",""),";",REPT(" ",30)),91,30))),0)+IFERROR(VALUE(TRIM(MID(SUBSTITUTE(SUBSTITUTE(SUBSTITUTE(UPPER($T380)," ",""),"P",""),";",REPT(" ",30)),121,30))),0)+IFERROR(VALUE(TRIM(MID(SUBSTITUTE(SUBSTITUTE(SUBSTITUTE(UPPER($T380)," ",""),"P",""),";",REPT(" ",30)),151,30))),0)+IFERROR(VALUE(TRIM(MID(SUBSTITUTE(SUBSTITUTE(SUBSTITUTE(UPPER($T380)," ",""),"P",""),";",REPT(" ",30)),181,30))),0)+IFERROR(VALUE(TRIM(MID(SUBSTITUTE(SUBSTITUTE(SUBSTITUTE(UPPER($T380)," ",""),"P",""),";",REPT(" ",30)),211,30))),0)))))</f>
        <v/>
      </c>
      <c r="W380" s="26" t="n"/>
      <c r="X380" s="13" t="n"/>
    </row>
    <row r="381">
      <c r="A381" s="6">
        <f>IF($C381="","",76)</f>
        <v/>
      </c>
      <c r="B381" s="6">
        <f>IF($C381="","","3ª Sessão")</f>
        <v/>
      </c>
      <c r="C381" s="6">
        <f>IF(Preenchimento!$B$85="","",Preenchimento!$B$85)</f>
        <v/>
      </c>
      <c r="D381" s="6">
        <f>IF($C381="","",IF(Preenchimento!$C$85="","-",Preenchimento!$C$85))</f>
        <v/>
      </c>
      <c r="E381" s="6" t="n"/>
      <c r="F381" s="6" t="n"/>
      <c r="G381" s="26" t="n"/>
      <c r="H381" s="6" t="n"/>
      <c r="I381" s="13" t="n"/>
      <c r="J381" s="27">
        <f>IF($C381="","",IF($E381="Falta","-",MAX(0,MIN(10,8+IFERROR(VALUE(TRIM(MID(SUBSTITUTE(SUBSTITUTE(SUBSTITUTE(UPPER($H381)," ",""),"D",""),";",REPT(" ",30)),1,30))),0)+IFERROR(VALUE(TRIM(MID(SUBSTITUTE(SUBSTITUTE(SUBSTITUTE(UPPER($H381)," ",""),"D",""),";",REPT(" ",30)),31,30))),0)+IFERROR(VALUE(TRIM(MID(SUBSTITUTE(SUBSTITUTE(SUBSTITUTE(UPPER($H381)," ",""),"D",""),";",REPT(" ",30)),61,30))),0)+IFERROR(VALUE(TRIM(MID(SUBSTITUTE(SUBSTITUTE(SUBSTITUTE(UPPER($H381)," ",""),"D",""),";",REPT(" ",30)),91,30))),0)+IFERROR(VALUE(TRIM(MID(SUBSTITUTE(SUBSTITUTE(SUBSTITUTE(UPPER($H381)," ",""),"D",""),";",REPT(" ",30)),121,30))),0)+IFERROR(VALUE(TRIM(MID(SUBSTITUTE(SUBSTITUTE(SUBSTITUTE(UPPER($H381)," ",""),"D",""),";",REPT(" ",30)),151,30))),0)+IFERROR(VALUE(TRIM(MID(SUBSTITUTE(SUBSTITUTE(SUBSTITUTE(UPPER($H381)," ",""),"D",""),";",REPT(" ",30)),181,30))),0)+IFERROR(VALUE(TRIM(MID(SUBSTITUTE(SUBSTITUTE(SUBSTITUTE(UPPER($H381)," ",""),"D",""),";",REPT(" ",30)),211,30))),0)))))</f>
        <v/>
      </c>
      <c r="K381" s="26" t="n"/>
      <c r="L381" s="6" t="n"/>
      <c r="M381" s="13" t="n"/>
      <c r="N381" s="27">
        <f>IF($C381="","",IF($E381="Falta","-",MAX(0,MIN(10,8+IFERROR(VALUE(TRIM(MID(SUBSTITUTE(SUBSTITUTE(SUBSTITUTE(UPPER($L381)," ",""),"F",""),";",REPT(" ",30)),1,30))),0)+IFERROR(VALUE(TRIM(MID(SUBSTITUTE(SUBSTITUTE(SUBSTITUTE(UPPER($L381)," ",""),"F",""),";",REPT(" ",30)),31,30))),0)+IFERROR(VALUE(TRIM(MID(SUBSTITUTE(SUBSTITUTE(SUBSTITUTE(UPPER($L381)," ",""),"F",""),";",REPT(" ",30)),61,30))),0)+IFERROR(VALUE(TRIM(MID(SUBSTITUTE(SUBSTITUTE(SUBSTITUTE(UPPER($L381)," ",""),"F",""),";",REPT(" ",30)),91,30))),0)+IFERROR(VALUE(TRIM(MID(SUBSTITUTE(SUBSTITUTE(SUBSTITUTE(UPPER($L381)," ",""),"F",""),";",REPT(" ",30)),121,30))),0)+IFERROR(VALUE(TRIM(MID(SUBSTITUTE(SUBSTITUTE(SUBSTITUTE(UPPER($L381)," ",""),"F",""),";",REPT(" ",30)),151,30))),0)+IFERROR(VALUE(TRIM(MID(SUBSTITUTE(SUBSTITUTE(SUBSTITUTE(UPPER($L381)," ",""),"F",""),";",REPT(" ",30)),181,30))),0)+IFERROR(VALUE(TRIM(MID(SUBSTITUTE(SUBSTITUTE(SUBSTITUTE(UPPER($L381)," ",""),"F",""),";",REPT(" ",30)),211,30))),0)))))</f>
        <v/>
      </c>
      <c r="O381" s="26" t="n"/>
      <c r="P381" s="6" t="n"/>
      <c r="Q381" s="13" t="n"/>
      <c r="R381" s="27">
        <f>IF($C381="","",IF($E381="Falta","-",MAX(0,MIN(10,5+IFERROR(VALUE(TRIM(MID(SUBSTITUTE(SUBSTITUTE(SUBSTITUTE(UPPER($P381)," ",""),"C",""),";",REPT(" ",30)),1,30))),0)+IFERROR(VALUE(TRIM(MID(SUBSTITUTE(SUBSTITUTE(SUBSTITUTE(UPPER($P381)," ",""),"C",""),";",REPT(" ",30)),31,30))),0)+IFERROR(VALUE(TRIM(MID(SUBSTITUTE(SUBSTITUTE(SUBSTITUTE(UPPER($P381)," ",""),"C",""),";",REPT(" ",30)),61,30))),0)+IFERROR(VALUE(TRIM(MID(SUBSTITUTE(SUBSTITUTE(SUBSTITUTE(UPPER($P381)," ",""),"C",""),";",REPT(" ",30)),91,30))),0)+IFERROR(VALUE(TRIM(MID(SUBSTITUTE(SUBSTITUTE(SUBSTITUTE(UPPER($P381)," ",""),"C",""),";",REPT(" ",30)),121,30))),0)+IFERROR(VALUE(TRIM(MID(SUBSTITUTE(SUBSTITUTE(SUBSTITUTE(UPPER($P381)," ",""),"C",""),";",REPT(" ",30)),151,30))),0)+IFERROR(VALUE(TRIM(MID(SUBSTITUTE(SUBSTITUTE(SUBSTITUTE(UPPER($P381)," ",""),"C",""),";",REPT(" ",30)),181,30))),0)+IFERROR(VALUE(TRIM(MID(SUBSTITUTE(SUBSTITUTE(SUBSTITUTE(UPPER($P381)," ",""),"C",""),";",REPT(" ",30)),211,30))),0)))))</f>
        <v/>
      </c>
      <c r="S381" s="26" t="n"/>
      <c r="T381" s="6" t="n"/>
      <c r="U381" s="13" t="n"/>
      <c r="V381" s="27">
        <f>IF($C381="","",IF($E381="Falta","-",MAX(0,MIN(10,5+IFERROR(VALUE(TRIM(MID(SUBSTITUTE(SUBSTITUTE(SUBSTITUTE(UPPER($T381)," ",""),"P",""),";",REPT(" ",30)),1,30))),0)+IFERROR(VALUE(TRIM(MID(SUBSTITUTE(SUBSTITUTE(SUBSTITUTE(UPPER($T381)," ",""),"P",""),";",REPT(" ",30)),31,30))),0)+IFERROR(VALUE(TRIM(MID(SUBSTITUTE(SUBSTITUTE(SUBSTITUTE(UPPER($T381)," ",""),"P",""),";",REPT(" ",30)),61,30))),0)+IFERROR(VALUE(TRIM(MID(SUBSTITUTE(SUBSTITUTE(SUBSTITUTE(UPPER($T381)," ",""),"P",""),";",REPT(" ",30)),91,30))),0)+IFERROR(VALUE(TRIM(MID(SUBSTITUTE(SUBSTITUTE(SUBSTITUTE(UPPER($T381)," ",""),"P",""),";",REPT(" ",30)),121,30))),0)+IFERROR(VALUE(TRIM(MID(SUBSTITUTE(SUBSTITUTE(SUBSTITUTE(UPPER($T381)," ",""),"P",""),";",REPT(" ",30)),151,30))),0)+IFERROR(VALUE(TRIM(MID(SUBSTITUTE(SUBSTITUTE(SUBSTITUTE(UPPER($T381)," ",""),"P",""),";",REPT(" ",30)),181,30))),0)+IFERROR(VALUE(TRIM(MID(SUBSTITUTE(SUBSTITUTE(SUBSTITUTE(UPPER($T381)," ",""),"P",""),";",REPT(" ",30)),211,30))),0)))))</f>
        <v/>
      </c>
      <c r="W381" s="26" t="n"/>
      <c r="X381" s="13" t="n"/>
    </row>
    <row r="382">
      <c r="A382" s="6">
        <f>IF($C382="","",76)</f>
        <v/>
      </c>
      <c r="B382" s="6">
        <f>IF($C382="","","4ª Sessão")</f>
        <v/>
      </c>
      <c r="C382" s="6">
        <f>IF(Preenchimento!$B$85="","",Preenchimento!$B$85)</f>
        <v/>
      </c>
      <c r="D382" s="6">
        <f>IF($C382="","",IF(Preenchimento!$C$85="","-",Preenchimento!$C$85))</f>
        <v/>
      </c>
      <c r="E382" s="6" t="n"/>
      <c r="F382" s="6" t="n"/>
      <c r="G382" s="26" t="n"/>
      <c r="H382" s="6" t="n"/>
      <c r="I382" s="13" t="n"/>
      <c r="J382" s="27">
        <f>IF($C382="","",IF($E382="Falta","-",MAX(0,MIN(10,8+IFERROR(VALUE(TRIM(MID(SUBSTITUTE(SUBSTITUTE(SUBSTITUTE(UPPER($H382)," ",""),"D",""),";",REPT(" ",30)),1,30))),0)+IFERROR(VALUE(TRIM(MID(SUBSTITUTE(SUBSTITUTE(SUBSTITUTE(UPPER($H382)," ",""),"D",""),";",REPT(" ",30)),31,30))),0)+IFERROR(VALUE(TRIM(MID(SUBSTITUTE(SUBSTITUTE(SUBSTITUTE(UPPER($H382)," ",""),"D",""),";",REPT(" ",30)),61,30))),0)+IFERROR(VALUE(TRIM(MID(SUBSTITUTE(SUBSTITUTE(SUBSTITUTE(UPPER($H382)," ",""),"D",""),";",REPT(" ",30)),91,30))),0)+IFERROR(VALUE(TRIM(MID(SUBSTITUTE(SUBSTITUTE(SUBSTITUTE(UPPER($H382)," ",""),"D",""),";",REPT(" ",30)),121,30))),0)+IFERROR(VALUE(TRIM(MID(SUBSTITUTE(SUBSTITUTE(SUBSTITUTE(UPPER($H382)," ",""),"D",""),";",REPT(" ",30)),151,30))),0)+IFERROR(VALUE(TRIM(MID(SUBSTITUTE(SUBSTITUTE(SUBSTITUTE(UPPER($H382)," ",""),"D",""),";",REPT(" ",30)),181,30))),0)+IFERROR(VALUE(TRIM(MID(SUBSTITUTE(SUBSTITUTE(SUBSTITUTE(UPPER($H382)," ",""),"D",""),";",REPT(" ",30)),211,30))),0)))))</f>
        <v/>
      </c>
      <c r="K382" s="26" t="n"/>
      <c r="L382" s="6" t="n"/>
      <c r="M382" s="13" t="n"/>
      <c r="N382" s="27">
        <f>IF($C382="","",IF($E382="Falta","-",MAX(0,MIN(10,8+IFERROR(VALUE(TRIM(MID(SUBSTITUTE(SUBSTITUTE(SUBSTITUTE(UPPER($L382)," ",""),"F",""),";",REPT(" ",30)),1,30))),0)+IFERROR(VALUE(TRIM(MID(SUBSTITUTE(SUBSTITUTE(SUBSTITUTE(UPPER($L382)," ",""),"F",""),";",REPT(" ",30)),31,30))),0)+IFERROR(VALUE(TRIM(MID(SUBSTITUTE(SUBSTITUTE(SUBSTITUTE(UPPER($L382)," ",""),"F",""),";",REPT(" ",30)),61,30))),0)+IFERROR(VALUE(TRIM(MID(SUBSTITUTE(SUBSTITUTE(SUBSTITUTE(UPPER($L382)," ",""),"F",""),";",REPT(" ",30)),91,30))),0)+IFERROR(VALUE(TRIM(MID(SUBSTITUTE(SUBSTITUTE(SUBSTITUTE(UPPER($L382)," ",""),"F",""),";",REPT(" ",30)),121,30))),0)+IFERROR(VALUE(TRIM(MID(SUBSTITUTE(SUBSTITUTE(SUBSTITUTE(UPPER($L382)," ",""),"F",""),";",REPT(" ",30)),151,30))),0)+IFERROR(VALUE(TRIM(MID(SUBSTITUTE(SUBSTITUTE(SUBSTITUTE(UPPER($L382)," ",""),"F",""),";",REPT(" ",30)),181,30))),0)+IFERROR(VALUE(TRIM(MID(SUBSTITUTE(SUBSTITUTE(SUBSTITUTE(UPPER($L382)," ",""),"F",""),";",REPT(" ",30)),211,30))),0)))))</f>
        <v/>
      </c>
      <c r="O382" s="26" t="n"/>
      <c r="P382" s="6" t="n"/>
      <c r="Q382" s="13" t="n"/>
      <c r="R382" s="27">
        <f>IF($C382="","",IF($E382="Falta","-",MAX(0,MIN(10,5+IFERROR(VALUE(TRIM(MID(SUBSTITUTE(SUBSTITUTE(SUBSTITUTE(UPPER($P382)," ",""),"C",""),";",REPT(" ",30)),1,30))),0)+IFERROR(VALUE(TRIM(MID(SUBSTITUTE(SUBSTITUTE(SUBSTITUTE(UPPER($P382)," ",""),"C",""),";",REPT(" ",30)),31,30))),0)+IFERROR(VALUE(TRIM(MID(SUBSTITUTE(SUBSTITUTE(SUBSTITUTE(UPPER($P382)," ",""),"C",""),";",REPT(" ",30)),61,30))),0)+IFERROR(VALUE(TRIM(MID(SUBSTITUTE(SUBSTITUTE(SUBSTITUTE(UPPER($P382)," ",""),"C",""),";",REPT(" ",30)),91,30))),0)+IFERROR(VALUE(TRIM(MID(SUBSTITUTE(SUBSTITUTE(SUBSTITUTE(UPPER($P382)," ",""),"C",""),";",REPT(" ",30)),121,30))),0)+IFERROR(VALUE(TRIM(MID(SUBSTITUTE(SUBSTITUTE(SUBSTITUTE(UPPER($P382)," ",""),"C",""),";",REPT(" ",30)),151,30))),0)+IFERROR(VALUE(TRIM(MID(SUBSTITUTE(SUBSTITUTE(SUBSTITUTE(UPPER($P382)," ",""),"C",""),";",REPT(" ",30)),181,30))),0)+IFERROR(VALUE(TRIM(MID(SUBSTITUTE(SUBSTITUTE(SUBSTITUTE(UPPER($P382)," ",""),"C",""),";",REPT(" ",30)),211,30))),0)))))</f>
        <v/>
      </c>
      <c r="S382" s="26" t="n"/>
      <c r="T382" s="6" t="n"/>
      <c r="U382" s="13" t="n"/>
      <c r="V382" s="27">
        <f>IF($C382="","",IF($E382="Falta","-",MAX(0,MIN(10,5+IFERROR(VALUE(TRIM(MID(SUBSTITUTE(SUBSTITUTE(SUBSTITUTE(UPPER($T382)," ",""),"P",""),";",REPT(" ",30)),1,30))),0)+IFERROR(VALUE(TRIM(MID(SUBSTITUTE(SUBSTITUTE(SUBSTITUTE(UPPER($T382)," ",""),"P",""),";",REPT(" ",30)),31,30))),0)+IFERROR(VALUE(TRIM(MID(SUBSTITUTE(SUBSTITUTE(SUBSTITUTE(UPPER($T382)," ",""),"P",""),";",REPT(" ",30)),61,30))),0)+IFERROR(VALUE(TRIM(MID(SUBSTITUTE(SUBSTITUTE(SUBSTITUTE(UPPER($T382)," ",""),"P",""),";",REPT(" ",30)),91,30))),0)+IFERROR(VALUE(TRIM(MID(SUBSTITUTE(SUBSTITUTE(SUBSTITUTE(UPPER($T382)," ",""),"P",""),";",REPT(" ",30)),121,30))),0)+IFERROR(VALUE(TRIM(MID(SUBSTITUTE(SUBSTITUTE(SUBSTITUTE(UPPER($T382)," ",""),"P",""),";",REPT(" ",30)),151,30))),0)+IFERROR(VALUE(TRIM(MID(SUBSTITUTE(SUBSTITUTE(SUBSTITUTE(UPPER($T382)," ",""),"P",""),";",REPT(" ",30)),181,30))),0)+IFERROR(VALUE(TRIM(MID(SUBSTITUTE(SUBSTITUTE(SUBSTITUTE(UPPER($T382)," ",""),"P",""),";",REPT(" ",30)),211,30))),0)))))</f>
        <v/>
      </c>
      <c r="W382" s="26" t="n"/>
      <c r="X382" s="13" t="n"/>
    </row>
    <row r="383">
      <c r="A383" s="6">
        <f>IF($C383="","",76)</f>
        <v/>
      </c>
      <c r="B383" s="6">
        <f>IF($C383="","","5ª Sessão")</f>
        <v/>
      </c>
      <c r="C383" s="6">
        <f>IF(Preenchimento!$B$85="","",Preenchimento!$B$85)</f>
        <v/>
      </c>
      <c r="D383" s="6">
        <f>IF($C383="","",IF(Preenchimento!$C$85="","-",Preenchimento!$C$85))</f>
        <v/>
      </c>
      <c r="E383" s="6" t="n"/>
      <c r="F383" s="6" t="n"/>
      <c r="G383" s="26" t="n"/>
      <c r="H383" s="6" t="n"/>
      <c r="I383" s="13" t="n"/>
      <c r="J383" s="27">
        <f>IF($C383="","",IF($E383="Falta","-",MAX(0,MIN(10,8+IFERROR(VALUE(TRIM(MID(SUBSTITUTE(SUBSTITUTE(SUBSTITUTE(UPPER($H383)," ",""),"D",""),";",REPT(" ",30)),1,30))),0)+IFERROR(VALUE(TRIM(MID(SUBSTITUTE(SUBSTITUTE(SUBSTITUTE(UPPER($H383)," ",""),"D",""),";",REPT(" ",30)),31,30))),0)+IFERROR(VALUE(TRIM(MID(SUBSTITUTE(SUBSTITUTE(SUBSTITUTE(UPPER($H383)," ",""),"D",""),";",REPT(" ",30)),61,30))),0)+IFERROR(VALUE(TRIM(MID(SUBSTITUTE(SUBSTITUTE(SUBSTITUTE(UPPER($H383)," ",""),"D",""),";",REPT(" ",30)),91,30))),0)+IFERROR(VALUE(TRIM(MID(SUBSTITUTE(SUBSTITUTE(SUBSTITUTE(UPPER($H383)," ",""),"D",""),";",REPT(" ",30)),121,30))),0)+IFERROR(VALUE(TRIM(MID(SUBSTITUTE(SUBSTITUTE(SUBSTITUTE(UPPER($H383)," ",""),"D",""),";",REPT(" ",30)),151,30))),0)+IFERROR(VALUE(TRIM(MID(SUBSTITUTE(SUBSTITUTE(SUBSTITUTE(UPPER($H383)," ",""),"D",""),";",REPT(" ",30)),181,30))),0)+IFERROR(VALUE(TRIM(MID(SUBSTITUTE(SUBSTITUTE(SUBSTITUTE(UPPER($H383)," ",""),"D",""),";",REPT(" ",30)),211,30))),0)))))</f>
        <v/>
      </c>
      <c r="K383" s="26" t="n"/>
      <c r="L383" s="6" t="n"/>
      <c r="M383" s="13" t="n"/>
      <c r="N383" s="27">
        <f>IF($C383="","",IF($E383="Falta","-",MAX(0,MIN(10,8+IFERROR(VALUE(TRIM(MID(SUBSTITUTE(SUBSTITUTE(SUBSTITUTE(UPPER($L383)," ",""),"F",""),";",REPT(" ",30)),1,30))),0)+IFERROR(VALUE(TRIM(MID(SUBSTITUTE(SUBSTITUTE(SUBSTITUTE(UPPER($L383)," ",""),"F",""),";",REPT(" ",30)),31,30))),0)+IFERROR(VALUE(TRIM(MID(SUBSTITUTE(SUBSTITUTE(SUBSTITUTE(UPPER($L383)," ",""),"F",""),";",REPT(" ",30)),61,30))),0)+IFERROR(VALUE(TRIM(MID(SUBSTITUTE(SUBSTITUTE(SUBSTITUTE(UPPER($L383)," ",""),"F",""),";",REPT(" ",30)),91,30))),0)+IFERROR(VALUE(TRIM(MID(SUBSTITUTE(SUBSTITUTE(SUBSTITUTE(UPPER($L383)," ",""),"F",""),";",REPT(" ",30)),121,30))),0)+IFERROR(VALUE(TRIM(MID(SUBSTITUTE(SUBSTITUTE(SUBSTITUTE(UPPER($L383)," ",""),"F",""),";",REPT(" ",30)),151,30))),0)+IFERROR(VALUE(TRIM(MID(SUBSTITUTE(SUBSTITUTE(SUBSTITUTE(UPPER($L383)," ",""),"F",""),";",REPT(" ",30)),181,30))),0)+IFERROR(VALUE(TRIM(MID(SUBSTITUTE(SUBSTITUTE(SUBSTITUTE(UPPER($L383)," ",""),"F",""),";",REPT(" ",30)),211,30))),0)))))</f>
        <v/>
      </c>
      <c r="O383" s="26" t="n"/>
      <c r="P383" s="6" t="n"/>
      <c r="Q383" s="13" t="n"/>
      <c r="R383" s="27">
        <f>IF($C383="","",IF($E383="Falta","-",MAX(0,MIN(10,5+IFERROR(VALUE(TRIM(MID(SUBSTITUTE(SUBSTITUTE(SUBSTITUTE(UPPER($P383)," ",""),"C",""),";",REPT(" ",30)),1,30))),0)+IFERROR(VALUE(TRIM(MID(SUBSTITUTE(SUBSTITUTE(SUBSTITUTE(UPPER($P383)," ",""),"C",""),";",REPT(" ",30)),31,30))),0)+IFERROR(VALUE(TRIM(MID(SUBSTITUTE(SUBSTITUTE(SUBSTITUTE(UPPER($P383)," ",""),"C",""),";",REPT(" ",30)),61,30))),0)+IFERROR(VALUE(TRIM(MID(SUBSTITUTE(SUBSTITUTE(SUBSTITUTE(UPPER($P383)," ",""),"C",""),";",REPT(" ",30)),91,30))),0)+IFERROR(VALUE(TRIM(MID(SUBSTITUTE(SUBSTITUTE(SUBSTITUTE(UPPER($P383)," ",""),"C",""),";",REPT(" ",30)),121,30))),0)+IFERROR(VALUE(TRIM(MID(SUBSTITUTE(SUBSTITUTE(SUBSTITUTE(UPPER($P383)," ",""),"C",""),";",REPT(" ",30)),151,30))),0)+IFERROR(VALUE(TRIM(MID(SUBSTITUTE(SUBSTITUTE(SUBSTITUTE(UPPER($P383)," ",""),"C",""),";",REPT(" ",30)),181,30))),0)+IFERROR(VALUE(TRIM(MID(SUBSTITUTE(SUBSTITUTE(SUBSTITUTE(UPPER($P383)," ",""),"C",""),";",REPT(" ",30)),211,30))),0)))))</f>
        <v/>
      </c>
      <c r="S383" s="26" t="n"/>
      <c r="T383" s="6" t="n"/>
      <c r="U383" s="13" t="n"/>
      <c r="V383" s="27">
        <f>IF($C383="","",IF($E383="Falta","-",MAX(0,MIN(10,5+IFERROR(VALUE(TRIM(MID(SUBSTITUTE(SUBSTITUTE(SUBSTITUTE(UPPER($T383)," ",""),"P",""),";",REPT(" ",30)),1,30))),0)+IFERROR(VALUE(TRIM(MID(SUBSTITUTE(SUBSTITUTE(SUBSTITUTE(UPPER($T383)," ",""),"P",""),";",REPT(" ",30)),31,30))),0)+IFERROR(VALUE(TRIM(MID(SUBSTITUTE(SUBSTITUTE(SUBSTITUTE(UPPER($T383)," ",""),"P",""),";",REPT(" ",30)),61,30))),0)+IFERROR(VALUE(TRIM(MID(SUBSTITUTE(SUBSTITUTE(SUBSTITUTE(UPPER($T383)," ",""),"P",""),";",REPT(" ",30)),91,30))),0)+IFERROR(VALUE(TRIM(MID(SUBSTITUTE(SUBSTITUTE(SUBSTITUTE(UPPER($T383)," ",""),"P",""),";",REPT(" ",30)),121,30))),0)+IFERROR(VALUE(TRIM(MID(SUBSTITUTE(SUBSTITUTE(SUBSTITUTE(UPPER($T383)," ",""),"P",""),";",REPT(" ",30)),151,30))),0)+IFERROR(VALUE(TRIM(MID(SUBSTITUTE(SUBSTITUTE(SUBSTITUTE(UPPER($T383)," ",""),"P",""),";",REPT(" ",30)),181,30))),0)+IFERROR(VALUE(TRIM(MID(SUBSTITUTE(SUBSTITUTE(SUBSTITUTE(UPPER($T383)," ",""),"P",""),";",REPT(" ",30)),211,30))),0)))))</f>
        <v/>
      </c>
      <c r="W383" s="26" t="n"/>
      <c r="X383" s="13" t="n"/>
    </row>
    <row r="384">
      <c r="A384" s="8">
        <f>IF($C384="","",77)</f>
        <v/>
      </c>
      <c r="B384" s="8">
        <f>IF($C384="","","1ª Sessão")</f>
        <v/>
      </c>
      <c r="C384" s="8">
        <f>IF(Preenchimento!$B$86="","",Preenchimento!$B$86)</f>
        <v/>
      </c>
      <c r="D384" s="8">
        <f>IF($C384="","",IF(Preenchimento!$C$86="","-",Preenchimento!$C$86))</f>
        <v/>
      </c>
      <c r="E384" s="8" t="n"/>
      <c r="F384" s="8" t="n"/>
      <c r="G384" s="24" t="n"/>
      <c r="H384" s="8" t="n"/>
      <c r="I384" s="14" t="n"/>
      <c r="J384" s="25">
        <f>IF($C384="","",IF($E384="Falta","-",MAX(0,MIN(10,8+IFERROR(VALUE(TRIM(MID(SUBSTITUTE(SUBSTITUTE(SUBSTITUTE(UPPER($H384)," ",""),"D",""),";",REPT(" ",30)),1,30))),0)+IFERROR(VALUE(TRIM(MID(SUBSTITUTE(SUBSTITUTE(SUBSTITUTE(UPPER($H384)," ",""),"D",""),";",REPT(" ",30)),31,30))),0)+IFERROR(VALUE(TRIM(MID(SUBSTITUTE(SUBSTITUTE(SUBSTITUTE(UPPER($H384)," ",""),"D",""),";",REPT(" ",30)),61,30))),0)+IFERROR(VALUE(TRIM(MID(SUBSTITUTE(SUBSTITUTE(SUBSTITUTE(UPPER($H384)," ",""),"D",""),";",REPT(" ",30)),91,30))),0)+IFERROR(VALUE(TRIM(MID(SUBSTITUTE(SUBSTITUTE(SUBSTITUTE(UPPER($H384)," ",""),"D",""),";",REPT(" ",30)),121,30))),0)+IFERROR(VALUE(TRIM(MID(SUBSTITUTE(SUBSTITUTE(SUBSTITUTE(UPPER($H384)," ",""),"D",""),";",REPT(" ",30)),151,30))),0)+IFERROR(VALUE(TRIM(MID(SUBSTITUTE(SUBSTITUTE(SUBSTITUTE(UPPER($H384)," ",""),"D",""),";",REPT(" ",30)),181,30))),0)+IFERROR(VALUE(TRIM(MID(SUBSTITUTE(SUBSTITUTE(SUBSTITUTE(UPPER($H384)," ",""),"D",""),";",REPT(" ",30)),211,30))),0)))))</f>
        <v/>
      </c>
      <c r="K384" s="24" t="n"/>
      <c r="L384" s="8" t="n"/>
      <c r="M384" s="14" t="n"/>
      <c r="N384" s="25">
        <f>IF($C384="","",IF($E384="Falta","-",MAX(0,MIN(10,8+IFERROR(VALUE(TRIM(MID(SUBSTITUTE(SUBSTITUTE(SUBSTITUTE(UPPER($L384)," ",""),"F",""),";",REPT(" ",30)),1,30))),0)+IFERROR(VALUE(TRIM(MID(SUBSTITUTE(SUBSTITUTE(SUBSTITUTE(UPPER($L384)," ",""),"F",""),";",REPT(" ",30)),31,30))),0)+IFERROR(VALUE(TRIM(MID(SUBSTITUTE(SUBSTITUTE(SUBSTITUTE(UPPER($L384)," ",""),"F",""),";",REPT(" ",30)),61,30))),0)+IFERROR(VALUE(TRIM(MID(SUBSTITUTE(SUBSTITUTE(SUBSTITUTE(UPPER($L384)," ",""),"F",""),";",REPT(" ",30)),91,30))),0)+IFERROR(VALUE(TRIM(MID(SUBSTITUTE(SUBSTITUTE(SUBSTITUTE(UPPER($L384)," ",""),"F",""),";",REPT(" ",30)),121,30))),0)+IFERROR(VALUE(TRIM(MID(SUBSTITUTE(SUBSTITUTE(SUBSTITUTE(UPPER($L384)," ",""),"F",""),";",REPT(" ",30)),151,30))),0)+IFERROR(VALUE(TRIM(MID(SUBSTITUTE(SUBSTITUTE(SUBSTITUTE(UPPER($L384)," ",""),"F",""),";",REPT(" ",30)),181,30))),0)+IFERROR(VALUE(TRIM(MID(SUBSTITUTE(SUBSTITUTE(SUBSTITUTE(UPPER($L384)," ",""),"F",""),";",REPT(" ",30)),211,30))),0)))))</f>
        <v/>
      </c>
      <c r="O384" s="24" t="n"/>
      <c r="P384" s="8" t="n"/>
      <c r="Q384" s="14" t="n"/>
      <c r="R384" s="25">
        <f>IF($C384="","",IF($E384="Falta","-",MAX(0,MIN(10,5+IFERROR(VALUE(TRIM(MID(SUBSTITUTE(SUBSTITUTE(SUBSTITUTE(UPPER($P384)," ",""),"C",""),";",REPT(" ",30)),1,30))),0)+IFERROR(VALUE(TRIM(MID(SUBSTITUTE(SUBSTITUTE(SUBSTITUTE(UPPER($P384)," ",""),"C",""),";",REPT(" ",30)),31,30))),0)+IFERROR(VALUE(TRIM(MID(SUBSTITUTE(SUBSTITUTE(SUBSTITUTE(UPPER($P384)," ",""),"C",""),";",REPT(" ",30)),61,30))),0)+IFERROR(VALUE(TRIM(MID(SUBSTITUTE(SUBSTITUTE(SUBSTITUTE(UPPER($P384)," ",""),"C",""),";",REPT(" ",30)),91,30))),0)+IFERROR(VALUE(TRIM(MID(SUBSTITUTE(SUBSTITUTE(SUBSTITUTE(UPPER($P384)," ",""),"C",""),";",REPT(" ",30)),121,30))),0)+IFERROR(VALUE(TRIM(MID(SUBSTITUTE(SUBSTITUTE(SUBSTITUTE(UPPER($P384)," ",""),"C",""),";",REPT(" ",30)),151,30))),0)+IFERROR(VALUE(TRIM(MID(SUBSTITUTE(SUBSTITUTE(SUBSTITUTE(UPPER($P384)," ",""),"C",""),";",REPT(" ",30)),181,30))),0)+IFERROR(VALUE(TRIM(MID(SUBSTITUTE(SUBSTITUTE(SUBSTITUTE(UPPER($P384)," ",""),"C",""),";",REPT(" ",30)),211,30))),0)))))</f>
        <v/>
      </c>
      <c r="S384" s="24" t="n"/>
      <c r="T384" s="8" t="n"/>
      <c r="U384" s="14" t="n"/>
      <c r="V384" s="25">
        <f>IF($C384="","",IF($E384="Falta","-",MAX(0,MIN(10,5+IFERROR(VALUE(TRIM(MID(SUBSTITUTE(SUBSTITUTE(SUBSTITUTE(UPPER($T384)," ",""),"P",""),";",REPT(" ",30)),1,30))),0)+IFERROR(VALUE(TRIM(MID(SUBSTITUTE(SUBSTITUTE(SUBSTITUTE(UPPER($T384)," ",""),"P",""),";",REPT(" ",30)),31,30))),0)+IFERROR(VALUE(TRIM(MID(SUBSTITUTE(SUBSTITUTE(SUBSTITUTE(UPPER($T384)," ",""),"P",""),";",REPT(" ",30)),61,30))),0)+IFERROR(VALUE(TRIM(MID(SUBSTITUTE(SUBSTITUTE(SUBSTITUTE(UPPER($T384)," ",""),"P",""),";",REPT(" ",30)),91,30))),0)+IFERROR(VALUE(TRIM(MID(SUBSTITUTE(SUBSTITUTE(SUBSTITUTE(UPPER($T384)," ",""),"P",""),";",REPT(" ",30)),121,30))),0)+IFERROR(VALUE(TRIM(MID(SUBSTITUTE(SUBSTITUTE(SUBSTITUTE(UPPER($T384)," ",""),"P",""),";",REPT(" ",30)),151,30))),0)+IFERROR(VALUE(TRIM(MID(SUBSTITUTE(SUBSTITUTE(SUBSTITUTE(UPPER($T384)," ",""),"P",""),";",REPT(" ",30)),181,30))),0)+IFERROR(VALUE(TRIM(MID(SUBSTITUTE(SUBSTITUTE(SUBSTITUTE(UPPER($T384)," ",""),"P",""),";",REPT(" ",30)),211,30))),0)))))</f>
        <v/>
      </c>
      <c r="W384" s="24" t="n"/>
      <c r="X384" s="14" t="n"/>
    </row>
    <row r="385">
      <c r="A385" s="8">
        <f>IF($C385="","",77)</f>
        <v/>
      </c>
      <c r="B385" s="8">
        <f>IF($C385="","","2ª Sessão")</f>
        <v/>
      </c>
      <c r="C385" s="8">
        <f>IF(Preenchimento!$B$86="","",Preenchimento!$B$86)</f>
        <v/>
      </c>
      <c r="D385" s="8">
        <f>IF($C385="","",IF(Preenchimento!$C$86="","-",Preenchimento!$C$86))</f>
        <v/>
      </c>
      <c r="E385" s="8" t="n"/>
      <c r="F385" s="8" t="n"/>
      <c r="G385" s="24" t="n"/>
      <c r="H385" s="8" t="n"/>
      <c r="I385" s="14" t="n"/>
      <c r="J385" s="25">
        <f>IF($C385="","",IF($E385="Falta","-",MAX(0,MIN(10,8+IFERROR(VALUE(TRIM(MID(SUBSTITUTE(SUBSTITUTE(SUBSTITUTE(UPPER($H385)," ",""),"D",""),";",REPT(" ",30)),1,30))),0)+IFERROR(VALUE(TRIM(MID(SUBSTITUTE(SUBSTITUTE(SUBSTITUTE(UPPER($H385)," ",""),"D",""),";",REPT(" ",30)),31,30))),0)+IFERROR(VALUE(TRIM(MID(SUBSTITUTE(SUBSTITUTE(SUBSTITUTE(UPPER($H385)," ",""),"D",""),";",REPT(" ",30)),61,30))),0)+IFERROR(VALUE(TRIM(MID(SUBSTITUTE(SUBSTITUTE(SUBSTITUTE(UPPER($H385)," ",""),"D",""),";",REPT(" ",30)),91,30))),0)+IFERROR(VALUE(TRIM(MID(SUBSTITUTE(SUBSTITUTE(SUBSTITUTE(UPPER($H385)," ",""),"D",""),";",REPT(" ",30)),121,30))),0)+IFERROR(VALUE(TRIM(MID(SUBSTITUTE(SUBSTITUTE(SUBSTITUTE(UPPER($H385)," ",""),"D",""),";",REPT(" ",30)),151,30))),0)+IFERROR(VALUE(TRIM(MID(SUBSTITUTE(SUBSTITUTE(SUBSTITUTE(UPPER($H385)," ",""),"D",""),";",REPT(" ",30)),181,30))),0)+IFERROR(VALUE(TRIM(MID(SUBSTITUTE(SUBSTITUTE(SUBSTITUTE(UPPER($H385)," ",""),"D",""),";",REPT(" ",30)),211,30))),0)))))</f>
        <v/>
      </c>
      <c r="K385" s="24" t="n"/>
      <c r="L385" s="8" t="n"/>
      <c r="M385" s="14" t="n"/>
      <c r="N385" s="25">
        <f>IF($C385="","",IF($E385="Falta","-",MAX(0,MIN(10,8+IFERROR(VALUE(TRIM(MID(SUBSTITUTE(SUBSTITUTE(SUBSTITUTE(UPPER($L385)," ",""),"F",""),";",REPT(" ",30)),1,30))),0)+IFERROR(VALUE(TRIM(MID(SUBSTITUTE(SUBSTITUTE(SUBSTITUTE(UPPER($L385)," ",""),"F",""),";",REPT(" ",30)),31,30))),0)+IFERROR(VALUE(TRIM(MID(SUBSTITUTE(SUBSTITUTE(SUBSTITUTE(UPPER($L385)," ",""),"F",""),";",REPT(" ",30)),61,30))),0)+IFERROR(VALUE(TRIM(MID(SUBSTITUTE(SUBSTITUTE(SUBSTITUTE(UPPER($L385)," ",""),"F",""),";",REPT(" ",30)),91,30))),0)+IFERROR(VALUE(TRIM(MID(SUBSTITUTE(SUBSTITUTE(SUBSTITUTE(UPPER($L385)," ",""),"F",""),";",REPT(" ",30)),121,30))),0)+IFERROR(VALUE(TRIM(MID(SUBSTITUTE(SUBSTITUTE(SUBSTITUTE(UPPER($L385)," ",""),"F",""),";",REPT(" ",30)),151,30))),0)+IFERROR(VALUE(TRIM(MID(SUBSTITUTE(SUBSTITUTE(SUBSTITUTE(UPPER($L385)," ",""),"F",""),";",REPT(" ",30)),181,30))),0)+IFERROR(VALUE(TRIM(MID(SUBSTITUTE(SUBSTITUTE(SUBSTITUTE(UPPER($L385)," ",""),"F",""),";",REPT(" ",30)),211,30))),0)))))</f>
        <v/>
      </c>
      <c r="O385" s="24" t="n"/>
      <c r="P385" s="8" t="n"/>
      <c r="Q385" s="14" t="n"/>
      <c r="R385" s="25">
        <f>IF($C385="","",IF($E385="Falta","-",MAX(0,MIN(10,5+IFERROR(VALUE(TRIM(MID(SUBSTITUTE(SUBSTITUTE(SUBSTITUTE(UPPER($P385)," ",""),"C",""),";",REPT(" ",30)),1,30))),0)+IFERROR(VALUE(TRIM(MID(SUBSTITUTE(SUBSTITUTE(SUBSTITUTE(UPPER($P385)," ",""),"C",""),";",REPT(" ",30)),31,30))),0)+IFERROR(VALUE(TRIM(MID(SUBSTITUTE(SUBSTITUTE(SUBSTITUTE(UPPER($P385)," ",""),"C",""),";",REPT(" ",30)),61,30))),0)+IFERROR(VALUE(TRIM(MID(SUBSTITUTE(SUBSTITUTE(SUBSTITUTE(UPPER($P385)," ",""),"C",""),";",REPT(" ",30)),91,30))),0)+IFERROR(VALUE(TRIM(MID(SUBSTITUTE(SUBSTITUTE(SUBSTITUTE(UPPER($P385)," ",""),"C",""),";",REPT(" ",30)),121,30))),0)+IFERROR(VALUE(TRIM(MID(SUBSTITUTE(SUBSTITUTE(SUBSTITUTE(UPPER($P385)," ",""),"C",""),";",REPT(" ",30)),151,30))),0)+IFERROR(VALUE(TRIM(MID(SUBSTITUTE(SUBSTITUTE(SUBSTITUTE(UPPER($P385)," ",""),"C",""),";",REPT(" ",30)),181,30))),0)+IFERROR(VALUE(TRIM(MID(SUBSTITUTE(SUBSTITUTE(SUBSTITUTE(UPPER($P385)," ",""),"C",""),";",REPT(" ",30)),211,30))),0)))))</f>
        <v/>
      </c>
      <c r="S385" s="24" t="n"/>
      <c r="T385" s="8" t="n"/>
      <c r="U385" s="14" t="n"/>
      <c r="V385" s="25">
        <f>IF($C385="","",IF($E385="Falta","-",MAX(0,MIN(10,5+IFERROR(VALUE(TRIM(MID(SUBSTITUTE(SUBSTITUTE(SUBSTITUTE(UPPER($T385)," ",""),"P",""),";",REPT(" ",30)),1,30))),0)+IFERROR(VALUE(TRIM(MID(SUBSTITUTE(SUBSTITUTE(SUBSTITUTE(UPPER($T385)," ",""),"P",""),";",REPT(" ",30)),31,30))),0)+IFERROR(VALUE(TRIM(MID(SUBSTITUTE(SUBSTITUTE(SUBSTITUTE(UPPER($T385)," ",""),"P",""),";",REPT(" ",30)),61,30))),0)+IFERROR(VALUE(TRIM(MID(SUBSTITUTE(SUBSTITUTE(SUBSTITUTE(UPPER($T385)," ",""),"P",""),";",REPT(" ",30)),91,30))),0)+IFERROR(VALUE(TRIM(MID(SUBSTITUTE(SUBSTITUTE(SUBSTITUTE(UPPER($T385)," ",""),"P",""),";",REPT(" ",30)),121,30))),0)+IFERROR(VALUE(TRIM(MID(SUBSTITUTE(SUBSTITUTE(SUBSTITUTE(UPPER($T385)," ",""),"P",""),";",REPT(" ",30)),151,30))),0)+IFERROR(VALUE(TRIM(MID(SUBSTITUTE(SUBSTITUTE(SUBSTITUTE(UPPER($T385)," ",""),"P",""),";",REPT(" ",30)),181,30))),0)+IFERROR(VALUE(TRIM(MID(SUBSTITUTE(SUBSTITUTE(SUBSTITUTE(UPPER($T385)," ",""),"P",""),";",REPT(" ",30)),211,30))),0)))))</f>
        <v/>
      </c>
      <c r="W385" s="24" t="n"/>
      <c r="X385" s="14" t="n"/>
    </row>
    <row r="386">
      <c r="A386" s="8">
        <f>IF($C386="","",77)</f>
        <v/>
      </c>
      <c r="B386" s="8">
        <f>IF($C386="","","3ª Sessão")</f>
        <v/>
      </c>
      <c r="C386" s="8">
        <f>IF(Preenchimento!$B$86="","",Preenchimento!$B$86)</f>
        <v/>
      </c>
      <c r="D386" s="8">
        <f>IF($C386="","",IF(Preenchimento!$C$86="","-",Preenchimento!$C$86))</f>
        <v/>
      </c>
      <c r="E386" s="8" t="n"/>
      <c r="F386" s="8" t="n"/>
      <c r="G386" s="24" t="n"/>
      <c r="H386" s="8" t="n"/>
      <c r="I386" s="14" t="n"/>
      <c r="J386" s="25">
        <f>IF($C386="","",IF($E386="Falta","-",MAX(0,MIN(10,8+IFERROR(VALUE(TRIM(MID(SUBSTITUTE(SUBSTITUTE(SUBSTITUTE(UPPER($H386)," ",""),"D",""),";",REPT(" ",30)),1,30))),0)+IFERROR(VALUE(TRIM(MID(SUBSTITUTE(SUBSTITUTE(SUBSTITUTE(UPPER($H386)," ",""),"D",""),";",REPT(" ",30)),31,30))),0)+IFERROR(VALUE(TRIM(MID(SUBSTITUTE(SUBSTITUTE(SUBSTITUTE(UPPER($H386)," ",""),"D",""),";",REPT(" ",30)),61,30))),0)+IFERROR(VALUE(TRIM(MID(SUBSTITUTE(SUBSTITUTE(SUBSTITUTE(UPPER($H386)," ",""),"D",""),";",REPT(" ",30)),91,30))),0)+IFERROR(VALUE(TRIM(MID(SUBSTITUTE(SUBSTITUTE(SUBSTITUTE(UPPER($H386)," ",""),"D",""),";",REPT(" ",30)),121,30))),0)+IFERROR(VALUE(TRIM(MID(SUBSTITUTE(SUBSTITUTE(SUBSTITUTE(UPPER($H386)," ",""),"D",""),";",REPT(" ",30)),151,30))),0)+IFERROR(VALUE(TRIM(MID(SUBSTITUTE(SUBSTITUTE(SUBSTITUTE(UPPER($H386)," ",""),"D",""),";",REPT(" ",30)),181,30))),0)+IFERROR(VALUE(TRIM(MID(SUBSTITUTE(SUBSTITUTE(SUBSTITUTE(UPPER($H386)," ",""),"D",""),";",REPT(" ",30)),211,30))),0)))))</f>
        <v/>
      </c>
      <c r="K386" s="24" t="n"/>
      <c r="L386" s="8" t="n"/>
      <c r="M386" s="14" t="n"/>
      <c r="N386" s="25">
        <f>IF($C386="","",IF($E386="Falta","-",MAX(0,MIN(10,8+IFERROR(VALUE(TRIM(MID(SUBSTITUTE(SUBSTITUTE(SUBSTITUTE(UPPER($L386)," ",""),"F",""),";",REPT(" ",30)),1,30))),0)+IFERROR(VALUE(TRIM(MID(SUBSTITUTE(SUBSTITUTE(SUBSTITUTE(UPPER($L386)," ",""),"F",""),";",REPT(" ",30)),31,30))),0)+IFERROR(VALUE(TRIM(MID(SUBSTITUTE(SUBSTITUTE(SUBSTITUTE(UPPER($L386)," ",""),"F",""),";",REPT(" ",30)),61,30))),0)+IFERROR(VALUE(TRIM(MID(SUBSTITUTE(SUBSTITUTE(SUBSTITUTE(UPPER($L386)," ",""),"F",""),";",REPT(" ",30)),91,30))),0)+IFERROR(VALUE(TRIM(MID(SUBSTITUTE(SUBSTITUTE(SUBSTITUTE(UPPER($L386)," ",""),"F",""),";",REPT(" ",30)),121,30))),0)+IFERROR(VALUE(TRIM(MID(SUBSTITUTE(SUBSTITUTE(SUBSTITUTE(UPPER($L386)," ",""),"F",""),";",REPT(" ",30)),151,30))),0)+IFERROR(VALUE(TRIM(MID(SUBSTITUTE(SUBSTITUTE(SUBSTITUTE(UPPER($L386)," ",""),"F",""),";",REPT(" ",30)),181,30))),0)+IFERROR(VALUE(TRIM(MID(SUBSTITUTE(SUBSTITUTE(SUBSTITUTE(UPPER($L386)," ",""),"F",""),";",REPT(" ",30)),211,30))),0)))))</f>
        <v/>
      </c>
      <c r="O386" s="24" t="n"/>
      <c r="P386" s="8" t="n"/>
      <c r="Q386" s="14" t="n"/>
      <c r="R386" s="25">
        <f>IF($C386="","",IF($E386="Falta","-",MAX(0,MIN(10,5+IFERROR(VALUE(TRIM(MID(SUBSTITUTE(SUBSTITUTE(SUBSTITUTE(UPPER($P386)," ",""),"C",""),";",REPT(" ",30)),1,30))),0)+IFERROR(VALUE(TRIM(MID(SUBSTITUTE(SUBSTITUTE(SUBSTITUTE(UPPER($P386)," ",""),"C",""),";",REPT(" ",30)),31,30))),0)+IFERROR(VALUE(TRIM(MID(SUBSTITUTE(SUBSTITUTE(SUBSTITUTE(UPPER($P386)," ",""),"C",""),";",REPT(" ",30)),61,30))),0)+IFERROR(VALUE(TRIM(MID(SUBSTITUTE(SUBSTITUTE(SUBSTITUTE(UPPER($P386)," ",""),"C",""),";",REPT(" ",30)),91,30))),0)+IFERROR(VALUE(TRIM(MID(SUBSTITUTE(SUBSTITUTE(SUBSTITUTE(UPPER($P386)," ",""),"C",""),";",REPT(" ",30)),121,30))),0)+IFERROR(VALUE(TRIM(MID(SUBSTITUTE(SUBSTITUTE(SUBSTITUTE(UPPER($P386)," ",""),"C",""),";",REPT(" ",30)),151,30))),0)+IFERROR(VALUE(TRIM(MID(SUBSTITUTE(SUBSTITUTE(SUBSTITUTE(UPPER($P386)," ",""),"C",""),";",REPT(" ",30)),181,30))),0)+IFERROR(VALUE(TRIM(MID(SUBSTITUTE(SUBSTITUTE(SUBSTITUTE(UPPER($P386)," ",""),"C",""),";",REPT(" ",30)),211,30))),0)))))</f>
        <v/>
      </c>
      <c r="S386" s="24" t="n"/>
      <c r="T386" s="8" t="n"/>
      <c r="U386" s="14" t="n"/>
      <c r="V386" s="25">
        <f>IF($C386="","",IF($E386="Falta","-",MAX(0,MIN(10,5+IFERROR(VALUE(TRIM(MID(SUBSTITUTE(SUBSTITUTE(SUBSTITUTE(UPPER($T386)," ",""),"P",""),";",REPT(" ",30)),1,30))),0)+IFERROR(VALUE(TRIM(MID(SUBSTITUTE(SUBSTITUTE(SUBSTITUTE(UPPER($T386)," ",""),"P",""),";",REPT(" ",30)),31,30))),0)+IFERROR(VALUE(TRIM(MID(SUBSTITUTE(SUBSTITUTE(SUBSTITUTE(UPPER($T386)," ",""),"P",""),";",REPT(" ",30)),61,30))),0)+IFERROR(VALUE(TRIM(MID(SUBSTITUTE(SUBSTITUTE(SUBSTITUTE(UPPER($T386)," ",""),"P",""),";",REPT(" ",30)),91,30))),0)+IFERROR(VALUE(TRIM(MID(SUBSTITUTE(SUBSTITUTE(SUBSTITUTE(UPPER($T386)," ",""),"P",""),";",REPT(" ",30)),121,30))),0)+IFERROR(VALUE(TRIM(MID(SUBSTITUTE(SUBSTITUTE(SUBSTITUTE(UPPER($T386)," ",""),"P",""),";",REPT(" ",30)),151,30))),0)+IFERROR(VALUE(TRIM(MID(SUBSTITUTE(SUBSTITUTE(SUBSTITUTE(UPPER($T386)," ",""),"P",""),";",REPT(" ",30)),181,30))),0)+IFERROR(VALUE(TRIM(MID(SUBSTITUTE(SUBSTITUTE(SUBSTITUTE(UPPER($T386)," ",""),"P",""),";",REPT(" ",30)),211,30))),0)))))</f>
        <v/>
      </c>
      <c r="W386" s="24" t="n"/>
      <c r="X386" s="14" t="n"/>
    </row>
    <row r="387">
      <c r="A387" s="8">
        <f>IF($C387="","",77)</f>
        <v/>
      </c>
      <c r="B387" s="8">
        <f>IF($C387="","","4ª Sessão")</f>
        <v/>
      </c>
      <c r="C387" s="8">
        <f>IF(Preenchimento!$B$86="","",Preenchimento!$B$86)</f>
        <v/>
      </c>
      <c r="D387" s="8">
        <f>IF($C387="","",IF(Preenchimento!$C$86="","-",Preenchimento!$C$86))</f>
        <v/>
      </c>
      <c r="E387" s="8" t="n"/>
      <c r="F387" s="8" t="n"/>
      <c r="G387" s="24" t="n"/>
      <c r="H387" s="8" t="n"/>
      <c r="I387" s="14" t="n"/>
      <c r="J387" s="25">
        <f>IF($C387="","",IF($E387="Falta","-",MAX(0,MIN(10,8+IFERROR(VALUE(TRIM(MID(SUBSTITUTE(SUBSTITUTE(SUBSTITUTE(UPPER($H387)," ",""),"D",""),";",REPT(" ",30)),1,30))),0)+IFERROR(VALUE(TRIM(MID(SUBSTITUTE(SUBSTITUTE(SUBSTITUTE(UPPER($H387)," ",""),"D",""),";",REPT(" ",30)),31,30))),0)+IFERROR(VALUE(TRIM(MID(SUBSTITUTE(SUBSTITUTE(SUBSTITUTE(UPPER($H387)," ",""),"D",""),";",REPT(" ",30)),61,30))),0)+IFERROR(VALUE(TRIM(MID(SUBSTITUTE(SUBSTITUTE(SUBSTITUTE(UPPER($H387)," ",""),"D",""),";",REPT(" ",30)),91,30))),0)+IFERROR(VALUE(TRIM(MID(SUBSTITUTE(SUBSTITUTE(SUBSTITUTE(UPPER($H387)," ",""),"D",""),";",REPT(" ",30)),121,30))),0)+IFERROR(VALUE(TRIM(MID(SUBSTITUTE(SUBSTITUTE(SUBSTITUTE(UPPER($H387)," ",""),"D",""),";",REPT(" ",30)),151,30))),0)+IFERROR(VALUE(TRIM(MID(SUBSTITUTE(SUBSTITUTE(SUBSTITUTE(UPPER($H387)," ",""),"D",""),";",REPT(" ",30)),181,30))),0)+IFERROR(VALUE(TRIM(MID(SUBSTITUTE(SUBSTITUTE(SUBSTITUTE(UPPER($H387)," ",""),"D",""),";",REPT(" ",30)),211,30))),0)))))</f>
        <v/>
      </c>
      <c r="K387" s="24" t="n"/>
      <c r="L387" s="8" t="n"/>
      <c r="M387" s="14" t="n"/>
      <c r="N387" s="25">
        <f>IF($C387="","",IF($E387="Falta","-",MAX(0,MIN(10,8+IFERROR(VALUE(TRIM(MID(SUBSTITUTE(SUBSTITUTE(SUBSTITUTE(UPPER($L387)," ",""),"F",""),";",REPT(" ",30)),1,30))),0)+IFERROR(VALUE(TRIM(MID(SUBSTITUTE(SUBSTITUTE(SUBSTITUTE(UPPER($L387)," ",""),"F",""),";",REPT(" ",30)),31,30))),0)+IFERROR(VALUE(TRIM(MID(SUBSTITUTE(SUBSTITUTE(SUBSTITUTE(UPPER($L387)," ",""),"F",""),";",REPT(" ",30)),61,30))),0)+IFERROR(VALUE(TRIM(MID(SUBSTITUTE(SUBSTITUTE(SUBSTITUTE(UPPER($L387)," ",""),"F",""),";",REPT(" ",30)),91,30))),0)+IFERROR(VALUE(TRIM(MID(SUBSTITUTE(SUBSTITUTE(SUBSTITUTE(UPPER($L387)," ",""),"F",""),";",REPT(" ",30)),121,30))),0)+IFERROR(VALUE(TRIM(MID(SUBSTITUTE(SUBSTITUTE(SUBSTITUTE(UPPER($L387)," ",""),"F",""),";",REPT(" ",30)),151,30))),0)+IFERROR(VALUE(TRIM(MID(SUBSTITUTE(SUBSTITUTE(SUBSTITUTE(UPPER($L387)," ",""),"F",""),";",REPT(" ",30)),181,30))),0)+IFERROR(VALUE(TRIM(MID(SUBSTITUTE(SUBSTITUTE(SUBSTITUTE(UPPER($L387)," ",""),"F",""),";",REPT(" ",30)),211,30))),0)))))</f>
        <v/>
      </c>
      <c r="O387" s="24" t="n"/>
      <c r="P387" s="8" t="n"/>
      <c r="Q387" s="14" t="n"/>
      <c r="R387" s="25">
        <f>IF($C387="","",IF($E387="Falta","-",MAX(0,MIN(10,5+IFERROR(VALUE(TRIM(MID(SUBSTITUTE(SUBSTITUTE(SUBSTITUTE(UPPER($P387)," ",""),"C",""),";",REPT(" ",30)),1,30))),0)+IFERROR(VALUE(TRIM(MID(SUBSTITUTE(SUBSTITUTE(SUBSTITUTE(UPPER($P387)," ",""),"C",""),";",REPT(" ",30)),31,30))),0)+IFERROR(VALUE(TRIM(MID(SUBSTITUTE(SUBSTITUTE(SUBSTITUTE(UPPER($P387)," ",""),"C",""),";",REPT(" ",30)),61,30))),0)+IFERROR(VALUE(TRIM(MID(SUBSTITUTE(SUBSTITUTE(SUBSTITUTE(UPPER($P387)," ",""),"C",""),";",REPT(" ",30)),91,30))),0)+IFERROR(VALUE(TRIM(MID(SUBSTITUTE(SUBSTITUTE(SUBSTITUTE(UPPER($P387)," ",""),"C",""),";",REPT(" ",30)),121,30))),0)+IFERROR(VALUE(TRIM(MID(SUBSTITUTE(SUBSTITUTE(SUBSTITUTE(UPPER($P387)," ",""),"C",""),";",REPT(" ",30)),151,30))),0)+IFERROR(VALUE(TRIM(MID(SUBSTITUTE(SUBSTITUTE(SUBSTITUTE(UPPER($P387)," ",""),"C",""),";",REPT(" ",30)),181,30))),0)+IFERROR(VALUE(TRIM(MID(SUBSTITUTE(SUBSTITUTE(SUBSTITUTE(UPPER($P387)," ",""),"C",""),";",REPT(" ",30)),211,30))),0)))))</f>
        <v/>
      </c>
      <c r="S387" s="24" t="n"/>
      <c r="T387" s="8" t="n"/>
      <c r="U387" s="14" t="n"/>
      <c r="V387" s="25">
        <f>IF($C387="","",IF($E387="Falta","-",MAX(0,MIN(10,5+IFERROR(VALUE(TRIM(MID(SUBSTITUTE(SUBSTITUTE(SUBSTITUTE(UPPER($T387)," ",""),"P",""),";",REPT(" ",30)),1,30))),0)+IFERROR(VALUE(TRIM(MID(SUBSTITUTE(SUBSTITUTE(SUBSTITUTE(UPPER($T387)," ",""),"P",""),";",REPT(" ",30)),31,30))),0)+IFERROR(VALUE(TRIM(MID(SUBSTITUTE(SUBSTITUTE(SUBSTITUTE(UPPER($T387)," ",""),"P",""),";",REPT(" ",30)),61,30))),0)+IFERROR(VALUE(TRIM(MID(SUBSTITUTE(SUBSTITUTE(SUBSTITUTE(UPPER($T387)," ",""),"P",""),";",REPT(" ",30)),91,30))),0)+IFERROR(VALUE(TRIM(MID(SUBSTITUTE(SUBSTITUTE(SUBSTITUTE(UPPER($T387)," ",""),"P",""),";",REPT(" ",30)),121,30))),0)+IFERROR(VALUE(TRIM(MID(SUBSTITUTE(SUBSTITUTE(SUBSTITUTE(UPPER($T387)," ",""),"P",""),";",REPT(" ",30)),151,30))),0)+IFERROR(VALUE(TRIM(MID(SUBSTITUTE(SUBSTITUTE(SUBSTITUTE(UPPER($T387)," ",""),"P",""),";",REPT(" ",30)),181,30))),0)+IFERROR(VALUE(TRIM(MID(SUBSTITUTE(SUBSTITUTE(SUBSTITUTE(UPPER($T387)," ",""),"P",""),";",REPT(" ",30)),211,30))),0)))))</f>
        <v/>
      </c>
      <c r="W387" s="24" t="n"/>
      <c r="X387" s="14" t="n"/>
    </row>
    <row r="388">
      <c r="A388" s="8">
        <f>IF($C388="","",77)</f>
        <v/>
      </c>
      <c r="B388" s="8">
        <f>IF($C388="","","5ª Sessão")</f>
        <v/>
      </c>
      <c r="C388" s="8">
        <f>IF(Preenchimento!$B$86="","",Preenchimento!$B$86)</f>
        <v/>
      </c>
      <c r="D388" s="8">
        <f>IF($C388="","",IF(Preenchimento!$C$86="","-",Preenchimento!$C$86))</f>
        <v/>
      </c>
      <c r="E388" s="8" t="n"/>
      <c r="F388" s="8" t="n"/>
      <c r="G388" s="24" t="n"/>
      <c r="H388" s="8" t="n"/>
      <c r="I388" s="14" t="n"/>
      <c r="J388" s="25">
        <f>IF($C388="","",IF($E388="Falta","-",MAX(0,MIN(10,8+IFERROR(VALUE(TRIM(MID(SUBSTITUTE(SUBSTITUTE(SUBSTITUTE(UPPER($H388)," ",""),"D",""),";",REPT(" ",30)),1,30))),0)+IFERROR(VALUE(TRIM(MID(SUBSTITUTE(SUBSTITUTE(SUBSTITUTE(UPPER($H388)," ",""),"D",""),";",REPT(" ",30)),31,30))),0)+IFERROR(VALUE(TRIM(MID(SUBSTITUTE(SUBSTITUTE(SUBSTITUTE(UPPER($H388)," ",""),"D",""),";",REPT(" ",30)),61,30))),0)+IFERROR(VALUE(TRIM(MID(SUBSTITUTE(SUBSTITUTE(SUBSTITUTE(UPPER($H388)," ",""),"D",""),";",REPT(" ",30)),91,30))),0)+IFERROR(VALUE(TRIM(MID(SUBSTITUTE(SUBSTITUTE(SUBSTITUTE(UPPER($H388)," ",""),"D",""),";",REPT(" ",30)),121,30))),0)+IFERROR(VALUE(TRIM(MID(SUBSTITUTE(SUBSTITUTE(SUBSTITUTE(UPPER($H388)," ",""),"D",""),";",REPT(" ",30)),151,30))),0)+IFERROR(VALUE(TRIM(MID(SUBSTITUTE(SUBSTITUTE(SUBSTITUTE(UPPER($H388)," ",""),"D",""),";",REPT(" ",30)),181,30))),0)+IFERROR(VALUE(TRIM(MID(SUBSTITUTE(SUBSTITUTE(SUBSTITUTE(UPPER($H388)," ",""),"D",""),";",REPT(" ",30)),211,30))),0)))))</f>
        <v/>
      </c>
      <c r="K388" s="24" t="n"/>
      <c r="L388" s="8" t="n"/>
      <c r="M388" s="14" t="n"/>
      <c r="N388" s="25">
        <f>IF($C388="","",IF($E388="Falta","-",MAX(0,MIN(10,8+IFERROR(VALUE(TRIM(MID(SUBSTITUTE(SUBSTITUTE(SUBSTITUTE(UPPER($L388)," ",""),"F",""),";",REPT(" ",30)),1,30))),0)+IFERROR(VALUE(TRIM(MID(SUBSTITUTE(SUBSTITUTE(SUBSTITUTE(UPPER($L388)," ",""),"F",""),";",REPT(" ",30)),31,30))),0)+IFERROR(VALUE(TRIM(MID(SUBSTITUTE(SUBSTITUTE(SUBSTITUTE(UPPER($L388)," ",""),"F",""),";",REPT(" ",30)),61,30))),0)+IFERROR(VALUE(TRIM(MID(SUBSTITUTE(SUBSTITUTE(SUBSTITUTE(UPPER($L388)," ",""),"F",""),";",REPT(" ",30)),91,30))),0)+IFERROR(VALUE(TRIM(MID(SUBSTITUTE(SUBSTITUTE(SUBSTITUTE(UPPER($L388)," ",""),"F",""),";",REPT(" ",30)),121,30))),0)+IFERROR(VALUE(TRIM(MID(SUBSTITUTE(SUBSTITUTE(SUBSTITUTE(UPPER($L388)," ",""),"F",""),";",REPT(" ",30)),151,30))),0)+IFERROR(VALUE(TRIM(MID(SUBSTITUTE(SUBSTITUTE(SUBSTITUTE(UPPER($L388)," ",""),"F",""),";",REPT(" ",30)),181,30))),0)+IFERROR(VALUE(TRIM(MID(SUBSTITUTE(SUBSTITUTE(SUBSTITUTE(UPPER($L388)," ",""),"F",""),";",REPT(" ",30)),211,30))),0)))))</f>
        <v/>
      </c>
      <c r="O388" s="24" t="n"/>
      <c r="P388" s="8" t="n"/>
      <c r="Q388" s="14" t="n"/>
      <c r="R388" s="25">
        <f>IF($C388="","",IF($E388="Falta","-",MAX(0,MIN(10,5+IFERROR(VALUE(TRIM(MID(SUBSTITUTE(SUBSTITUTE(SUBSTITUTE(UPPER($P388)," ",""),"C",""),";",REPT(" ",30)),1,30))),0)+IFERROR(VALUE(TRIM(MID(SUBSTITUTE(SUBSTITUTE(SUBSTITUTE(UPPER($P388)," ",""),"C",""),";",REPT(" ",30)),31,30))),0)+IFERROR(VALUE(TRIM(MID(SUBSTITUTE(SUBSTITUTE(SUBSTITUTE(UPPER($P388)," ",""),"C",""),";",REPT(" ",30)),61,30))),0)+IFERROR(VALUE(TRIM(MID(SUBSTITUTE(SUBSTITUTE(SUBSTITUTE(UPPER($P388)," ",""),"C",""),";",REPT(" ",30)),91,30))),0)+IFERROR(VALUE(TRIM(MID(SUBSTITUTE(SUBSTITUTE(SUBSTITUTE(UPPER($P388)," ",""),"C",""),";",REPT(" ",30)),121,30))),0)+IFERROR(VALUE(TRIM(MID(SUBSTITUTE(SUBSTITUTE(SUBSTITUTE(UPPER($P388)," ",""),"C",""),";",REPT(" ",30)),151,30))),0)+IFERROR(VALUE(TRIM(MID(SUBSTITUTE(SUBSTITUTE(SUBSTITUTE(UPPER($P388)," ",""),"C",""),";",REPT(" ",30)),181,30))),0)+IFERROR(VALUE(TRIM(MID(SUBSTITUTE(SUBSTITUTE(SUBSTITUTE(UPPER($P388)," ",""),"C",""),";",REPT(" ",30)),211,30))),0)))))</f>
        <v/>
      </c>
      <c r="S388" s="24" t="n"/>
      <c r="T388" s="8" t="n"/>
      <c r="U388" s="14" t="n"/>
      <c r="V388" s="25">
        <f>IF($C388="","",IF($E388="Falta","-",MAX(0,MIN(10,5+IFERROR(VALUE(TRIM(MID(SUBSTITUTE(SUBSTITUTE(SUBSTITUTE(UPPER($T388)," ",""),"P",""),";",REPT(" ",30)),1,30))),0)+IFERROR(VALUE(TRIM(MID(SUBSTITUTE(SUBSTITUTE(SUBSTITUTE(UPPER($T388)," ",""),"P",""),";",REPT(" ",30)),31,30))),0)+IFERROR(VALUE(TRIM(MID(SUBSTITUTE(SUBSTITUTE(SUBSTITUTE(UPPER($T388)," ",""),"P",""),";",REPT(" ",30)),61,30))),0)+IFERROR(VALUE(TRIM(MID(SUBSTITUTE(SUBSTITUTE(SUBSTITUTE(UPPER($T388)," ",""),"P",""),";",REPT(" ",30)),91,30))),0)+IFERROR(VALUE(TRIM(MID(SUBSTITUTE(SUBSTITUTE(SUBSTITUTE(UPPER($T388)," ",""),"P",""),";",REPT(" ",30)),121,30))),0)+IFERROR(VALUE(TRIM(MID(SUBSTITUTE(SUBSTITUTE(SUBSTITUTE(UPPER($T388)," ",""),"P",""),";",REPT(" ",30)),151,30))),0)+IFERROR(VALUE(TRIM(MID(SUBSTITUTE(SUBSTITUTE(SUBSTITUTE(UPPER($T388)," ",""),"P",""),";",REPT(" ",30)),181,30))),0)+IFERROR(VALUE(TRIM(MID(SUBSTITUTE(SUBSTITUTE(SUBSTITUTE(UPPER($T388)," ",""),"P",""),";",REPT(" ",30)),211,30))),0)))))</f>
        <v/>
      </c>
      <c r="W388" s="24" t="n"/>
      <c r="X388" s="14" t="n"/>
    </row>
    <row r="389">
      <c r="A389" s="6">
        <f>IF($C389="","",78)</f>
        <v/>
      </c>
      <c r="B389" s="6">
        <f>IF($C389="","","1ª Sessão")</f>
        <v/>
      </c>
      <c r="C389" s="6">
        <f>IF(Preenchimento!$B$87="","",Preenchimento!$B$87)</f>
        <v/>
      </c>
      <c r="D389" s="6">
        <f>IF($C389="","",IF(Preenchimento!$C$87="","-",Preenchimento!$C$87))</f>
        <v/>
      </c>
      <c r="E389" s="6" t="n"/>
      <c r="F389" s="6" t="n"/>
      <c r="G389" s="26" t="n"/>
      <c r="H389" s="6" t="n"/>
      <c r="I389" s="13" t="n"/>
      <c r="J389" s="27">
        <f>IF($C389="","",IF($E389="Falta","-",MAX(0,MIN(10,8+IFERROR(VALUE(TRIM(MID(SUBSTITUTE(SUBSTITUTE(SUBSTITUTE(UPPER($H389)," ",""),"D",""),";",REPT(" ",30)),1,30))),0)+IFERROR(VALUE(TRIM(MID(SUBSTITUTE(SUBSTITUTE(SUBSTITUTE(UPPER($H389)," ",""),"D",""),";",REPT(" ",30)),31,30))),0)+IFERROR(VALUE(TRIM(MID(SUBSTITUTE(SUBSTITUTE(SUBSTITUTE(UPPER($H389)," ",""),"D",""),";",REPT(" ",30)),61,30))),0)+IFERROR(VALUE(TRIM(MID(SUBSTITUTE(SUBSTITUTE(SUBSTITUTE(UPPER($H389)," ",""),"D",""),";",REPT(" ",30)),91,30))),0)+IFERROR(VALUE(TRIM(MID(SUBSTITUTE(SUBSTITUTE(SUBSTITUTE(UPPER($H389)," ",""),"D",""),";",REPT(" ",30)),121,30))),0)+IFERROR(VALUE(TRIM(MID(SUBSTITUTE(SUBSTITUTE(SUBSTITUTE(UPPER($H389)," ",""),"D",""),";",REPT(" ",30)),151,30))),0)+IFERROR(VALUE(TRIM(MID(SUBSTITUTE(SUBSTITUTE(SUBSTITUTE(UPPER($H389)," ",""),"D",""),";",REPT(" ",30)),181,30))),0)+IFERROR(VALUE(TRIM(MID(SUBSTITUTE(SUBSTITUTE(SUBSTITUTE(UPPER($H389)," ",""),"D",""),";",REPT(" ",30)),211,30))),0)))))</f>
        <v/>
      </c>
      <c r="K389" s="26" t="n"/>
      <c r="L389" s="6" t="n"/>
      <c r="M389" s="13" t="n"/>
      <c r="N389" s="27">
        <f>IF($C389="","",IF($E389="Falta","-",MAX(0,MIN(10,8+IFERROR(VALUE(TRIM(MID(SUBSTITUTE(SUBSTITUTE(SUBSTITUTE(UPPER($L389)," ",""),"F",""),";",REPT(" ",30)),1,30))),0)+IFERROR(VALUE(TRIM(MID(SUBSTITUTE(SUBSTITUTE(SUBSTITUTE(UPPER($L389)," ",""),"F",""),";",REPT(" ",30)),31,30))),0)+IFERROR(VALUE(TRIM(MID(SUBSTITUTE(SUBSTITUTE(SUBSTITUTE(UPPER($L389)," ",""),"F",""),";",REPT(" ",30)),61,30))),0)+IFERROR(VALUE(TRIM(MID(SUBSTITUTE(SUBSTITUTE(SUBSTITUTE(UPPER($L389)," ",""),"F",""),";",REPT(" ",30)),91,30))),0)+IFERROR(VALUE(TRIM(MID(SUBSTITUTE(SUBSTITUTE(SUBSTITUTE(UPPER($L389)," ",""),"F",""),";",REPT(" ",30)),121,30))),0)+IFERROR(VALUE(TRIM(MID(SUBSTITUTE(SUBSTITUTE(SUBSTITUTE(UPPER($L389)," ",""),"F",""),";",REPT(" ",30)),151,30))),0)+IFERROR(VALUE(TRIM(MID(SUBSTITUTE(SUBSTITUTE(SUBSTITUTE(UPPER($L389)," ",""),"F",""),";",REPT(" ",30)),181,30))),0)+IFERROR(VALUE(TRIM(MID(SUBSTITUTE(SUBSTITUTE(SUBSTITUTE(UPPER($L389)," ",""),"F",""),";",REPT(" ",30)),211,30))),0)))))</f>
        <v/>
      </c>
      <c r="O389" s="26" t="n"/>
      <c r="P389" s="6" t="n"/>
      <c r="Q389" s="13" t="n"/>
      <c r="R389" s="27">
        <f>IF($C389="","",IF($E389="Falta","-",MAX(0,MIN(10,5+IFERROR(VALUE(TRIM(MID(SUBSTITUTE(SUBSTITUTE(SUBSTITUTE(UPPER($P389)," ",""),"C",""),";",REPT(" ",30)),1,30))),0)+IFERROR(VALUE(TRIM(MID(SUBSTITUTE(SUBSTITUTE(SUBSTITUTE(UPPER($P389)," ",""),"C",""),";",REPT(" ",30)),31,30))),0)+IFERROR(VALUE(TRIM(MID(SUBSTITUTE(SUBSTITUTE(SUBSTITUTE(UPPER($P389)," ",""),"C",""),";",REPT(" ",30)),61,30))),0)+IFERROR(VALUE(TRIM(MID(SUBSTITUTE(SUBSTITUTE(SUBSTITUTE(UPPER($P389)," ",""),"C",""),";",REPT(" ",30)),91,30))),0)+IFERROR(VALUE(TRIM(MID(SUBSTITUTE(SUBSTITUTE(SUBSTITUTE(UPPER($P389)," ",""),"C",""),";",REPT(" ",30)),121,30))),0)+IFERROR(VALUE(TRIM(MID(SUBSTITUTE(SUBSTITUTE(SUBSTITUTE(UPPER($P389)," ",""),"C",""),";",REPT(" ",30)),151,30))),0)+IFERROR(VALUE(TRIM(MID(SUBSTITUTE(SUBSTITUTE(SUBSTITUTE(UPPER($P389)," ",""),"C",""),";",REPT(" ",30)),181,30))),0)+IFERROR(VALUE(TRIM(MID(SUBSTITUTE(SUBSTITUTE(SUBSTITUTE(UPPER($P389)," ",""),"C",""),";",REPT(" ",30)),211,30))),0)))))</f>
        <v/>
      </c>
      <c r="S389" s="26" t="n"/>
      <c r="T389" s="6" t="n"/>
      <c r="U389" s="13" t="n"/>
      <c r="V389" s="27">
        <f>IF($C389="","",IF($E389="Falta","-",MAX(0,MIN(10,5+IFERROR(VALUE(TRIM(MID(SUBSTITUTE(SUBSTITUTE(SUBSTITUTE(UPPER($T389)," ",""),"P",""),";",REPT(" ",30)),1,30))),0)+IFERROR(VALUE(TRIM(MID(SUBSTITUTE(SUBSTITUTE(SUBSTITUTE(UPPER($T389)," ",""),"P",""),";",REPT(" ",30)),31,30))),0)+IFERROR(VALUE(TRIM(MID(SUBSTITUTE(SUBSTITUTE(SUBSTITUTE(UPPER($T389)," ",""),"P",""),";",REPT(" ",30)),61,30))),0)+IFERROR(VALUE(TRIM(MID(SUBSTITUTE(SUBSTITUTE(SUBSTITUTE(UPPER($T389)," ",""),"P",""),";",REPT(" ",30)),91,30))),0)+IFERROR(VALUE(TRIM(MID(SUBSTITUTE(SUBSTITUTE(SUBSTITUTE(UPPER($T389)," ",""),"P",""),";",REPT(" ",30)),121,30))),0)+IFERROR(VALUE(TRIM(MID(SUBSTITUTE(SUBSTITUTE(SUBSTITUTE(UPPER($T389)," ",""),"P",""),";",REPT(" ",30)),151,30))),0)+IFERROR(VALUE(TRIM(MID(SUBSTITUTE(SUBSTITUTE(SUBSTITUTE(UPPER($T389)," ",""),"P",""),";",REPT(" ",30)),181,30))),0)+IFERROR(VALUE(TRIM(MID(SUBSTITUTE(SUBSTITUTE(SUBSTITUTE(UPPER($T389)," ",""),"P",""),";",REPT(" ",30)),211,30))),0)))))</f>
        <v/>
      </c>
      <c r="W389" s="26" t="n"/>
      <c r="X389" s="13" t="n"/>
    </row>
    <row r="390">
      <c r="A390" s="6">
        <f>IF($C390="","",78)</f>
        <v/>
      </c>
      <c r="B390" s="6">
        <f>IF($C390="","","2ª Sessão")</f>
        <v/>
      </c>
      <c r="C390" s="6">
        <f>IF(Preenchimento!$B$87="","",Preenchimento!$B$87)</f>
        <v/>
      </c>
      <c r="D390" s="6">
        <f>IF($C390="","",IF(Preenchimento!$C$87="","-",Preenchimento!$C$87))</f>
        <v/>
      </c>
      <c r="E390" s="6" t="n"/>
      <c r="F390" s="6" t="n"/>
      <c r="G390" s="26" t="n"/>
      <c r="H390" s="6" t="n"/>
      <c r="I390" s="13" t="n"/>
      <c r="J390" s="27">
        <f>IF($C390="","",IF($E390="Falta","-",MAX(0,MIN(10,8+IFERROR(VALUE(TRIM(MID(SUBSTITUTE(SUBSTITUTE(SUBSTITUTE(UPPER($H390)," ",""),"D",""),";",REPT(" ",30)),1,30))),0)+IFERROR(VALUE(TRIM(MID(SUBSTITUTE(SUBSTITUTE(SUBSTITUTE(UPPER($H390)," ",""),"D",""),";",REPT(" ",30)),31,30))),0)+IFERROR(VALUE(TRIM(MID(SUBSTITUTE(SUBSTITUTE(SUBSTITUTE(UPPER($H390)," ",""),"D",""),";",REPT(" ",30)),61,30))),0)+IFERROR(VALUE(TRIM(MID(SUBSTITUTE(SUBSTITUTE(SUBSTITUTE(UPPER($H390)," ",""),"D",""),";",REPT(" ",30)),91,30))),0)+IFERROR(VALUE(TRIM(MID(SUBSTITUTE(SUBSTITUTE(SUBSTITUTE(UPPER($H390)," ",""),"D",""),";",REPT(" ",30)),121,30))),0)+IFERROR(VALUE(TRIM(MID(SUBSTITUTE(SUBSTITUTE(SUBSTITUTE(UPPER($H390)," ",""),"D",""),";",REPT(" ",30)),151,30))),0)+IFERROR(VALUE(TRIM(MID(SUBSTITUTE(SUBSTITUTE(SUBSTITUTE(UPPER($H390)," ",""),"D",""),";",REPT(" ",30)),181,30))),0)+IFERROR(VALUE(TRIM(MID(SUBSTITUTE(SUBSTITUTE(SUBSTITUTE(UPPER($H390)," ",""),"D",""),";",REPT(" ",30)),211,30))),0)))))</f>
        <v/>
      </c>
      <c r="K390" s="26" t="n"/>
      <c r="L390" s="6" t="n"/>
      <c r="M390" s="13" t="n"/>
      <c r="N390" s="27">
        <f>IF($C390="","",IF($E390="Falta","-",MAX(0,MIN(10,8+IFERROR(VALUE(TRIM(MID(SUBSTITUTE(SUBSTITUTE(SUBSTITUTE(UPPER($L390)," ",""),"F",""),";",REPT(" ",30)),1,30))),0)+IFERROR(VALUE(TRIM(MID(SUBSTITUTE(SUBSTITUTE(SUBSTITUTE(UPPER($L390)," ",""),"F",""),";",REPT(" ",30)),31,30))),0)+IFERROR(VALUE(TRIM(MID(SUBSTITUTE(SUBSTITUTE(SUBSTITUTE(UPPER($L390)," ",""),"F",""),";",REPT(" ",30)),61,30))),0)+IFERROR(VALUE(TRIM(MID(SUBSTITUTE(SUBSTITUTE(SUBSTITUTE(UPPER($L390)," ",""),"F",""),";",REPT(" ",30)),91,30))),0)+IFERROR(VALUE(TRIM(MID(SUBSTITUTE(SUBSTITUTE(SUBSTITUTE(UPPER($L390)," ",""),"F",""),";",REPT(" ",30)),121,30))),0)+IFERROR(VALUE(TRIM(MID(SUBSTITUTE(SUBSTITUTE(SUBSTITUTE(UPPER($L390)," ",""),"F",""),";",REPT(" ",30)),151,30))),0)+IFERROR(VALUE(TRIM(MID(SUBSTITUTE(SUBSTITUTE(SUBSTITUTE(UPPER($L390)," ",""),"F",""),";",REPT(" ",30)),181,30))),0)+IFERROR(VALUE(TRIM(MID(SUBSTITUTE(SUBSTITUTE(SUBSTITUTE(UPPER($L390)," ",""),"F",""),";",REPT(" ",30)),211,30))),0)))))</f>
        <v/>
      </c>
      <c r="O390" s="26" t="n"/>
      <c r="P390" s="6" t="n"/>
      <c r="Q390" s="13" t="n"/>
      <c r="R390" s="27">
        <f>IF($C390="","",IF($E390="Falta","-",MAX(0,MIN(10,5+IFERROR(VALUE(TRIM(MID(SUBSTITUTE(SUBSTITUTE(SUBSTITUTE(UPPER($P390)," ",""),"C",""),";",REPT(" ",30)),1,30))),0)+IFERROR(VALUE(TRIM(MID(SUBSTITUTE(SUBSTITUTE(SUBSTITUTE(UPPER($P390)," ",""),"C",""),";",REPT(" ",30)),31,30))),0)+IFERROR(VALUE(TRIM(MID(SUBSTITUTE(SUBSTITUTE(SUBSTITUTE(UPPER($P390)," ",""),"C",""),";",REPT(" ",30)),61,30))),0)+IFERROR(VALUE(TRIM(MID(SUBSTITUTE(SUBSTITUTE(SUBSTITUTE(UPPER($P390)," ",""),"C",""),";",REPT(" ",30)),91,30))),0)+IFERROR(VALUE(TRIM(MID(SUBSTITUTE(SUBSTITUTE(SUBSTITUTE(UPPER($P390)," ",""),"C",""),";",REPT(" ",30)),121,30))),0)+IFERROR(VALUE(TRIM(MID(SUBSTITUTE(SUBSTITUTE(SUBSTITUTE(UPPER($P390)," ",""),"C",""),";",REPT(" ",30)),151,30))),0)+IFERROR(VALUE(TRIM(MID(SUBSTITUTE(SUBSTITUTE(SUBSTITUTE(UPPER($P390)," ",""),"C",""),";",REPT(" ",30)),181,30))),0)+IFERROR(VALUE(TRIM(MID(SUBSTITUTE(SUBSTITUTE(SUBSTITUTE(UPPER($P390)," ",""),"C",""),";",REPT(" ",30)),211,30))),0)))))</f>
        <v/>
      </c>
      <c r="S390" s="26" t="n"/>
      <c r="T390" s="6" t="n"/>
      <c r="U390" s="13" t="n"/>
      <c r="V390" s="27">
        <f>IF($C390="","",IF($E390="Falta","-",MAX(0,MIN(10,5+IFERROR(VALUE(TRIM(MID(SUBSTITUTE(SUBSTITUTE(SUBSTITUTE(UPPER($T390)," ",""),"P",""),";",REPT(" ",30)),1,30))),0)+IFERROR(VALUE(TRIM(MID(SUBSTITUTE(SUBSTITUTE(SUBSTITUTE(UPPER($T390)," ",""),"P",""),";",REPT(" ",30)),31,30))),0)+IFERROR(VALUE(TRIM(MID(SUBSTITUTE(SUBSTITUTE(SUBSTITUTE(UPPER($T390)," ",""),"P",""),";",REPT(" ",30)),61,30))),0)+IFERROR(VALUE(TRIM(MID(SUBSTITUTE(SUBSTITUTE(SUBSTITUTE(UPPER($T390)," ",""),"P",""),";",REPT(" ",30)),91,30))),0)+IFERROR(VALUE(TRIM(MID(SUBSTITUTE(SUBSTITUTE(SUBSTITUTE(UPPER($T390)," ",""),"P",""),";",REPT(" ",30)),121,30))),0)+IFERROR(VALUE(TRIM(MID(SUBSTITUTE(SUBSTITUTE(SUBSTITUTE(UPPER($T390)," ",""),"P",""),";",REPT(" ",30)),151,30))),0)+IFERROR(VALUE(TRIM(MID(SUBSTITUTE(SUBSTITUTE(SUBSTITUTE(UPPER($T390)," ",""),"P",""),";",REPT(" ",30)),181,30))),0)+IFERROR(VALUE(TRIM(MID(SUBSTITUTE(SUBSTITUTE(SUBSTITUTE(UPPER($T390)," ",""),"P",""),";",REPT(" ",30)),211,30))),0)))))</f>
        <v/>
      </c>
      <c r="W390" s="26" t="n"/>
      <c r="X390" s="13" t="n"/>
    </row>
    <row r="391">
      <c r="A391" s="6">
        <f>IF($C391="","",78)</f>
        <v/>
      </c>
      <c r="B391" s="6">
        <f>IF($C391="","","3ª Sessão")</f>
        <v/>
      </c>
      <c r="C391" s="6">
        <f>IF(Preenchimento!$B$87="","",Preenchimento!$B$87)</f>
        <v/>
      </c>
      <c r="D391" s="6">
        <f>IF($C391="","",IF(Preenchimento!$C$87="","-",Preenchimento!$C$87))</f>
        <v/>
      </c>
      <c r="E391" s="6" t="n"/>
      <c r="F391" s="6" t="n"/>
      <c r="G391" s="26" t="n"/>
      <c r="H391" s="6" t="n"/>
      <c r="I391" s="13" t="n"/>
      <c r="J391" s="27">
        <f>IF($C391="","",IF($E391="Falta","-",MAX(0,MIN(10,8+IFERROR(VALUE(TRIM(MID(SUBSTITUTE(SUBSTITUTE(SUBSTITUTE(UPPER($H391)," ",""),"D",""),";",REPT(" ",30)),1,30))),0)+IFERROR(VALUE(TRIM(MID(SUBSTITUTE(SUBSTITUTE(SUBSTITUTE(UPPER($H391)," ",""),"D",""),";",REPT(" ",30)),31,30))),0)+IFERROR(VALUE(TRIM(MID(SUBSTITUTE(SUBSTITUTE(SUBSTITUTE(UPPER($H391)," ",""),"D",""),";",REPT(" ",30)),61,30))),0)+IFERROR(VALUE(TRIM(MID(SUBSTITUTE(SUBSTITUTE(SUBSTITUTE(UPPER($H391)," ",""),"D",""),";",REPT(" ",30)),91,30))),0)+IFERROR(VALUE(TRIM(MID(SUBSTITUTE(SUBSTITUTE(SUBSTITUTE(UPPER($H391)," ",""),"D",""),";",REPT(" ",30)),121,30))),0)+IFERROR(VALUE(TRIM(MID(SUBSTITUTE(SUBSTITUTE(SUBSTITUTE(UPPER($H391)," ",""),"D",""),";",REPT(" ",30)),151,30))),0)+IFERROR(VALUE(TRIM(MID(SUBSTITUTE(SUBSTITUTE(SUBSTITUTE(UPPER($H391)," ",""),"D",""),";",REPT(" ",30)),181,30))),0)+IFERROR(VALUE(TRIM(MID(SUBSTITUTE(SUBSTITUTE(SUBSTITUTE(UPPER($H391)," ",""),"D",""),";",REPT(" ",30)),211,30))),0)))))</f>
        <v/>
      </c>
      <c r="K391" s="26" t="n"/>
      <c r="L391" s="6" t="n"/>
      <c r="M391" s="13" t="n"/>
      <c r="N391" s="27">
        <f>IF($C391="","",IF($E391="Falta","-",MAX(0,MIN(10,8+IFERROR(VALUE(TRIM(MID(SUBSTITUTE(SUBSTITUTE(SUBSTITUTE(UPPER($L391)," ",""),"F",""),";",REPT(" ",30)),1,30))),0)+IFERROR(VALUE(TRIM(MID(SUBSTITUTE(SUBSTITUTE(SUBSTITUTE(UPPER($L391)," ",""),"F",""),";",REPT(" ",30)),31,30))),0)+IFERROR(VALUE(TRIM(MID(SUBSTITUTE(SUBSTITUTE(SUBSTITUTE(UPPER($L391)," ",""),"F",""),";",REPT(" ",30)),61,30))),0)+IFERROR(VALUE(TRIM(MID(SUBSTITUTE(SUBSTITUTE(SUBSTITUTE(UPPER($L391)," ",""),"F",""),";",REPT(" ",30)),91,30))),0)+IFERROR(VALUE(TRIM(MID(SUBSTITUTE(SUBSTITUTE(SUBSTITUTE(UPPER($L391)," ",""),"F",""),";",REPT(" ",30)),121,30))),0)+IFERROR(VALUE(TRIM(MID(SUBSTITUTE(SUBSTITUTE(SUBSTITUTE(UPPER($L391)," ",""),"F",""),";",REPT(" ",30)),151,30))),0)+IFERROR(VALUE(TRIM(MID(SUBSTITUTE(SUBSTITUTE(SUBSTITUTE(UPPER($L391)," ",""),"F",""),";",REPT(" ",30)),181,30))),0)+IFERROR(VALUE(TRIM(MID(SUBSTITUTE(SUBSTITUTE(SUBSTITUTE(UPPER($L391)," ",""),"F",""),";",REPT(" ",30)),211,30))),0)))))</f>
        <v/>
      </c>
      <c r="O391" s="26" t="n"/>
      <c r="P391" s="6" t="n"/>
      <c r="Q391" s="13" t="n"/>
      <c r="R391" s="27">
        <f>IF($C391="","",IF($E391="Falta","-",MAX(0,MIN(10,5+IFERROR(VALUE(TRIM(MID(SUBSTITUTE(SUBSTITUTE(SUBSTITUTE(UPPER($P391)," ",""),"C",""),";",REPT(" ",30)),1,30))),0)+IFERROR(VALUE(TRIM(MID(SUBSTITUTE(SUBSTITUTE(SUBSTITUTE(UPPER($P391)," ",""),"C",""),";",REPT(" ",30)),31,30))),0)+IFERROR(VALUE(TRIM(MID(SUBSTITUTE(SUBSTITUTE(SUBSTITUTE(UPPER($P391)," ",""),"C",""),";",REPT(" ",30)),61,30))),0)+IFERROR(VALUE(TRIM(MID(SUBSTITUTE(SUBSTITUTE(SUBSTITUTE(UPPER($P391)," ",""),"C",""),";",REPT(" ",30)),91,30))),0)+IFERROR(VALUE(TRIM(MID(SUBSTITUTE(SUBSTITUTE(SUBSTITUTE(UPPER($P391)," ",""),"C",""),";",REPT(" ",30)),121,30))),0)+IFERROR(VALUE(TRIM(MID(SUBSTITUTE(SUBSTITUTE(SUBSTITUTE(UPPER($P391)," ",""),"C",""),";",REPT(" ",30)),151,30))),0)+IFERROR(VALUE(TRIM(MID(SUBSTITUTE(SUBSTITUTE(SUBSTITUTE(UPPER($P391)," ",""),"C",""),";",REPT(" ",30)),181,30))),0)+IFERROR(VALUE(TRIM(MID(SUBSTITUTE(SUBSTITUTE(SUBSTITUTE(UPPER($P391)," ",""),"C",""),";",REPT(" ",30)),211,30))),0)))))</f>
        <v/>
      </c>
      <c r="S391" s="26" t="n"/>
      <c r="T391" s="6" t="n"/>
      <c r="U391" s="13" t="n"/>
      <c r="V391" s="27">
        <f>IF($C391="","",IF($E391="Falta","-",MAX(0,MIN(10,5+IFERROR(VALUE(TRIM(MID(SUBSTITUTE(SUBSTITUTE(SUBSTITUTE(UPPER($T391)," ",""),"P",""),";",REPT(" ",30)),1,30))),0)+IFERROR(VALUE(TRIM(MID(SUBSTITUTE(SUBSTITUTE(SUBSTITUTE(UPPER($T391)," ",""),"P",""),";",REPT(" ",30)),31,30))),0)+IFERROR(VALUE(TRIM(MID(SUBSTITUTE(SUBSTITUTE(SUBSTITUTE(UPPER($T391)," ",""),"P",""),";",REPT(" ",30)),61,30))),0)+IFERROR(VALUE(TRIM(MID(SUBSTITUTE(SUBSTITUTE(SUBSTITUTE(UPPER($T391)," ",""),"P",""),";",REPT(" ",30)),91,30))),0)+IFERROR(VALUE(TRIM(MID(SUBSTITUTE(SUBSTITUTE(SUBSTITUTE(UPPER($T391)," ",""),"P",""),";",REPT(" ",30)),121,30))),0)+IFERROR(VALUE(TRIM(MID(SUBSTITUTE(SUBSTITUTE(SUBSTITUTE(UPPER($T391)," ",""),"P",""),";",REPT(" ",30)),151,30))),0)+IFERROR(VALUE(TRIM(MID(SUBSTITUTE(SUBSTITUTE(SUBSTITUTE(UPPER($T391)," ",""),"P",""),";",REPT(" ",30)),181,30))),0)+IFERROR(VALUE(TRIM(MID(SUBSTITUTE(SUBSTITUTE(SUBSTITUTE(UPPER($T391)," ",""),"P",""),";",REPT(" ",30)),211,30))),0)))))</f>
        <v/>
      </c>
      <c r="W391" s="26" t="n"/>
      <c r="X391" s="13" t="n"/>
    </row>
    <row r="392">
      <c r="A392" s="6">
        <f>IF($C392="","",78)</f>
        <v/>
      </c>
      <c r="B392" s="6">
        <f>IF($C392="","","4ª Sessão")</f>
        <v/>
      </c>
      <c r="C392" s="6">
        <f>IF(Preenchimento!$B$87="","",Preenchimento!$B$87)</f>
        <v/>
      </c>
      <c r="D392" s="6">
        <f>IF($C392="","",IF(Preenchimento!$C$87="","-",Preenchimento!$C$87))</f>
        <v/>
      </c>
      <c r="E392" s="6" t="n"/>
      <c r="F392" s="6" t="n"/>
      <c r="G392" s="26" t="n"/>
      <c r="H392" s="6" t="n"/>
      <c r="I392" s="13" t="n"/>
      <c r="J392" s="27">
        <f>IF($C392="","",IF($E392="Falta","-",MAX(0,MIN(10,8+IFERROR(VALUE(TRIM(MID(SUBSTITUTE(SUBSTITUTE(SUBSTITUTE(UPPER($H392)," ",""),"D",""),";",REPT(" ",30)),1,30))),0)+IFERROR(VALUE(TRIM(MID(SUBSTITUTE(SUBSTITUTE(SUBSTITUTE(UPPER($H392)," ",""),"D",""),";",REPT(" ",30)),31,30))),0)+IFERROR(VALUE(TRIM(MID(SUBSTITUTE(SUBSTITUTE(SUBSTITUTE(UPPER($H392)," ",""),"D",""),";",REPT(" ",30)),61,30))),0)+IFERROR(VALUE(TRIM(MID(SUBSTITUTE(SUBSTITUTE(SUBSTITUTE(UPPER($H392)," ",""),"D",""),";",REPT(" ",30)),91,30))),0)+IFERROR(VALUE(TRIM(MID(SUBSTITUTE(SUBSTITUTE(SUBSTITUTE(UPPER($H392)," ",""),"D",""),";",REPT(" ",30)),121,30))),0)+IFERROR(VALUE(TRIM(MID(SUBSTITUTE(SUBSTITUTE(SUBSTITUTE(UPPER($H392)," ",""),"D",""),";",REPT(" ",30)),151,30))),0)+IFERROR(VALUE(TRIM(MID(SUBSTITUTE(SUBSTITUTE(SUBSTITUTE(UPPER($H392)," ",""),"D",""),";",REPT(" ",30)),181,30))),0)+IFERROR(VALUE(TRIM(MID(SUBSTITUTE(SUBSTITUTE(SUBSTITUTE(UPPER($H392)," ",""),"D",""),";",REPT(" ",30)),211,30))),0)))))</f>
        <v/>
      </c>
      <c r="K392" s="26" t="n"/>
      <c r="L392" s="6" t="n"/>
      <c r="M392" s="13" t="n"/>
      <c r="N392" s="27">
        <f>IF($C392="","",IF($E392="Falta","-",MAX(0,MIN(10,8+IFERROR(VALUE(TRIM(MID(SUBSTITUTE(SUBSTITUTE(SUBSTITUTE(UPPER($L392)," ",""),"F",""),";",REPT(" ",30)),1,30))),0)+IFERROR(VALUE(TRIM(MID(SUBSTITUTE(SUBSTITUTE(SUBSTITUTE(UPPER($L392)," ",""),"F",""),";",REPT(" ",30)),31,30))),0)+IFERROR(VALUE(TRIM(MID(SUBSTITUTE(SUBSTITUTE(SUBSTITUTE(UPPER($L392)," ",""),"F",""),";",REPT(" ",30)),61,30))),0)+IFERROR(VALUE(TRIM(MID(SUBSTITUTE(SUBSTITUTE(SUBSTITUTE(UPPER($L392)," ",""),"F",""),";",REPT(" ",30)),91,30))),0)+IFERROR(VALUE(TRIM(MID(SUBSTITUTE(SUBSTITUTE(SUBSTITUTE(UPPER($L392)," ",""),"F",""),";",REPT(" ",30)),121,30))),0)+IFERROR(VALUE(TRIM(MID(SUBSTITUTE(SUBSTITUTE(SUBSTITUTE(UPPER($L392)," ",""),"F",""),";",REPT(" ",30)),151,30))),0)+IFERROR(VALUE(TRIM(MID(SUBSTITUTE(SUBSTITUTE(SUBSTITUTE(UPPER($L392)," ",""),"F",""),";",REPT(" ",30)),181,30))),0)+IFERROR(VALUE(TRIM(MID(SUBSTITUTE(SUBSTITUTE(SUBSTITUTE(UPPER($L392)," ",""),"F",""),";",REPT(" ",30)),211,30))),0)))))</f>
        <v/>
      </c>
      <c r="O392" s="26" t="n"/>
      <c r="P392" s="6" t="n"/>
      <c r="Q392" s="13" t="n"/>
      <c r="R392" s="27">
        <f>IF($C392="","",IF($E392="Falta","-",MAX(0,MIN(10,5+IFERROR(VALUE(TRIM(MID(SUBSTITUTE(SUBSTITUTE(SUBSTITUTE(UPPER($P392)," ",""),"C",""),";",REPT(" ",30)),1,30))),0)+IFERROR(VALUE(TRIM(MID(SUBSTITUTE(SUBSTITUTE(SUBSTITUTE(UPPER($P392)," ",""),"C",""),";",REPT(" ",30)),31,30))),0)+IFERROR(VALUE(TRIM(MID(SUBSTITUTE(SUBSTITUTE(SUBSTITUTE(UPPER($P392)," ",""),"C",""),";",REPT(" ",30)),61,30))),0)+IFERROR(VALUE(TRIM(MID(SUBSTITUTE(SUBSTITUTE(SUBSTITUTE(UPPER($P392)," ",""),"C",""),";",REPT(" ",30)),91,30))),0)+IFERROR(VALUE(TRIM(MID(SUBSTITUTE(SUBSTITUTE(SUBSTITUTE(UPPER($P392)," ",""),"C",""),";",REPT(" ",30)),121,30))),0)+IFERROR(VALUE(TRIM(MID(SUBSTITUTE(SUBSTITUTE(SUBSTITUTE(UPPER($P392)," ",""),"C",""),";",REPT(" ",30)),151,30))),0)+IFERROR(VALUE(TRIM(MID(SUBSTITUTE(SUBSTITUTE(SUBSTITUTE(UPPER($P392)," ",""),"C",""),";",REPT(" ",30)),181,30))),0)+IFERROR(VALUE(TRIM(MID(SUBSTITUTE(SUBSTITUTE(SUBSTITUTE(UPPER($P392)," ",""),"C",""),";",REPT(" ",30)),211,30))),0)))))</f>
        <v/>
      </c>
      <c r="S392" s="26" t="n"/>
      <c r="T392" s="6" t="n"/>
      <c r="U392" s="13" t="n"/>
      <c r="V392" s="27">
        <f>IF($C392="","",IF($E392="Falta","-",MAX(0,MIN(10,5+IFERROR(VALUE(TRIM(MID(SUBSTITUTE(SUBSTITUTE(SUBSTITUTE(UPPER($T392)," ",""),"P",""),";",REPT(" ",30)),1,30))),0)+IFERROR(VALUE(TRIM(MID(SUBSTITUTE(SUBSTITUTE(SUBSTITUTE(UPPER($T392)," ",""),"P",""),";",REPT(" ",30)),31,30))),0)+IFERROR(VALUE(TRIM(MID(SUBSTITUTE(SUBSTITUTE(SUBSTITUTE(UPPER($T392)," ",""),"P",""),";",REPT(" ",30)),61,30))),0)+IFERROR(VALUE(TRIM(MID(SUBSTITUTE(SUBSTITUTE(SUBSTITUTE(UPPER($T392)," ",""),"P",""),";",REPT(" ",30)),91,30))),0)+IFERROR(VALUE(TRIM(MID(SUBSTITUTE(SUBSTITUTE(SUBSTITUTE(UPPER($T392)," ",""),"P",""),";",REPT(" ",30)),121,30))),0)+IFERROR(VALUE(TRIM(MID(SUBSTITUTE(SUBSTITUTE(SUBSTITUTE(UPPER($T392)," ",""),"P",""),";",REPT(" ",30)),151,30))),0)+IFERROR(VALUE(TRIM(MID(SUBSTITUTE(SUBSTITUTE(SUBSTITUTE(UPPER($T392)," ",""),"P",""),";",REPT(" ",30)),181,30))),0)+IFERROR(VALUE(TRIM(MID(SUBSTITUTE(SUBSTITUTE(SUBSTITUTE(UPPER($T392)," ",""),"P",""),";",REPT(" ",30)),211,30))),0)))))</f>
        <v/>
      </c>
      <c r="W392" s="26" t="n"/>
      <c r="X392" s="13" t="n"/>
    </row>
    <row r="393">
      <c r="A393" s="6">
        <f>IF($C393="","",78)</f>
        <v/>
      </c>
      <c r="B393" s="6">
        <f>IF($C393="","","5ª Sessão")</f>
        <v/>
      </c>
      <c r="C393" s="6">
        <f>IF(Preenchimento!$B$87="","",Preenchimento!$B$87)</f>
        <v/>
      </c>
      <c r="D393" s="6">
        <f>IF($C393="","",IF(Preenchimento!$C$87="","-",Preenchimento!$C$87))</f>
        <v/>
      </c>
      <c r="E393" s="6" t="n"/>
      <c r="F393" s="6" t="n"/>
      <c r="G393" s="26" t="n"/>
      <c r="H393" s="6" t="n"/>
      <c r="I393" s="13" t="n"/>
      <c r="J393" s="27">
        <f>IF($C393="","",IF($E393="Falta","-",MAX(0,MIN(10,8+IFERROR(VALUE(TRIM(MID(SUBSTITUTE(SUBSTITUTE(SUBSTITUTE(UPPER($H393)," ",""),"D",""),";",REPT(" ",30)),1,30))),0)+IFERROR(VALUE(TRIM(MID(SUBSTITUTE(SUBSTITUTE(SUBSTITUTE(UPPER($H393)," ",""),"D",""),";",REPT(" ",30)),31,30))),0)+IFERROR(VALUE(TRIM(MID(SUBSTITUTE(SUBSTITUTE(SUBSTITUTE(UPPER($H393)," ",""),"D",""),";",REPT(" ",30)),61,30))),0)+IFERROR(VALUE(TRIM(MID(SUBSTITUTE(SUBSTITUTE(SUBSTITUTE(UPPER($H393)," ",""),"D",""),";",REPT(" ",30)),91,30))),0)+IFERROR(VALUE(TRIM(MID(SUBSTITUTE(SUBSTITUTE(SUBSTITUTE(UPPER($H393)," ",""),"D",""),";",REPT(" ",30)),121,30))),0)+IFERROR(VALUE(TRIM(MID(SUBSTITUTE(SUBSTITUTE(SUBSTITUTE(UPPER($H393)," ",""),"D",""),";",REPT(" ",30)),151,30))),0)+IFERROR(VALUE(TRIM(MID(SUBSTITUTE(SUBSTITUTE(SUBSTITUTE(UPPER($H393)," ",""),"D",""),";",REPT(" ",30)),181,30))),0)+IFERROR(VALUE(TRIM(MID(SUBSTITUTE(SUBSTITUTE(SUBSTITUTE(UPPER($H393)," ",""),"D",""),";",REPT(" ",30)),211,30))),0)))))</f>
        <v/>
      </c>
      <c r="K393" s="26" t="n"/>
      <c r="L393" s="6" t="n"/>
      <c r="M393" s="13" t="n"/>
      <c r="N393" s="27">
        <f>IF($C393="","",IF($E393="Falta","-",MAX(0,MIN(10,8+IFERROR(VALUE(TRIM(MID(SUBSTITUTE(SUBSTITUTE(SUBSTITUTE(UPPER($L393)," ",""),"F",""),";",REPT(" ",30)),1,30))),0)+IFERROR(VALUE(TRIM(MID(SUBSTITUTE(SUBSTITUTE(SUBSTITUTE(UPPER($L393)," ",""),"F",""),";",REPT(" ",30)),31,30))),0)+IFERROR(VALUE(TRIM(MID(SUBSTITUTE(SUBSTITUTE(SUBSTITUTE(UPPER($L393)," ",""),"F",""),";",REPT(" ",30)),61,30))),0)+IFERROR(VALUE(TRIM(MID(SUBSTITUTE(SUBSTITUTE(SUBSTITUTE(UPPER($L393)," ",""),"F",""),";",REPT(" ",30)),91,30))),0)+IFERROR(VALUE(TRIM(MID(SUBSTITUTE(SUBSTITUTE(SUBSTITUTE(UPPER($L393)," ",""),"F",""),";",REPT(" ",30)),121,30))),0)+IFERROR(VALUE(TRIM(MID(SUBSTITUTE(SUBSTITUTE(SUBSTITUTE(UPPER($L393)," ",""),"F",""),";",REPT(" ",30)),151,30))),0)+IFERROR(VALUE(TRIM(MID(SUBSTITUTE(SUBSTITUTE(SUBSTITUTE(UPPER($L393)," ",""),"F",""),";",REPT(" ",30)),181,30))),0)+IFERROR(VALUE(TRIM(MID(SUBSTITUTE(SUBSTITUTE(SUBSTITUTE(UPPER($L393)," ",""),"F",""),";",REPT(" ",30)),211,30))),0)))))</f>
        <v/>
      </c>
      <c r="O393" s="26" t="n"/>
      <c r="P393" s="6" t="n"/>
      <c r="Q393" s="13" t="n"/>
      <c r="R393" s="27">
        <f>IF($C393="","",IF($E393="Falta","-",MAX(0,MIN(10,5+IFERROR(VALUE(TRIM(MID(SUBSTITUTE(SUBSTITUTE(SUBSTITUTE(UPPER($P393)," ",""),"C",""),";",REPT(" ",30)),1,30))),0)+IFERROR(VALUE(TRIM(MID(SUBSTITUTE(SUBSTITUTE(SUBSTITUTE(UPPER($P393)," ",""),"C",""),";",REPT(" ",30)),31,30))),0)+IFERROR(VALUE(TRIM(MID(SUBSTITUTE(SUBSTITUTE(SUBSTITUTE(UPPER($P393)," ",""),"C",""),";",REPT(" ",30)),61,30))),0)+IFERROR(VALUE(TRIM(MID(SUBSTITUTE(SUBSTITUTE(SUBSTITUTE(UPPER($P393)," ",""),"C",""),";",REPT(" ",30)),91,30))),0)+IFERROR(VALUE(TRIM(MID(SUBSTITUTE(SUBSTITUTE(SUBSTITUTE(UPPER($P393)," ",""),"C",""),";",REPT(" ",30)),121,30))),0)+IFERROR(VALUE(TRIM(MID(SUBSTITUTE(SUBSTITUTE(SUBSTITUTE(UPPER($P393)," ",""),"C",""),";",REPT(" ",30)),151,30))),0)+IFERROR(VALUE(TRIM(MID(SUBSTITUTE(SUBSTITUTE(SUBSTITUTE(UPPER($P393)," ",""),"C",""),";",REPT(" ",30)),181,30))),0)+IFERROR(VALUE(TRIM(MID(SUBSTITUTE(SUBSTITUTE(SUBSTITUTE(UPPER($P393)," ",""),"C",""),";",REPT(" ",30)),211,30))),0)))))</f>
        <v/>
      </c>
      <c r="S393" s="26" t="n"/>
      <c r="T393" s="6" t="n"/>
      <c r="U393" s="13" t="n"/>
      <c r="V393" s="27">
        <f>IF($C393="","",IF($E393="Falta","-",MAX(0,MIN(10,5+IFERROR(VALUE(TRIM(MID(SUBSTITUTE(SUBSTITUTE(SUBSTITUTE(UPPER($T393)," ",""),"P",""),";",REPT(" ",30)),1,30))),0)+IFERROR(VALUE(TRIM(MID(SUBSTITUTE(SUBSTITUTE(SUBSTITUTE(UPPER($T393)," ",""),"P",""),";",REPT(" ",30)),31,30))),0)+IFERROR(VALUE(TRIM(MID(SUBSTITUTE(SUBSTITUTE(SUBSTITUTE(UPPER($T393)," ",""),"P",""),";",REPT(" ",30)),61,30))),0)+IFERROR(VALUE(TRIM(MID(SUBSTITUTE(SUBSTITUTE(SUBSTITUTE(UPPER($T393)," ",""),"P",""),";",REPT(" ",30)),91,30))),0)+IFERROR(VALUE(TRIM(MID(SUBSTITUTE(SUBSTITUTE(SUBSTITUTE(UPPER($T393)," ",""),"P",""),";",REPT(" ",30)),121,30))),0)+IFERROR(VALUE(TRIM(MID(SUBSTITUTE(SUBSTITUTE(SUBSTITUTE(UPPER($T393)," ",""),"P",""),";",REPT(" ",30)),151,30))),0)+IFERROR(VALUE(TRIM(MID(SUBSTITUTE(SUBSTITUTE(SUBSTITUTE(UPPER($T393)," ",""),"P",""),";",REPT(" ",30)),181,30))),0)+IFERROR(VALUE(TRIM(MID(SUBSTITUTE(SUBSTITUTE(SUBSTITUTE(UPPER($T393)," ",""),"P",""),";",REPT(" ",30)),211,30))),0)))))</f>
        <v/>
      </c>
      <c r="W393" s="26" t="n"/>
      <c r="X393" s="13" t="n"/>
    </row>
    <row r="394">
      <c r="A394" s="8">
        <f>IF($C394="","",79)</f>
        <v/>
      </c>
      <c r="B394" s="8">
        <f>IF($C394="","","1ª Sessão")</f>
        <v/>
      </c>
      <c r="C394" s="8">
        <f>IF(Preenchimento!$B$88="","",Preenchimento!$B$88)</f>
        <v/>
      </c>
      <c r="D394" s="8">
        <f>IF($C394="","",IF(Preenchimento!$C$88="","-",Preenchimento!$C$88))</f>
        <v/>
      </c>
      <c r="E394" s="8" t="n"/>
      <c r="F394" s="8" t="n"/>
      <c r="G394" s="24" t="n"/>
      <c r="H394" s="8" t="n"/>
      <c r="I394" s="14" t="n"/>
      <c r="J394" s="25">
        <f>IF($C394="","",IF($E394="Falta","-",MAX(0,MIN(10,8+IFERROR(VALUE(TRIM(MID(SUBSTITUTE(SUBSTITUTE(SUBSTITUTE(UPPER($H394)," ",""),"D",""),";",REPT(" ",30)),1,30))),0)+IFERROR(VALUE(TRIM(MID(SUBSTITUTE(SUBSTITUTE(SUBSTITUTE(UPPER($H394)," ",""),"D",""),";",REPT(" ",30)),31,30))),0)+IFERROR(VALUE(TRIM(MID(SUBSTITUTE(SUBSTITUTE(SUBSTITUTE(UPPER($H394)," ",""),"D",""),";",REPT(" ",30)),61,30))),0)+IFERROR(VALUE(TRIM(MID(SUBSTITUTE(SUBSTITUTE(SUBSTITUTE(UPPER($H394)," ",""),"D",""),";",REPT(" ",30)),91,30))),0)+IFERROR(VALUE(TRIM(MID(SUBSTITUTE(SUBSTITUTE(SUBSTITUTE(UPPER($H394)," ",""),"D",""),";",REPT(" ",30)),121,30))),0)+IFERROR(VALUE(TRIM(MID(SUBSTITUTE(SUBSTITUTE(SUBSTITUTE(UPPER($H394)," ",""),"D",""),";",REPT(" ",30)),151,30))),0)+IFERROR(VALUE(TRIM(MID(SUBSTITUTE(SUBSTITUTE(SUBSTITUTE(UPPER($H394)," ",""),"D",""),";",REPT(" ",30)),181,30))),0)+IFERROR(VALUE(TRIM(MID(SUBSTITUTE(SUBSTITUTE(SUBSTITUTE(UPPER($H394)," ",""),"D",""),";",REPT(" ",30)),211,30))),0)))))</f>
        <v/>
      </c>
      <c r="K394" s="24" t="n"/>
      <c r="L394" s="8" t="n"/>
      <c r="M394" s="14" t="n"/>
      <c r="N394" s="25">
        <f>IF($C394="","",IF($E394="Falta","-",MAX(0,MIN(10,8+IFERROR(VALUE(TRIM(MID(SUBSTITUTE(SUBSTITUTE(SUBSTITUTE(UPPER($L394)," ",""),"F",""),";",REPT(" ",30)),1,30))),0)+IFERROR(VALUE(TRIM(MID(SUBSTITUTE(SUBSTITUTE(SUBSTITUTE(UPPER($L394)," ",""),"F",""),";",REPT(" ",30)),31,30))),0)+IFERROR(VALUE(TRIM(MID(SUBSTITUTE(SUBSTITUTE(SUBSTITUTE(UPPER($L394)," ",""),"F",""),";",REPT(" ",30)),61,30))),0)+IFERROR(VALUE(TRIM(MID(SUBSTITUTE(SUBSTITUTE(SUBSTITUTE(UPPER($L394)," ",""),"F",""),";",REPT(" ",30)),91,30))),0)+IFERROR(VALUE(TRIM(MID(SUBSTITUTE(SUBSTITUTE(SUBSTITUTE(UPPER($L394)," ",""),"F",""),";",REPT(" ",30)),121,30))),0)+IFERROR(VALUE(TRIM(MID(SUBSTITUTE(SUBSTITUTE(SUBSTITUTE(UPPER($L394)," ",""),"F",""),";",REPT(" ",30)),151,30))),0)+IFERROR(VALUE(TRIM(MID(SUBSTITUTE(SUBSTITUTE(SUBSTITUTE(UPPER($L394)," ",""),"F",""),";",REPT(" ",30)),181,30))),0)+IFERROR(VALUE(TRIM(MID(SUBSTITUTE(SUBSTITUTE(SUBSTITUTE(UPPER($L394)," ",""),"F",""),";",REPT(" ",30)),211,30))),0)))))</f>
        <v/>
      </c>
      <c r="O394" s="24" t="n"/>
      <c r="P394" s="8" t="n"/>
      <c r="Q394" s="14" t="n"/>
      <c r="R394" s="25">
        <f>IF($C394="","",IF($E394="Falta","-",MAX(0,MIN(10,5+IFERROR(VALUE(TRIM(MID(SUBSTITUTE(SUBSTITUTE(SUBSTITUTE(UPPER($P394)," ",""),"C",""),";",REPT(" ",30)),1,30))),0)+IFERROR(VALUE(TRIM(MID(SUBSTITUTE(SUBSTITUTE(SUBSTITUTE(UPPER($P394)," ",""),"C",""),";",REPT(" ",30)),31,30))),0)+IFERROR(VALUE(TRIM(MID(SUBSTITUTE(SUBSTITUTE(SUBSTITUTE(UPPER($P394)," ",""),"C",""),";",REPT(" ",30)),61,30))),0)+IFERROR(VALUE(TRIM(MID(SUBSTITUTE(SUBSTITUTE(SUBSTITUTE(UPPER($P394)," ",""),"C",""),";",REPT(" ",30)),91,30))),0)+IFERROR(VALUE(TRIM(MID(SUBSTITUTE(SUBSTITUTE(SUBSTITUTE(UPPER($P394)," ",""),"C",""),";",REPT(" ",30)),121,30))),0)+IFERROR(VALUE(TRIM(MID(SUBSTITUTE(SUBSTITUTE(SUBSTITUTE(UPPER($P394)," ",""),"C",""),";",REPT(" ",30)),151,30))),0)+IFERROR(VALUE(TRIM(MID(SUBSTITUTE(SUBSTITUTE(SUBSTITUTE(UPPER($P394)," ",""),"C",""),";",REPT(" ",30)),181,30))),0)+IFERROR(VALUE(TRIM(MID(SUBSTITUTE(SUBSTITUTE(SUBSTITUTE(UPPER($P394)," ",""),"C",""),";",REPT(" ",30)),211,30))),0)))))</f>
        <v/>
      </c>
      <c r="S394" s="24" t="n"/>
      <c r="T394" s="8" t="n"/>
      <c r="U394" s="14" t="n"/>
      <c r="V394" s="25">
        <f>IF($C394="","",IF($E394="Falta","-",MAX(0,MIN(10,5+IFERROR(VALUE(TRIM(MID(SUBSTITUTE(SUBSTITUTE(SUBSTITUTE(UPPER($T394)," ",""),"P",""),";",REPT(" ",30)),1,30))),0)+IFERROR(VALUE(TRIM(MID(SUBSTITUTE(SUBSTITUTE(SUBSTITUTE(UPPER($T394)," ",""),"P",""),";",REPT(" ",30)),31,30))),0)+IFERROR(VALUE(TRIM(MID(SUBSTITUTE(SUBSTITUTE(SUBSTITUTE(UPPER($T394)," ",""),"P",""),";",REPT(" ",30)),61,30))),0)+IFERROR(VALUE(TRIM(MID(SUBSTITUTE(SUBSTITUTE(SUBSTITUTE(UPPER($T394)," ",""),"P",""),";",REPT(" ",30)),91,30))),0)+IFERROR(VALUE(TRIM(MID(SUBSTITUTE(SUBSTITUTE(SUBSTITUTE(UPPER($T394)," ",""),"P",""),";",REPT(" ",30)),121,30))),0)+IFERROR(VALUE(TRIM(MID(SUBSTITUTE(SUBSTITUTE(SUBSTITUTE(UPPER($T394)," ",""),"P",""),";",REPT(" ",30)),151,30))),0)+IFERROR(VALUE(TRIM(MID(SUBSTITUTE(SUBSTITUTE(SUBSTITUTE(UPPER($T394)," ",""),"P",""),";",REPT(" ",30)),181,30))),0)+IFERROR(VALUE(TRIM(MID(SUBSTITUTE(SUBSTITUTE(SUBSTITUTE(UPPER($T394)," ",""),"P",""),";",REPT(" ",30)),211,30))),0)))))</f>
        <v/>
      </c>
      <c r="W394" s="24" t="n"/>
      <c r="X394" s="14" t="n"/>
    </row>
    <row r="395">
      <c r="A395" s="8">
        <f>IF($C395="","",79)</f>
        <v/>
      </c>
      <c r="B395" s="8">
        <f>IF($C395="","","2ª Sessão")</f>
        <v/>
      </c>
      <c r="C395" s="8">
        <f>IF(Preenchimento!$B$88="","",Preenchimento!$B$88)</f>
        <v/>
      </c>
      <c r="D395" s="8">
        <f>IF($C395="","",IF(Preenchimento!$C$88="","-",Preenchimento!$C$88))</f>
        <v/>
      </c>
      <c r="E395" s="8" t="n"/>
      <c r="F395" s="8" t="n"/>
      <c r="G395" s="24" t="n"/>
      <c r="H395" s="8" t="n"/>
      <c r="I395" s="14" t="n"/>
      <c r="J395" s="25">
        <f>IF($C395="","",IF($E395="Falta","-",MAX(0,MIN(10,8+IFERROR(VALUE(TRIM(MID(SUBSTITUTE(SUBSTITUTE(SUBSTITUTE(UPPER($H395)," ",""),"D",""),";",REPT(" ",30)),1,30))),0)+IFERROR(VALUE(TRIM(MID(SUBSTITUTE(SUBSTITUTE(SUBSTITUTE(UPPER($H395)," ",""),"D",""),";",REPT(" ",30)),31,30))),0)+IFERROR(VALUE(TRIM(MID(SUBSTITUTE(SUBSTITUTE(SUBSTITUTE(UPPER($H395)," ",""),"D",""),";",REPT(" ",30)),61,30))),0)+IFERROR(VALUE(TRIM(MID(SUBSTITUTE(SUBSTITUTE(SUBSTITUTE(UPPER($H395)," ",""),"D",""),";",REPT(" ",30)),91,30))),0)+IFERROR(VALUE(TRIM(MID(SUBSTITUTE(SUBSTITUTE(SUBSTITUTE(UPPER($H395)," ",""),"D",""),";",REPT(" ",30)),121,30))),0)+IFERROR(VALUE(TRIM(MID(SUBSTITUTE(SUBSTITUTE(SUBSTITUTE(UPPER($H395)," ",""),"D",""),";",REPT(" ",30)),151,30))),0)+IFERROR(VALUE(TRIM(MID(SUBSTITUTE(SUBSTITUTE(SUBSTITUTE(UPPER($H395)," ",""),"D",""),";",REPT(" ",30)),181,30))),0)+IFERROR(VALUE(TRIM(MID(SUBSTITUTE(SUBSTITUTE(SUBSTITUTE(UPPER($H395)," ",""),"D",""),";",REPT(" ",30)),211,30))),0)))))</f>
        <v/>
      </c>
      <c r="K395" s="24" t="n"/>
      <c r="L395" s="8" t="n"/>
      <c r="M395" s="14" t="n"/>
      <c r="N395" s="25">
        <f>IF($C395="","",IF($E395="Falta","-",MAX(0,MIN(10,8+IFERROR(VALUE(TRIM(MID(SUBSTITUTE(SUBSTITUTE(SUBSTITUTE(UPPER($L395)," ",""),"F",""),";",REPT(" ",30)),1,30))),0)+IFERROR(VALUE(TRIM(MID(SUBSTITUTE(SUBSTITUTE(SUBSTITUTE(UPPER($L395)," ",""),"F",""),";",REPT(" ",30)),31,30))),0)+IFERROR(VALUE(TRIM(MID(SUBSTITUTE(SUBSTITUTE(SUBSTITUTE(UPPER($L395)," ",""),"F",""),";",REPT(" ",30)),61,30))),0)+IFERROR(VALUE(TRIM(MID(SUBSTITUTE(SUBSTITUTE(SUBSTITUTE(UPPER($L395)," ",""),"F",""),";",REPT(" ",30)),91,30))),0)+IFERROR(VALUE(TRIM(MID(SUBSTITUTE(SUBSTITUTE(SUBSTITUTE(UPPER($L395)," ",""),"F",""),";",REPT(" ",30)),121,30))),0)+IFERROR(VALUE(TRIM(MID(SUBSTITUTE(SUBSTITUTE(SUBSTITUTE(UPPER($L395)," ",""),"F",""),";",REPT(" ",30)),151,30))),0)+IFERROR(VALUE(TRIM(MID(SUBSTITUTE(SUBSTITUTE(SUBSTITUTE(UPPER($L395)," ",""),"F",""),";",REPT(" ",30)),181,30))),0)+IFERROR(VALUE(TRIM(MID(SUBSTITUTE(SUBSTITUTE(SUBSTITUTE(UPPER($L395)," ",""),"F",""),";",REPT(" ",30)),211,30))),0)))))</f>
        <v/>
      </c>
      <c r="O395" s="24" t="n"/>
      <c r="P395" s="8" t="n"/>
      <c r="Q395" s="14" t="n"/>
      <c r="R395" s="25">
        <f>IF($C395="","",IF($E395="Falta","-",MAX(0,MIN(10,5+IFERROR(VALUE(TRIM(MID(SUBSTITUTE(SUBSTITUTE(SUBSTITUTE(UPPER($P395)," ",""),"C",""),";",REPT(" ",30)),1,30))),0)+IFERROR(VALUE(TRIM(MID(SUBSTITUTE(SUBSTITUTE(SUBSTITUTE(UPPER($P395)," ",""),"C",""),";",REPT(" ",30)),31,30))),0)+IFERROR(VALUE(TRIM(MID(SUBSTITUTE(SUBSTITUTE(SUBSTITUTE(UPPER($P395)," ",""),"C",""),";",REPT(" ",30)),61,30))),0)+IFERROR(VALUE(TRIM(MID(SUBSTITUTE(SUBSTITUTE(SUBSTITUTE(UPPER($P395)," ",""),"C",""),";",REPT(" ",30)),91,30))),0)+IFERROR(VALUE(TRIM(MID(SUBSTITUTE(SUBSTITUTE(SUBSTITUTE(UPPER($P395)," ",""),"C",""),";",REPT(" ",30)),121,30))),0)+IFERROR(VALUE(TRIM(MID(SUBSTITUTE(SUBSTITUTE(SUBSTITUTE(UPPER($P395)," ",""),"C",""),";",REPT(" ",30)),151,30))),0)+IFERROR(VALUE(TRIM(MID(SUBSTITUTE(SUBSTITUTE(SUBSTITUTE(UPPER($P395)," ",""),"C",""),";",REPT(" ",30)),181,30))),0)+IFERROR(VALUE(TRIM(MID(SUBSTITUTE(SUBSTITUTE(SUBSTITUTE(UPPER($P395)," ",""),"C",""),";",REPT(" ",30)),211,30))),0)))))</f>
        <v/>
      </c>
      <c r="S395" s="24" t="n"/>
      <c r="T395" s="8" t="n"/>
      <c r="U395" s="14" t="n"/>
      <c r="V395" s="25">
        <f>IF($C395="","",IF($E395="Falta","-",MAX(0,MIN(10,5+IFERROR(VALUE(TRIM(MID(SUBSTITUTE(SUBSTITUTE(SUBSTITUTE(UPPER($T395)," ",""),"P",""),";",REPT(" ",30)),1,30))),0)+IFERROR(VALUE(TRIM(MID(SUBSTITUTE(SUBSTITUTE(SUBSTITUTE(UPPER($T395)," ",""),"P",""),";",REPT(" ",30)),31,30))),0)+IFERROR(VALUE(TRIM(MID(SUBSTITUTE(SUBSTITUTE(SUBSTITUTE(UPPER($T395)," ",""),"P",""),";",REPT(" ",30)),61,30))),0)+IFERROR(VALUE(TRIM(MID(SUBSTITUTE(SUBSTITUTE(SUBSTITUTE(UPPER($T395)," ",""),"P",""),";",REPT(" ",30)),91,30))),0)+IFERROR(VALUE(TRIM(MID(SUBSTITUTE(SUBSTITUTE(SUBSTITUTE(UPPER($T395)," ",""),"P",""),";",REPT(" ",30)),121,30))),0)+IFERROR(VALUE(TRIM(MID(SUBSTITUTE(SUBSTITUTE(SUBSTITUTE(UPPER($T395)," ",""),"P",""),";",REPT(" ",30)),151,30))),0)+IFERROR(VALUE(TRIM(MID(SUBSTITUTE(SUBSTITUTE(SUBSTITUTE(UPPER($T395)," ",""),"P",""),";",REPT(" ",30)),181,30))),0)+IFERROR(VALUE(TRIM(MID(SUBSTITUTE(SUBSTITUTE(SUBSTITUTE(UPPER($T395)," ",""),"P",""),";",REPT(" ",30)),211,30))),0)))))</f>
        <v/>
      </c>
      <c r="W395" s="24" t="n"/>
      <c r="X395" s="14" t="n"/>
    </row>
    <row r="396">
      <c r="A396" s="8">
        <f>IF($C396="","",79)</f>
        <v/>
      </c>
      <c r="B396" s="8">
        <f>IF($C396="","","3ª Sessão")</f>
        <v/>
      </c>
      <c r="C396" s="8">
        <f>IF(Preenchimento!$B$88="","",Preenchimento!$B$88)</f>
        <v/>
      </c>
      <c r="D396" s="8">
        <f>IF($C396="","",IF(Preenchimento!$C$88="","-",Preenchimento!$C$88))</f>
        <v/>
      </c>
      <c r="E396" s="8" t="n"/>
      <c r="F396" s="8" t="n"/>
      <c r="G396" s="24" t="n"/>
      <c r="H396" s="8" t="n"/>
      <c r="I396" s="14" t="n"/>
      <c r="J396" s="25">
        <f>IF($C396="","",IF($E396="Falta","-",MAX(0,MIN(10,8+IFERROR(VALUE(TRIM(MID(SUBSTITUTE(SUBSTITUTE(SUBSTITUTE(UPPER($H396)," ",""),"D",""),";",REPT(" ",30)),1,30))),0)+IFERROR(VALUE(TRIM(MID(SUBSTITUTE(SUBSTITUTE(SUBSTITUTE(UPPER($H396)," ",""),"D",""),";",REPT(" ",30)),31,30))),0)+IFERROR(VALUE(TRIM(MID(SUBSTITUTE(SUBSTITUTE(SUBSTITUTE(UPPER($H396)," ",""),"D",""),";",REPT(" ",30)),61,30))),0)+IFERROR(VALUE(TRIM(MID(SUBSTITUTE(SUBSTITUTE(SUBSTITUTE(UPPER($H396)," ",""),"D",""),";",REPT(" ",30)),91,30))),0)+IFERROR(VALUE(TRIM(MID(SUBSTITUTE(SUBSTITUTE(SUBSTITUTE(UPPER($H396)," ",""),"D",""),";",REPT(" ",30)),121,30))),0)+IFERROR(VALUE(TRIM(MID(SUBSTITUTE(SUBSTITUTE(SUBSTITUTE(UPPER($H396)," ",""),"D",""),";",REPT(" ",30)),151,30))),0)+IFERROR(VALUE(TRIM(MID(SUBSTITUTE(SUBSTITUTE(SUBSTITUTE(UPPER($H396)," ",""),"D",""),";",REPT(" ",30)),181,30))),0)+IFERROR(VALUE(TRIM(MID(SUBSTITUTE(SUBSTITUTE(SUBSTITUTE(UPPER($H396)," ",""),"D",""),";",REPT(" ",30)),211,30))),0)))))</f>
        <v/>
      </c>
      <c r="K396" s="24" t="n"/>
      <c r="L396" s="8" t="n"/>
      <c r="M396" s="14" t="n"/>
      <c r="N396" s="25">
        <f>IF($C396="","",IF($E396="Falta","-",MAX(0,MIN(10,8+IFERROR(VALUE(TRIM(MID(SUBSTITUTE(SUBSTITUTE(SUBSTITUTE(UPPER($L396)," ",""),"F",""),";",REPT(" ",30)),1,30))),0)+IFERROR(VALUE(TRIM(MID(SUBSTITUTE(SUBSTITUTE(SUBSTITUTE(UPPER($L396)," ",""),"F",""),";",REPT(" ",30)),31,30))),0)+IFERROR(VALUE(TRIM(MID(SUBSTITUTE(SUBSTITUTE(SUBSTITUTE(UPPER($L396)," ",""),"F",""),";",REPT(" ",30)),61,30))),0)+IFERROR(VALUE(TRIM(MID(SUBSTITUTE(SUBSTITUTE(SUBSTITUTE(UPPER($L396)," ",""),"F",""),";",REPT(" ",30)),91,30))),0)+IFERROR(VALUE(TRIM(MID(SUBSTITUTE(SUBSTITUTE(SUBSTITUTE(UPPER($L396)," ",""),"F",""),";",REPT(" ",30)),121,30))),0)+IFERROR(VALUE(TRIM(MID(SUBSTITUTE(SUBSTITUTE(SUBSTITUTE(UPPER($L396)," ",""),"F",""),";",REPT(" ",30)),151,30))),0)+IFERROR(VALUE(TRIM(MID(SUBSTITUTE(SUBSTITUTE(SUBSTITUTE(UPPER($L396)," ",""),"F",""),";",REPT(" ",30)),181,30))),0)+IFERROR(VALUE(TRIM(MID(SUBSTITUTE(SUBSTITUTE(SUBSTITUTE(UPPER($L396)," ",""),"F",""),";",REPT(" ",30)),211,30))),0)))))</f>
        <v/>
      </c>
      <c r="O396" s="24" t="n"/>
      <c r="P396" s="8" t="n"/>
      <c r="Q396" s="14" t="n"/>
      <c r="R396" s="25">
        <f>IF($C396="","",IF($E396="Falta","-",MAX(0,MIN(10,5+IFERROR(VALUE(TRIM(MID(SUBSTITUTE(SUBSTITUTE(SUBSTITUTE(UPPER($P396)," ",""),"C",""),";",REPT(" ",30)),1,30))),0)+IFERROR(VALUE(TRIM(MID(SUBSTITUTE(SUBSTITUTE(SUBSTITUTE(UPPER($P396)," ",""),"C",""),";",REPT(" ",30)),31,30))),0)+IFERROR(VALUE(TRIM(MID(SUBSTITUTE(SUBSTITUTE(SUBSTITUTE(UPPER($P396)," ",""),"C",""),";",REPT(" ",30)),61,30))),0)+IFERROR(VALUE(TRIM(MID(SUBSTITUTE(SUBSTITUTE(SUBSTITUTE(UPPER($P396)," ",""),"C",""),";",REPT(" ",30)),91,30))),0)+IFERROR(VALUE(TRIM(MID(SUBSTITUTE(SUBSTITUTE(SUBSTITUTE(UPPER($P396)," ",""),"C",""),";",REPT(" ",30)),121,30))),0)+IFERROR(VALUE(TRIM(MID(SUBSTITUTE(SUBSTITUTE(SUBSTITUTE(UPPER($P396)," ",""),"C",""),";",REPT(" ",30)),151,30))),0)+IFERROR(VALUE(TRIM(MID(SUBSTITUTE(SUBSTITUTE(SUBSTITUTE(UPPER($P396)," ",""),"C",""),";",REPT(" ",30)),181,30))),0)+IFERROR(VALUE(TRIM(MID(SUBSTITUTE(SUBSTITUTE(SUBSTITUTE(UPPER($P396)," ",""),"C",""),";",REPT(" ",30)),211,30))),0)))))</f>
        <v/>
      </c>
      <c r="S396" s="24" t="n"/>
      <c r="T396" s="8" t="n"/>
      <c r="U396" s="14" t="n"/>
      <c r="V396" s="25">
        <f>IF($C396="","",IF($E396="Falta","-",MAX(0,MIN(10,5+IFERROR(VALUE(TRIM(MID(SUBSTITUTE(SUBSTITUTE(SUBSTITUTE(UPPER($T396)," ",""),"P",""),";",REPT(" ",30)),1,30))),0)+IFERROR(VALUE(TRIM(MID(SUBSTITUTE(SUBSTITUTE(SUBSTITUTE(UPPER($T396)," ",""),"P",""),";",REPT(" ",30)),31,30))),0)+IFERROR(VALUE(TRIM(MID(SUBSTITUTE(SUBSTITUTE(SUBSTITUTE(UPPER($T396)," ",""),"P",""),";",REPT(" ",30)),61,30))),0)+IFERROR(VALUE(TRIM(MID(SUBSTITUTE(SUBSTITUTE(SUBSTITUTE(UPPER($T396)," ",""),"P",""),";",REPT(" ",30)),91,30))),0)+IFERROR(VALUE(TRIM(MID(SUBSTITUTE(SUBSTITUTE(SUBSTITUTE(UPPER($T396)," ",""),"P",""),";",REPT(" ",30)),121,30))),0)+IFERROR(VALUE(TRIM(MID(SUBSTITUTE(SUBSTITUTE(SUBSTITUTE(UPPER($T396)," ",""),"P",""),";",REPT(" ",30)),151,30))),0)+IFERROR(VALUE(TRIM(MID(SUBSTITUTE(SUBSTITUTE(SUBSTITUTE(UPPER($T396)," ",""),"P",""),";",REPT(" ",30)),181,30))),0)+IFERROR(VALUE(TRIM(MID(SUBSTITUTE(SUBSTITUTE(SUBSTITUTE(UPPER($T396)," ",""),"P",""),";",REPT(" ",30)),211,30))),0)))))</f>
        <v/>
      </c>
      <c r="W396" s="24" t="n"/>
      <c r="X396" s="14" t="n"/>
    </row>
    <row r="397">
      <c r="A397" s="8">
        <f>IF($C397="","",79)</f>
        <v/>
      </c>
      <c r="B397" s="8">
        <f>IF($C397="","","4ª Sessão")</f>
        <v/>
      </c>
      <c r="C397" s="8">
        <f>IF(Preenchimento!$B$88="","",Preenchimento!$B$88)</f>
        <v/>
      </c>
      <c r="D397" s="8">
        <f>IF($C397="","",IF(Preenchimento!$C$88="","-",Preenchimento!$C$88))</f>
        <v/>
      </c>
      <c r="E397" s="8" t="n"/>
      <c r="F397" s="8" t="n"/>
      <c r="G397" s="24" t="n"/>
      <c r="H397" s="8" t="n"/>
      <c r="I397" s="14" t="n"/>
      <c r="J397" s="25">
        <f>IF($C397="","",IF($E397="Falta","-",MAX(0,MIN(10,8+IFERROR(VALUE(TRIM(MID(SUBSTITUTE(SUBSTITUTE(SUBSTITUTE(UPPER($H397)," ",""),"D",""),";",REPT(" ",30)),1,30))),0)+IFERROR(VALUE(TRIM(MID(SUBSTITUTE(SUBSTITUTE(SUBSTITUTE(UPPER($H397)," ",""),"D",""),";",REPT(" ",30)),31,30))),0)+IFERROR(VALUE(TRIM(MID(SUBSTITUTE(SUBSTITUTE(SUBSTITUTE(UPPER($H397)," ",""),"D",""),";",REPT(" ",30)),61,30))),0)+IFERROR(VALUE(TRIM(MID(SUBSTITUTE(SUBSTITUTE(SUBSTITUTE(UPPER($H397)," ",""),"D",""),";",REPT(" ",30)),91,30))),0)+IFERROR(VALUE(TRIM(MID(SUBSTITUTE(SUBSTITUTE(SUBSTITUTE(UPPER($H397)," ",""),"D",""),";",REPT(" ",30)),121,30))),0)+IFERROR(VALUE(TRIM(MID(SUBSTITUTE(SUBSTITUTE(SUBSTITUTE(UPPER($H397)," ",""),"D",""),";",REPT(" ",30)),151,30))),0)+IFERROR(VALUE(TRIM(MID(SUBSTITUTE(SUBSTITUTE(SUBSTITUTE(UPPER($H397)," ",""),"D",""),";",REPT(" ",30)),181,30))),0)+IFERROR(VALUE(TRIM(MID(SUBSTITUTE(SUBSTITUTE(SUBSTITUTE(UPPER($H397)," ",""),"D",""),";",REPT(" ",30)),211,30))),0)))))</f>
        <v/>
      </c>
      <c r="K397" s="24" t="n"/>
      <c r="L397" s="8" t="n"/>
      <c r="M397" s="14" t="n"/>
      <c r="N397" s="25">
        <f>IF($C397="","",IF($E397="Falta","-",MAX(0,MIN(10,8+IFERROR(VALUE(TRIM(MID(SUBSTITUTE(SUBSTITUTE(SUBSTITUTE(UPPER($L397)," ",""),"F",""),";",REPT(" ",30)),1,30))),0)+IFERROR(VALUE(TRIM(MID(SUBSTITUTE(SUBSTITUTE(SUBSTITUTE(UPPER($L397)," ",""),"F",""),";",REPT(" ",30)),31,30))),0)+IFERROR(VALUE(TRIM(MID(SUBSTITUTE(SUBSTITUTE(SUBSTITUTE(UPPER($L397)," ",""),"F",""),";",REPT(" ",30)),61,30))),0)+IFERROR(VALUE(TRIM(MID(SUBSTITUTE(SUBSTITUTE(SUBSTITUTE(UPPER($L397)," ",""),"F",""),";",REPT(" ",30)),91,30))),0)+IFERROR(VALUE(TRIM(MID(SUBSTITUTE(SUBSTITUTE(SUBSTITUTE(UPPER($L397)," ",""),"F",""),";",REPT(" ",30)),121,30))),0)+IFERROR(VALUE(TRIM(MID(SUBSTITUTE(SUBSTITUTE(SUBSTITUTE(UPPER($L397)," ",""),"F",""),";",REPT(" ",30)),151,30))),0)+IFERROR(VALUE(TRIM(MID(SUBSTITUTE(SUBSTITUTE(SUBSTITUTE(UPPER($L397)," ",""),"F",""),";",REPT(" ",30)),181,30))),0)+IFERROR(VALUE(TRIM(MID(SUBSTITUTE(SUBSTITUTE(SUBSTITUTE(UPPER($L397)," ",""),"F",""),";",REPT(" ",30)),211,30))),0)))))</f>
        <v/>
      </c>
      <c r="O397" s="24" t="n"/>
      <c r="P397" s="8" t="n"/>
      <c r="Q397" s="14" t="n"/>
      <c r="R397" s="25">
        <f>IF($C397="","",IF($E397="Falta","-",MAX(0,MIN(10,5+IFERROR(VALUE(TRIM(MID(SUBSTITUTE(SUBSTITUTE(SUBSTITUTE(UPPER($P397)," ",""),"C",""),";",REPT(" ",30)),1,30))),0)+IFERROR(VALUE(TRIM(MID(SUBSTITUTE(SUBSTITUTE(SUBSTITUTE(UPPER($P397)," ",""),"C",""),";",REPT(" ",30)),31,30))),0)+IFERROR(VALUE(TRIM(MID(SUBSTITUTE(SUBSTITUTE(SUBSTITUTE(UPPER($P397)," ",""),"C",""),";",REPT(" ",30)),61,30))),0)+IFERROR(VALUE(TRIM(MID(SUBSTITUTE(SUBSTITUTE(SUBSTITUTE(UPPER($P397)," ",""),"C",""),";",REPT(" ",30)),91,30))),0)+IFERROR(VALUE(TRIM(MID(SUBSTITUTE(SUBSTITUTE(SUBSTITUTE(UPPER($P397)," ",""),"C",""),";",REPT(" ",30)),121,30))),0)+IFERROR(VALUE(TRIM(MID(SUBSTITUTE(SUBSTITUTE(SUBSTITUTE(UPPER($P397)," ",""),"C",""),";",REPT(" ",30)),151,30))),0)+IFERROR(VALUE(TRIM(MID(SUBSTITUTE(SUBSTITUTE(SUBSTITUTE(UPPER($P397)," ",""),"C",""),";",REPT(" ",30)),181,30))),0)+IFERROR(VALUE(TRIM(MID(SUBSTITUTE(SUBSTITUTE(SUBSTITUTE(UPPER($P397)," ",""),"C",""),";",REPT(" ",30)),211,30))),0)))))</f>
        <v/>
      </c>
      <c r="S397" s="24" t="n"/>
      <c r="T397" s="8" t="n"/>
      <c r="U397" s="14" t="n"/>
      <c r="V397" s="25">
        <f>IF($C397="","",IF($E397="Falta","-",MAX(0,MIN(10,5+IFERROR(VALUE(TRIM(MID(SUBSTITUTE(SUBSTITUTE(SUBSTITUTE(UPPER($T397)," ",""),"P",""),";",REPT(" ",30)),1,30))),0)+IFERROR(VALUE(TRIM(MID(SUBSTITUTE(SUBSTITUTE(SUBSTITUTE(UPPER($T397)," ",""),"P",""),";",REPT(" ",30)),31,30))),0)+IFERROR(VALUE(TRIM(MID(SUBSTITUTE(SUBSTITUTE(SUBSTITUTE(UPPER($T397)," ",""),"P",""),";",REPT(" ",30)),61,30))),0)+IFERROR(VALUE(TRIM(MID(SUBSTITUTE(SUBSTITUTE(SUBSTITUTE(UPPER($T397)," ",""),"P",""),";",REPT(" ",30)),91,30))),0)+IFERROR(VALUE(TRIM(MID(SUBSTITUTE(SUBSTITUTE(SUBSTITUTE(UPPER($T397)," ",""),"P",""),";",REPT(" ",30)),121,30))),0)+IFERROR(VALUE(TRIM(MID(SUBSTITUTE(SUBSTITUTE(SUBSTITUTE(UPPER($T397)," ",""),"P",""),";",REPT(" ",30)),151,30))),0)+IFERROR(VALUE(TRIM(MID(SUBSTITUTE(SUBSTITUTE(SUBSTITUTE(UPPER($T397)," ",""),"P",""),";",REPT(" ",30)),181,30))),0)+IFERROR(VALUE(TRIM(MID(SUBSTITUTE(SUBSTITUTE(SUBSTITUTE(UPPER($T397)," ",""),"P",""),";",REPT(" ",30)),211,30))),0)))))</f>
        <v/>
      </c>
      <c r="W397" s="24" t="n"/>
      <c r="X397" s="14" t="n"/>
    </row>
    <row r="398">
      <c r="A398" s="8">
        <f>IF($C398="","",79)</f>
        <v/>
      </c>
      <c r="B398" s="8">
        <f>IF($C398="","","5ª Sessão")</f>
        <v/>
      </c>
      <c r="C398" s="8">
        <f>IF(Preenchimento!$B$88="","",Preenchimento!$B$88)</f>
        <v/>
      </c>
      <c r="D398" s="8">
        <f>IF($C398="","",IF(Preenchimento!$C$88="","-",Preenchimento!$C$88))</f>
        <v/>
      </c>
      <c r="E398" s="8" t="n"/>
      <c r="F398" s="8" t="n"/>
      <c r="G398" s="24" t="n"/>
      <c r="H398" s="8" t="n"/>
      <c r="I398" s="14" t="n"/>
      <c r="J398" s="25">
        <f>IF($C398="","",IF($E398="Falta","-",MAX(0,MIN(10,8+IFERROR(VALUE(TRIM(MID(SUBSTITUTE(SUBSTITUTE(SUBSTITUTE(UPPER($H398)," ",""),"D",""),";",REPT(" ",30)),1,30))),0)+IFERROR(VALUE(TRIM(MID(SUBSTITUTE(SUBSTITUTE(SUBSTITUTE(UPPER($H398)," ",""),"D",""),";",REPT(" ",30)),31,30))),0)+IFERROR(VALUE(TRIM(MID(SUBSTITUTE(SUBSTITUTE(SUBSTITUTE(UPPER($H398)," ",""),"D",""),";",REPT(" ",30)),61,30))),0)+IFERROR(VALUE(TRIM(MID(SUBSTITUTE(SUBSTITUTE(SUBSTITUTE(UPPER($H398)," ",""),"D",""),";",REPT(" ",30)),91,30))),0)+IFERROR(VALUE(TRIM(MID(SUBSTITUTE(SUBSTITUTE(SUBSTITUTE(UPPER($H398)," ",""),"D",""),";",REPT(" ",30)),121,30))),0)+IFERROR(VALUE(TRIM(MID(SUBSTITUTE(SUBSTITUTE(SUBSTITUTE(UPPER($H398)," ",""),"D",""),";",REPT(" ",30)),151,30))),0)+IFERROR(VALUE(TRIM(MID(SUBSTITUTE(SUBSTITUTE(SUBSTITUTE(UPPER($H398)," ",""),"D",""),";",REPT(" ",30)),181,30))),0)+IFERROR(VALUE(TRIM(MID(SUBSTITUTE(SUBSTITUTE(SUBSTITUTE(UPPER($H398)," ",""),"D",""),";",REPT(" ",30)),211,30))),0)))))</f>
        <v/>
      </c>
      <c r="K398" s="24" t="n"/>
      <c r="L398" s="8" t="n"/>
      <c r="M398" s="14" t="n"/>
      <c r="N398" s="25">
        <f>IF($C398="","",IF($E398="Falta","-",MAX(0,MIN(10,8+IFERROR(VALUE(TRIM(MID(SUBSTITUTE(SUBSTITUTE(SUBSTITUTE(UPPER($L398)," ",""),"F",""),";",REPT(" ",30)),1,30))),0)+IFERROR(VALUE(TRIM(MID(SUBSTITUTE(SUBSTITUTE(SUBSTITUTE(UPPER($L398)," ",""),"F",""),";",REPT(" ",30)),31,30))),0)+IFERROR(VALUE(TRIM(MID(SUBSTITUTE(SUBSTITUTE(SUBSTITUTE(UPPER($L398)," ",""),"F",""),";",REPT(" ",30)),61,30))),0)+IFERROR(VALUE(TRIM(MID(SUBSTITUTE(SUBSTITUTE(SUBSTITUTE(UPPER($L398)," ",""),"F",""),";",REPT(" ",30)),91,30))),0)+IFERROR(VALUE(TRIM(MID(SUBSTITUTE(SUBSTITUTE(SUBSTITUTE(UPPER($L398)," ",""),"F",""),";",REPT(" ",30)),121,30))),0)+IFERROR(VALUE(TRIM(MID(SUBSTITUTE(SUBSTITUTE(SUBSTITUTE(UPPER($L398)," ",""),"F",""),";",REPT(" ",30)),151,30))),0)+IFERROR(VALUE(TRIM(MID(SUBSTITUTE(SUBSTITUTE(SUBSTITUTE(UPPER($L398)," ",""),"F",""),";",REPT(" ",30)),181,30))),0)+IFERROR(VALUE(TRIM(MID(SUBSTITUTE(SUBSTITUTE(SUBSTITUTE(UPPER($L398)," ",""),"F",""),";",REPT(" ",30)),211,30))),0)))))</f>
        <v/>
      </c>
      <c r="O398" s="24" t="n"/>
      <c r="P398" s="8" t="n"/>
      <c r="Q398" s="14" t="n"/>
      <c r="R398" s="25">
        <f>IF($C398="","",IF($E398="Falta","-",MAX(0,MIN(10,5+IFERROR(VALUE(TRIM(MID(SUBSTITUTE(SUBSTITUTE(SUBSTITUTE(UPPER($P398)," ",""),"C",""),";",REPT(" ",30)),1,30))),0)+IFERROR(VALUE(TRIM(MID(SUBSTITUTE(SUBSTITUTE(SUBSTITUTE(UPPER($P398)," ",""),"C",""),";",REPT(" ",30)),31,30))),0)+IFERROR(VALUE(TRIM(MID(SUBSTITUTE(SUBSTITUTE(SUBSTITUTE(UPPER($P398)," ",""),"C",""),";",REPT(" ",30)),61,30))),0)+IFERROR(VALUE(TRIM(MID(SUBSTITUTE(SUBSTITUTE(SUBSTITUTE(UPPER($P398)," ",""),"C",""),";",REPT(" ",30)),91,30))),0)+IFERROR(VALUE(TRIM(MID(SUBSTITUTE(SUBSTITUTE(SUBSTITUTE(UPPER($P398)," ",""),"C",""),";",REPT(" ",30)),121,30))),0)+IFERROR(VALUE(TRIM(MID(SUBSTITUTE(SUBSTITUTE(SUBSTITUTE(UPPER($P398)," ",""),"C",""),";",REPT(" ",30)),151,30))),0)+IFERROR(VALUE(TRIM(MID(SUBSTITUTE(SUBSTITUTE(SUBSTITUTE(UPPER($P398)," ",""),"C",""),";",REPT(" ",30)),181,30))),0)+IFERROR(VALUE(TRIM(MID(SUBSTITUTE(SUBSTITUTE(SUBSTITUTE(UPPER($P398)," ",""),"C",""),";",REPT(" ",30)),211,30))),0)))))</f>
        <v/>
      </c>
      <c r="S398" s="24" t="n"/>
      <c r="T398" s="8" t="n"/>
      <c r="U398" s="14" t="n"/>
      <c r="V398" s="25">
        <f>IF($C398="","",IF($E398="Falta","-",MAX(0,MIN(10,5+IFERROR(VALUE(TRIM(MID(SUBSTITUTE(SUBSTITUTE(SUBSTITUTE(UPPER($T398)," ",""),"P",""),";",REPT(" ",30)),1,30))),0)+IFERROR(VALUE(TRIM(MID(SUBSTITUTE(SUBSTITUTE(SUBSTITUTE(UPPER($T398)," ",""),"P",""),";",REPT(" ",30)),31,30))),0)+IFERROR(VALUE(TRIM(MID(SUBSTITUTE(SUBSTITUTE(SUBSTITUTE(UPPER($T398)," ",""),"P",""),";",REPT(" ",30)),61,30))),0)+IFERROR(VALUE(TRIM(MID(SUBSTITUTE(SUBSTITUTE(SUBSTITUTE(UPPER($T398)," ",""),"P",""),";",REPT(" ",30)),91,30))),0)+IFERROR(VALUE(TRIM(MID(SUBSTITUTE(SUBSTITUTE(SUBSTITUTE(UPPER($T398)," ",""),"P",""),";",REPT(" ",30)),121,30))),0)+IFERROR(VALUE(TRIM(MID(SUBSTITUTE(SUBSTITUTE(SUBSTITUTE(UPPER($T398)," ",""),"P",""),";",REPT(" ",30)),151,30))),0)+IFERROR(VALUE(TRIM(MID(SUBSTITUTE(SUBSTITUTE(SUBSTITUTE(UPPER($T398)," ",""),"P",""),";",REPT(" ",30)),181,30))),0)+IFERROR(VALUE(TRIM(MID(SUBSTITUTE(SUBSTITUTE(SUBSTITUTE(UPPER($T398)," ",""),"P",""),";",REPT(" ",30)),211,30))),0)))))</f>
        <v/>
      </c>
      <c r="W398" s="24" t="n"/>
      <c r="X398" s="14" t="n"/>
    </row>
    <row r="399">
      <c r="A399" s="6">
        <f>IF($C399="","",80)</f>
        <v/>
      </c>
      <c r="B399" s="6">
        <f>IF($C399="","","1ª Sessão")</f>
        <v/>
      </c>
      <c r="C399" s="6">
        <f>IF(Preenchimento!$B$89="","",Preenchimento!$B$89)</f>
        <v/>
      </c>
      <c r="D399" s="6">
        <f>IF($C399="","",IF(Preenchimento!$C$89="","-",Preenchimento!$C$89))</f>
        <v/>
      </c>
      <c r="E399" s="6" t="n"/>
      <c r="F399" s="6" t="n"/>
      <c r="G399" s="26" t="n"/>
      <c r="H399" s="6" t="n"/>
      <c r="I399" s="13" t="n"/>
      <c r="J399" s="27">
        <f>IF($C399="","",IF($E399="Falta","-",MAX(0,MIN(10,8+IFERROR(VALUE(TRIM(MID(SUBSTITUTE(SUBSTITUTE(SUBSTITUTE(UPPER($H399)," ",""),"D",""),";",REPT(" ",30)),1,30))),0)+IFERROR(VALUE(TRIM(MID(SUBSTITUTE(SUBSTITUTE(SUBSTITUTE(UPPER($H399)," ",""),"D",""),";",REPT(" ",30)),31,30))),0)+IFERROR(VALUE(TRIM(MID(SUBSTITUTE(SUBSTITUTE(SUBSTITUTE(UPPER($H399)," ",""),"D",""),";",REPT(" ",30)),61,30))),0)+IFERROR(VALUE(TRIM(MID(SUBSTITUTE(SUBSTITUTE(SUBSTITUTE(UPPER($H399)," ",""),"D",""),";",REPT(" ",30)),91,30))),0)+IFERROR(VALUE(TRIM(MID(SUBSTITUTE(SUBSTITUTE(SUBSTITUTE(UPPER($H399)," ",""),"D",""),";",REPT(" ",30)),121,30))),0)+IFERROR(VALUE(TRIM(MID(SUBSTITUTE(SUBSTITUTE(SUBSTITUTE(UPPER($H399)," ",""),"D",""),";",REPT(" ",30)),151,30))),0)+IFERROR(VALUE(TRIM(MID(SUBSTITUTE(SUBSTITUTE(SUBSTITUTE(UPPER($H399)," ",""),"D",""),";",REPT(" ",30)),181,30))),0)+IFERROR(VALUE(TRIM(MID(SUBSTITUTE(SUBSTITUTE(SUBSTITUTE(UPPER($H399)," ",""),"D",""),";",REPT(" ",30)),211,30))),0)))))</f>
        <v/>
      </c>
      <c r="K399" s="26" t="n"/>
      <c r="L399" s="6" t="n"/>
      <c r="M399" s="13" t="n"/>
      <c r="N399" s="27">
        <f>IF($C399="","",IF($E399="Falta","-",MAX(0,MIN(10,8+IFERROR(VALUE(TRIM(MID(SUBSTITUTE(SUBSTITUTE(SUBSTITUTE(UPPER($L399)," ",""),"F",""),";",REPT(" ",30)),1,30))),0)+IFERROR(VALUE(TRIM(MID(SUBSTITUTE(SUBSTITUTE(SUBSTITUTE(UPPER($L399)," ",""),"F",""),";",REPT(" ",30)),31,30))),0)+IFERROR(VALUE(TRIM(MID(SUBSTITUTE(SUBSTITUTE(SUBSTITUTE(UPPER($L399)," ",""),"F",""),";",REPT(" ",30)),61,30))),0)+IFERROR(VALUE(TRIM(MID(SUBSTITUTE(SUBSTITUTE(SUBSTITUTE(UPPER($L399)," ",""),"F",""),";",REPT(" ",30)),91,30))),0)+IFERROR(VALUE(TRIM(MID(SUBSTITUTE(SUBSTITUTE(SUBSTITUTE(UPPER($L399)," ",""),"F",""),";",REPT(" ",30)),121,30))),0)+IFERROR(VALUE(TRIM(MID(SUBSTITUTE(SUBSTITUTE(SUBSTITUTE(UPPER($L399)," ",""),"F",""),";",REPT(" ",30)),151,30))),0)+IFERROR(VALUE(TRIM(MID(SUBSTITUTE(SUBSTITUTE(SUBSTITUTE(UPPER($L399)," ",""),"F",""),";",REPT(" ",30)),181,30))),0)+IFERROR(VALUE(TRIM(MID(SUBSTITUTE(SUBSTITUTE(SUBSTITUTE(UPPER($L399)," ",""),"F",""),";",REPT(" ",30)),211,30))),0)))))</f>
        <v/>
      </c>
      <c r="O399" s="26" t="n"/>
      <c r="P399" s="6" t="n"/>
      <c r="Q399" s="13" t="n"/>
      <c r="R399" s="27">
        <f>IF($C399="","",IF($E399="Falta","-",MAX(0,MIN(10,5+IFERROR(VALUE(TRIM(MID(SUBSTITUTE(SUBSTITUTE(SUBSTITUTE(UPPER($P399)," ",""),"C",""),";",REPT(" ",30)),1,30))),0)+IFERROR(VALUE(TRIM(MID(SUBSTITUTE(SUBSTITUTE(SUBSTITUTE(UPPER($P399)," ",""),"C",""),";",REPT(" ",30)),31,30))),0)+IFERROR(VALUE(TRIM(MID(SUBSTITUTE(SUBSTITUTE(SUBSTITUTE(UPPER($P399)," ",""),"C",""),";",REPT(" ",30)),61,30))),0)+IFERROR(VALUE(TRIM(MID(SUBSTITUTE(SUBSTITUTE(SUBSTITUTE(UPPER($P399)," ",""),"C",""),";",REPT(" ",30)),91,30))),0)+IFERROR(VALUE(TRIM(MID(SUBSTITUTE(SUBSTITUTE(SUBSTITUTE(UPPER($P399)," ",""),"C",""),";",REPT(" ",30)),121,30))),0)+IFERROR(VALUE(TRIM(MID(SUBSTITUTE(SUBSTITUTE(SUBSTITUTE(UPPER($P399)," ",""),"C",""),";",REPT(" ",30)),151,30))),0)+IFERROR(VALUE(TRIM(MID(SUBSTITUTE(SUBSTITUTE(SUBSTITUTE(UPPER($P399)," ",""),"C",""),";",REPT(" ",30)),181,30))),0)+IFERROR(VALUE(TRIM(MID(SUBSTITUTE(SUBSTITUTE(SUBSTITUTE(UPPER($P399)," ",""),"C",""),";",REPT(" ",30)),211,30))),0)))))</f>
        <v/>
      </c>
      <c r="S399" s="26" t="n"/>
      <c r="T399" s="6" t="n"/>
      <c r="U399" s="13" t="n"/>
      <c r="V399" s="27">
        <f>IF($C399="","",IF($E399="Falta","-",MAX(0,MIN(10,5+IFERROR(VALUE(TRIM(MID(SUBSTITUTE(SUBSTITUTE(SUBSTITUTE(UPPER($T399)," ",""),"P",""),";",REPT(" ",30)),1,30))),0)+IFERROR(VALUE(TRIM(MID(SUBSTITUTE(SUBSTITUTE(SUBSTITUTE(UPPER($T399)," ",""),"P",""),";",REPT(" ",30)),31,30))),0)+IFERROR(VALUE(TRIM(MID(SUBSTITUTE(SUBSTITUTE(SUBSTITUTE(UPPER($T399)," ",""),"P",""),";",REPT(" ",30)),61,30))),0)+IFERROR(VALUE(TRIM(MID(SUBSTITUTE(SUBSTITUTE(SUBSTITUTE(UPPER($T399)," ",""),"P",""),";",REPT(" ",30)),91,30))),0)+IFERROR(VALUE(TRIM(MID(SUBSTITUTE(SUBSTITUTE(SUBSTITUTE(UPPER($T399)," ",""),"P",""),";",REPT(" ",30)),121,30))),0)+IFERROR(VALUE(TRIM(MID(SUBSTITUTE(SUBSTITUTE(SUBSTITUTE(UPPER($T399)," ",""),"P",""),";",REPT(" ",30)),151,30))),0)+IFERROR(VALUE(TRIM(MID(SUBSTITUTE(SUBSTITUTE(SUBSTITUTE(UPPER($T399)," ",""),"P",""),";",REPT(" ",30)),181,30))),0)+IFERROR(VALUE(TRIM(MID(SUBSTITUTE(SUBSTITUTE(SUBSTITUTE(UPPER($T399)," ",""),"P",""),";",REPT(" ",30)),211,30))),0)))))</f>
        <v/>
      </c>
      <c r="W399" s="26" t="n"/>
      <c r="X399" s="13" t="n"/>
    </row>
    <row r="400">
      <c r="A400" s="6">
        <f>IF($C400="","",80)</f>
        <v/>
      </c>
      <c r="B400" s="6">
        <f>IF($C400="","","2ª Sessão")</f>
        <v/>
      </c>
      <c r="C400" s="6">
        <f>IF(Preenchimento!$B$89="","",Preenchimento!$B$89)</f>
        <v/>
      </c>
      <c r="D400" s="6">
        <f>IF($C400="","",IF(Preenchimento!$C$89="","-",Preenchimento!$C$89))</f>
        <v/>
      </c>
      <c r="E400" s="6" t="n"/>
      <c r="F400" s="6" t="n"/>
      <c r="G400" s="26" t="n"/>
      <c r="H400" s="6" t="n"/>
      <c r="I400" s="13" t="n"/>
      <c r="J400" s="27">
        <f>IF($C400="","",IF($E400="Falta","-",MAX(0,MIN(10,8+IFERROR(VALUE(TRIM(MID(SUBSTITUTE(SUBSTITUTE(SUBSTITUTE(UPPER($H400)," ",""),"D",""),";",REPT(" ",30)),1,30))),0)+IFERROR(VALUE(TRIM(MID(SUBSTITUTE(SUBSTITUTE(SUBSTITUTE(UPPER($H400)," ",""),"D",""),";",REPT(" ",30)),31,30))),0)+IFERROR(VALUE(TRIM(MID(SUBSTITUTE(SUBSTITUTE(SUBSTITUTE(UPPER($H400)," ",""),"D",""),";",REPT(" ",30)),61,30))),0)+IFERROR(VALUE(TRIM(MID(SUBSTITUTE(SUBSTITUTE(SUBSTITUTE(UPPER($H400)," ",""),"D",""),";",REPT(" ",30)),91,30))),0)+IFERROR(VALUE(TRIM(MID(SUBSTITUTE(SUBSTITUTE(SUBSTITUTE(UPPER($H400)," ",""),"D",""),";",REPT(" ",30)),121,30))),0)+IFERROR(VALUE(TRIM(MID(SUBSTITUTE(SUBSTITUTE(SUBSTITUTE(UPPER($H400)," ",""),"D",""),";",REPT(" ",30)),151,30))),0)+IFERROR(VALUE(TRIM(MID(SUBSTITUTE(SUBSTITUTE(SUBSTITUTE(UPPER($H400)," ",""),"D",""),";",REPT(" ",30)),181,30))),0)+IFERROR(VALUE(TRIM(MID(SUBSTITUTE(SUBSTITUTE(SUBSTITUTE(UPPER($H400)," ",""),"D",""),";",REPT(" ",30)),211,30))),0)))))</f>
        <v/>
      </c>
      <c r="K400" s="26" t="n"/>
      <c r="L400" s="6" t="n"/>
      <c r="M400" s="13" t="n"/>
      <c r="N400" s="27">
        <f>IF($C400="","",IF($E400="Falta","-",MAX(0,MIN(10,8+IFERROR(VALUE(TRIM(MID(SUBSTITUTE(SUBSTITUTE(SUBSTITUTE(UPPER($L400)," ",""),"F",""),";",REPT(" ",30)),1,30))),0)+IFERROR(VALUE(TRIM(MID(SUBSTITUTE(SUBSTITUTE(SUBSTITUTE(UPPER($L400)," ",""),"F",""),";",REPT(" ",30)),31,30))),0)+IFERROR(VALUE(TRIM(MID(SUBSTITUTE(SUBSTITUTE(SUBSTITUTE(UPPER($L400)," ",""),"F",""),";",REPT(" ",30)),61,30))),0)+IFERROR(VALUE(TRIM(MID(SUBSTITUTE(SUBSTITUTE(SUBSTITUTE(UPPER($L400)," ",""),"F",""),";",REPT(" ",30)),91,30))),0)+IFERROR(VALUE(TRIM(MID(SUBSTITUTE(SUBSTITUTE(SUBSTITUTE(UPPER($L400)," ",""),"F",""),";",REPT(" ",30)),121,30))),0)+IFERROR(VALUE(TRIM(MID(SUBSTITUTE(SUBSTITUTE(SUBSTITUTE(UPPER($L400)," ",""),"F",""),";",REPT(" ",30)),151,30))),0)+IFERROR(VALUE(TRIM(MID(SUBSTITUTE(SUBSTITUTE(SUBSTITUTE(UPPER($L400)," ",""),"F",""),";",REPT(" ",30)),181,30))),0)+IFERROR(VALUE(TRIM(MID(SUBSTITUTE(SUBSTITUTE(SUBSTITUTE(UPPER($L400)," ",""),"F",""),";",REPT(" ",30)),211,30))),0)))))</f>
        <v/>
      </c>
      <c r="O400" s="26" t="n"/>
      <c r="P400" s="6" t="n"/>
      <c r="Q400" s="13" t="n"/>
      <c r="R400" s="27">
        <f>IF($C400="","",IF($E400="Falta","-",MAX(0,MIN(10,5+IFERROR(VALUE(TRIM(MID(SUBSTITUTE(SUBSTITUTE(SUBSTITUTE(UPPER($P400)," ",""),"C",""),";",REPT(" ",30)),1,30))),0)+IFERROR(VALUE(TRIM(MID(SUBSTITUTE(SUBSTITUTE(SUBSTITUTE(UPPER($P400)," ",""),"C",""),";",REPT(" ",30)),31,30))),0)+IFERROR(VALUE(TRIM(MID(SUBSTITUTE(SUBSTITUTE(SUBSTITUTE(UPPER($P400)," ",""),"C",""),";",REPT(" ",30)),61,30))),0)+IFERROR(VALUE(TRIM(MID(SUBSTITUTE(SUBSTITUTE(SUBSTITUTE(UPPER($P400)," ",""),"C",""),";",REPT(" ",30)),91,30))),0)+IFERROR(VALUE(TRIM(MID(SUBSTITUTE(SUBSTITUTE(SUBSTITUTE(UPPER($P400)," ",""),"C",""),";",REPT(" ",30)),121,30))),0)+IFERROR(VALUE(TRIM(MID(SUBSTITUTE(SUBSTITUTE(SUBSTITUTE(UPPER($P400)," ",""),"C",""),";",REPT(" ",30)),151,30))),0)+IFERROR(VALUE(TRIM(MID(SUBSTITUTE(SUBSTITUTE(SUBSTITUTE(UPPER($P400)," ",""),"C",""),";",REPT(" ",30)),181,30))),0)+IFERROR(VALUE(TRIM(MID(SUBSTITUTE(SUBSTITUTE(SUBSTITUTE(UPPER($P400)," ",""),"C",""),";",REPT(" ",30)),211,30))),0)))))</f>
        <v/>
      </c>
      <c r="S400" s="26" t="n"/>
      <c r="T400" s="6" t="n"/>
      <c r="U400" s="13" t="n"/>
      <c r="V400" s="27">
        <f>IF($C400="","",IF($E400="Falta","-",MAX(0,MIN(10,5+IFERROR(VALUE(TRIM(MID(SUBSTITUTE(SUBSTITUTE(SUBSTITUTE(UPPER($T400)," ",""),"P",""),";",REPT(" ",30)),1,30))),0)+IFERROR(VALUE(TRIM(MID(SUBSTITUTE(SUBSTITUTE(SUBSTITUTE(UPPER($T400)," ",""),"P",""),";",REPT(" ",30)),31,30))),0)+IFERROR(VALUE(TRIM(MID(SUBSTITUTE(SUBSTITUTE(SUBSTITUTE(UPPER($T400)," ",""),"P",""),";",REPT(" ",30)),61,30))),0)+IFERROR(VALUE(TRIM(MID(SUBSTITUTE(SUBSTITUTE(SUBSTITUTE(UPPER($T400)," ",""),"P",""),";",REPT(" ",30)),91,30))),0)+IFERROR(VALUE(TRIM(MID(SUBSTITUTE(SUBSTITUTE(SUBSTITUTE(UPPER($T400)," ",""),"P",""),";",REPT(" ",30)),121,30))),0)+IFERROR(VALUE(TRIM(MID(SUBSTITUTE(SUBSTITUTE(SUBSTITUTE(UPPER($T400)," ",""),"P",""),";",REPT(" ",30)),151,30))),0)+IFERROR(VALUE(TRIM(MID(SUBSTITUTE(SUBSTITUTE(SUBSTITUTE(UPPER($T400)," ",""),"P",""),";",REPT(" ",30)),181,30))),0)+IFERROR(VALUE(TRIM(MID(SUBSTITUTE(SUBSTITUTE(SUBSTITUTE(UPPER($T400)," ",""),"P",""),";",REPT(" ",30)),211,30))),0)))))</f>
        <v/>
      </c>
      <c r="W400" s="26" t="n"/>
      <c r="X400" s="13" t="n"/>
    </row>
    <row r="401">
      <c r="A401" s="6">
        <f>IF($C401="","",80)</f>
        <v/>
      </c>
      <c r="B401" s="6">
        <f>IF($C401="","","3ª Sessão")</f>
        <v/>
      </c>
      <c r="C401" s="6">
        <f>IF(Preenchimento!$B$89="","",Preenchimento!$B$89)</f>
        <v/>
      </c>
      <c r="D401" s="6">
        <f>IF($C401="","",IF(Preenchimento!$C$89="","-",Preenchimento!$C$89))</f>
        <v/>
      </c>
      <c r="E401" s="6" t="n"/>
      <c r="F401" s="6" t="n"/>
      <c r="G401" s="26" t="n"/>
      <c r="H401" s="6" t="n"/>
      <c r="I401" s="13" t="n"/>
      <c r="J401" s="27">
        <f>IF($C401="","",IF($E401="Falta","-",MAX(0,MIN(10,8+IFERROR(VALUE(TRIM(MID(SUBSTITUTE(SUBSTITUTE(SUBSTITUTE(UPPER($H401)," ",""),"D",""),";",REPT(" ",30)),1,30))),0)+IFERROR(VALUE(TRIM(MID(SUBSTITUTE(SUBSTITUTE(SUBSTITUTE(UPPER($H401)," ",""),"D",""),";",REPT(" ",30)),31,30))),0)+IFERROR(VALUE(TRIM(MID(SUBSTITUTE(SUBSTITUTE(SUBSTITUTE(UPPER($H401)," ",""),"D",""),";",REPT(" ",30)),61,30))),0)+IFERROR(VALUE(TRIM(MID(SUBSTITUTE(SUBSTITUTE(SUBSTITUTE(UPPER($H401)," ",""),"D",""),";",REPT(" ",30)),91,30))),0)+IFERROR(VALUE(TRIM(MID(SUBSTITUTE(SUBSTITUTE(SUBSTITUTE(UPPER($H401)," ",""),"D",""),";",REPT(" ",30)),121,30))),0)+IFERROR(VALUE(TRIM(MID(SUBSTITUTE(SUBSTITUTE(SUBSTITUTE(UPPER($H401)," ",""),"D",""),";",REPT(" ",30)),151,30))),0)+IFERROR(VALUE(TRIM(MID(SUBSTITUTE(SUBSTITUTE(SUBSTITUTE(UPPER($H401)," ",""),"D",""),";",REPT(" ",30)),181,30))),0)+IFERROR(VALUE(TRIM(MID(SUBSTITUTE(SUBSTITUTE(SUBSTITUTE(UPPER($H401)," ",""),"D",""),";",REPT(" ",30)),211,30))),0)))))</f>
        <v/>
      </c>
      <c r="K401" s="26" t="n"/>
      <c r="L401" s="6" t="n"/>
      <c r="M401" s="13" t="n"/>
      <c r="N401" s="27">
        <f>IF($C401="","",IF($E401="Falta","-",MAX(0,MIN(10,8+IFERROR(VALUE(TRIM(MID(SUBSTITUTE(SUBSTITUTE(SUBSTITUTE(UPPER($L401)," ",""),"F",""),";",REPT(" ",30)),1,30))),0)+IFERROR(VALUE(TRIM(MID(SUBSTITUTE(SUBSTITUTE(SUBSTITUTE(UPPER($L401)," ",""),"F",""),";",REPT(" ",30)),31,30))),0)+IFERROR(VALUE(TRIM(MID(SUBSTITUTE(SUBSTITUTE(SUBSTITUTE(UPPER($L401)," ",""),"F",""),";",REPT(" ",30)),61,30))),0)+IFERROR(VALUE(TRIM(MID(SUBSTITUTE(SUBSTITUTE(SUBSTITUTE(UPPER($L401)," ",""),"F",""),";",REPT(" ",30)),91,30))),0)+IFERROR(VALUE(TRIM(MID(SUBSTITUTE(SUBSTITUTE(SUBSTITUTE(UPPER($L401)," ",""),"F",""),";",REPT(" ",30)),121,30))),0)+IFERROR(VALUE(TRIM(MID(SUBSTITUTE(SUBSTITUTE(SUBSTITUTE(UPPER($L401)," ",""),"F",""),";",REPT(" ",30)),151,30))),0)+IFERROR(VALUE(TRIM(MID(SUBSTITUTE(SUBSTITUTE(SUBSTITUTE(UPPER($L401)," ",""),"F",""),";",REPT(" ",30)),181,30))),0)+IFERROR(VALUE(TRIM(MID(SUBSTITUTE(SUBSTITUTE(SUBSTITUTE(UPPER($L401)," ",""),"F",""),";",REPT(" ",30)),211,30))),0)))))</f>
        <v/>
      </c>
      <c r="O401" s="26" t="n"/>
      <c r="P401" s="6" t="n"/>
      <c r="Q401" s="13" t="n"/>
      <c r="R401" s="27">
        <f>IF($C401="","",IF($E401="Falta","-",MAX(0,MIN(10,5+IFERROR(VALUE(TRIM(MID(SUBSTITUTE(SUBSTITUTE(SUBSTITUTE(UPPER($P401)," ",""),"C",""),";",REPT(" ",30)),1,30))),0)+IFERROR(VALUE(TRIM(MID(SUBSTITUTE(SUBSTITUTE(SUBSTITUTE(UPPER($P401)," ",""),"C",""),";",REPT(" ",30)),31,30))),0)+IFERROR(VALUE(TRIM(MID(SUBSTITUTE(SUBSTITUTE(SUBSTITUTE(UPPER($P401)," ",""),"C",""),";",REPT(" ",30)),61,30))),0)+IFERROR(VALUE(TRIM(MID(SUBSTITUTE(SUBSTITUTE(SUBSTITUTE(UPPER($P401)," ",""),"C",""),";",REPT(" ",30)),91,30))),0)+IFERROR(VALUE(TRIM(MID(SUBSTITUTE(SUBSTITUTE(SUBSTITUTE(UPPER($P401)," ",""),"C",""),";",REPT(" ",30)),121,30))),0)+IFERROR(VALUE(TRIM(MID(SUBSTITUTE(SUBSTITUTE(SUBSTITUTE(UPPER($P401)," ",""),"C",""),";",REPT(" ",30)),151,30))),0)+IFERROR(VALUE(TRIM(MID(SUBSTITUTE(SUBSTITUTE(SUBSTITUTE(UPPER($P401)," ",""),"C",""),";",REPT(" ",30)),181,30))),0)+IFERROR(VALUE(TRIM(MID(SUBSTITUTE(SUBSTITUTE(SUBSTITUTE(UPPER($P401)," ",""),"C",""),";",REPT(" ",30)),211,30))),0)))))</f>
        <v/>
      </c>
      <c r="S401" s="26" t="n"/>
      <c r="T401" s="6" t="n"/>
      <c r="U401" s="13" t="n"/>
      <c r="V401" s="27">
        <f>IF($C401="","",IF($E401="Falta","-",MAX(0,MIN(10,5+IFERROR(VALUE(TRIM(MID(SUBSTITUTE(SUBSTITUTE(SUBSTITUTE(UPPER($T401)," ",""),"P",""),";",REPT(" ",30)),1,30))),0)+IFERROR(VALUE(TRIM(MID(SUBSTITUTE(SUBSTITUTE(SUBSTITUTE(UPPER($T401)," ",""),"P",""),";",REPT(" ",30)),31,30))),0)+IFERROR(VALUE(TRIM(MID(SUBSTITUTE(SUBSTITUTE(SUBSTITUTE(UPPER($T401)," ",""),"P",""),";",REPT(" ",30)),61,30))),0)+IFERROR(VALUE(TRIM(MID(SUBSTITUTE(SUBSTITUTE(SUBSTITUTE(UPPER($T401)," ",""),"P",""),";",REPT(" ",30)),91,30))),0)+IFERROR(VALUE(TRIM(MID(SUBSTITUTE(SUBSTITUTE(SUBSTITUTE(UPPER($T401)," ",""),"P",""),";",REPT(" ",30)),121,30))),0)+IFERROR(VALUE(TRIM(MID(SUBSTITUTE(SUBSTITUTE(SUBSTITUTE(UPPER($T401)," ",""),"P",""),";",REPT(" ",30)),151,30))),0)+IFERROR(VALUE(TRIM(MID(SUBSTITUTE(SUBSTITUTE(SUBSTITUTE(UPPER($T401)," ",""),"P",""),";",REPT(" ",30)),181,30))),0)+IFERROR(VALUE(TRIM(MID(SUBSTITUTE(SUBSTITUTE(SUBSTITUTE(UPPER($T401)," ",""),"P",""),";",REPT(" ",30)),211,30))),0)))))</f>
        <v/>
      </c>
      <c r="W401" s="26" t="n"/>
      <c r="X401" s="13" t="n"/>
    </row>
    <row r="402">
      <c r="A402" s="6">
        <f>IF($C402="","",80)</f>
        <v/>
      </c>
      <c r="B402" s="6">
        <f>IF($C402="","","4ª Sessão")</f>
        <v/>
      </c>
      <c r="C402" s="6">
        <f>IF(Preenchimento!$B$89="","",Preenchimento!$B$89)</f>
        <v/>
      </c>
      <c r="D402" s="6">
        <f>IF($C402="","",IF(Preenchimento!$C$89="","-",Preenchimento!$C$89))</f>
        <v/>
      </c>
      <c r="E402" s="6" t="n"/>
      <c r="F402" s="6" t="n"/>
      <c r="G402" s="26" t="n"/>
      <c r="H402" s="6" t="n"/>
      <c r="I402" s="13" t="n"/>
      <c r="J402" s="27">
        <f>IF($C402="","",IF($E402="Falta","-",MAX(0,MIN(10,8+IFERROR(VALUE(TRIM(MID(SUBSTITUTE(SUBSTITUTE(SUBSTITUTE(UPPER($H402)," ",""),"D",""),";",REPT(" ",30)),1,30))),0)+IFERROR(VALUE(TRIM(MID(SUBSTITUTE(SUBSTITUTE(SUBSTITUTE(UPPER($H402)," ",""),"D",""),";",REPT(" ",30)),31,30))),0)+IFERROR(VALUE(TRIM(MID(SUBSTITUTE(SUBSTITUTE(SUBSTITUTE(UPPER($H402)," ",""),"D",""),";",REPT(" ",30)),61,30))),0)+IFERROR(VALUE(TRIM(MID(SUBSTITUTE(SUBSTITUTE(SUBSTITUTE(UPPER($H402)," ",""),"D",""),";",REPT(" ",30)),91,30))),0)+IFERROR(VALUE(TRIM(MID(SUBSTITUTE(SUBSTITUTE(SUBSTITUTE(UPPER($H402)," ",""),"D",""),";",REPT(" ",30)),121,30))),0)+IFERROR(VALUE(TRIM(MID(SUBSTITUTE(SUBSTITUTE(SUBSTITUTE(UPPER($H402)," ",""),"D",""),";",REPT(" ",30)),151,30))),0)+IFERROR(VALUE(TRIM(MID(SUBSTITUTE(SUBSTITUTE(SUBSTITUTE(UPPER($H402)," ",""),"D",""),";",REPT(" ",30)),181,30))),0)+IFERROR(VALUE(TRIM(MID(SUBSTITUTE(SUBSTITUTE(SUBSTITUTE(UPPER($H402)," ",""),"D",""),";",REPT(" ",30)),211,30))),0)))))</f>
        <v/>
      </c>
      <c r="K402" s="26" t="n"/>
      <c r="L402" s="6" t="n"/>
      <c r="M402" s="13" t="n"/>
      <c r="N402" s="27">
        <f>IF($C402="","",IF($E402="Falta","-",MAX(0,MIN(10,8+IFERROR(VALUE(TRIM(MID(SUBSTITUTE(SUBSTITUTE(SUBSTITUTE(UPPER($L402)," ",""),"F",""),";",REPT(" ",30)),1,30))),0)+IFERROR(VALUE(TRIM(MID(SUBSTITUTE(SUBSTITUTE(SUBSTITUTE(UPPER($L402)," ",""),"F",""),";",REPT(" ",30)),31,30))),0)+IFERROR(VALUE(TRIM(MID(SUBSTITUTE(SUBSTITUTE(SUBSTITUTE(UPPER($L402)," ",""),"F",""),";",REPT(" ",30)),61,30))),0)+IFERROR(VALUE(TRIM(MID(SUBSTITUTE(SUBSTITUTE(SUBSTITUTE(UPPER($L402)," ",""),"F",""),";",REPT(" ",30)),91,30))),0)+IFERROR(VALUE(TRIM(MID(SUBSTITUTE(SUBSTITUTE(SUBSTITUTE(UPPER($L402)," ",""),"F",""),";",REPT(" ",30)),121,30))),0)+IFERROR(VALUE(TRIM(MID(SUBSTITUTE(SUBSTITUTE(SUBSTITUTE(UPPER($L402)," ",""),"F",""),";",REPT(" ",30)),151,30))),0)+IFERROR(VALUE(TRIM(MID(SUBSTITUTE(SUBSTITUTE(SUBSTITUTE(UPPER($L402)," ",""),"F",""),";",REPT(" ",30)),181,30))),0)+IFERROR(VALUE(TRIM(MID(SUBSTITUTE(SUBSTITUTE(SUBSTITUTE(UPPER($L402)," ",""),"F",""),";",REPT(" ",30)),211,30))),0)))))</f>
        <v/>
      </c>
      <c r="O402" s="26" t="n"/>
      <c r="P402" s="6" t="n"/>
      <c r="Q402" s="13" t="n"/>
      <c r="R402" s="27">
        <f>IF($C402="","",IF($E402="Falta","-",MAX(0,MIN(10,5+IFERROR(VALUE(TRIM(MID(SUBSTITUTE(SUBSTITUTE(SUBSTITUTE(UPPER($P402)," ",""),"C",""),";",REPT(" ",30)),1,30))),0)+IFERROR(VALUE(TRIM(MID(SUBSTITUTE(SUBSTITUTE(SUBSTITUTE(UPPER($P402)," ",""),"C",""),";",REPT(" ",30)),31,30))),0)+IFERROR(VALUE(TRIM(MID(SUBSTITUTE(SUBSTITUTE(SUBSTITUTE(UPPER($P402)," ",""),"C",""),";",REPT(" ",30)),61,30))),0)+IFERROR(VALUE(TRIM(MID(SUBSTITUTE(SUBSTITUTE(SUBSTITUTE(UPPER($P402)," ",""),"C",""),";",REPT(" ",30)),91,30))),0)+IFERROR(VALUE(TRIM(MID(SUBSTITUTE(SUBSTITUTE(SUBSTITUTE(UPPER($P402)," ",""),"C",""),";",REPT(" ",30)),121,30))),0)+IFERROR(VALUE(TRIM(MID(SUBSTITUTE(SUBSTITUTE(SUBSTITUTE(UPPER($P402)," ",""),"C",""),";",REPT(" ",30)),151,30))),0)+IFERROR(VALUE(TRIM(MID(SUBSTITUTE(SUBSTITUTE(SUBSTITUTE(UPPER($P402)," ",""),"C",""),";",REPT(" ",30)),181,30))),0)+IFERROR(VALUE(TRIM(MID(SUBSTITUTE(SUBSTITUTE(SUBSTITUTE(UPPER($P402)," ",""),"C",""),";",REPT(" ",30)),211,30))),0)))))</f>
        <v/>
      </c>
      <c r="S402" s="26" t="n"/>
      <c r="T402" s="6" t="n"/>
      <c r="U402" s="13" t="n"/>
      <c r="V402" s="27">
        <f>IF($C402="","",IF($E402="Falta","-",MAX(0,MIN(10,5+IFERROR(VALUE(TRIM(MID(SUBSTITUTE(SUBSTITUTE(SUBSTITUTE(UPPER($T402)," ",""),"P",""),";",REPT(" ",30)),1,30))),0)+IFERROR(VALUE(TRIM(MID(SUBSTITUTE(SUBSTITUTE(SUBSTITUTE(UPPER($T402)," ",""),"P",""),";",REPT(" ",30)),31,30))),0)+IFERROR(VALUE(TRIM(MID(SUBSTITUTE(SUBSTITUTE(SUBSTITUTE(UPPER($T402)," ",""),"P",""),";",REPT(" ",30)),61,30))),0)+IFERROR(VALUE(TRIM(MID(SUBSTITUTE(SUBSTITUTE(SUBSTITUTE(UPPER($T402)," ",""),"P",""),";",REPT(" ",30)),91,30))),0)+IFERROR(VALUE(TRIM(MID(SUBSTITUTE(SUBSTITUTE(SUBSTITUTE(UPPER($T402)," ",""),"P",""),";",REPT(" ",30)),121,30))),0)+IFERROR(VALUE(TRIM(MID(SUBSTITUTE(SUBSTITUTE(SUBSTITUTE(UPPER($T402)," ",""),"P",""),";",REPT(" ",30)),151,30))),0)+IFERROR(VALUE(TRIM(MID(SUBSTITUTE(SUBSTITUTE(SUBSTITUTE(UPPER($T402)," ",""),"P",""),";",REPT(" ",30)),181,30))),0)+IFERROR(VALUE(TRIM(MID(SUBSTITUTE(SUBSTITUTE(SUBSTITUTE(UPPER($T402)," ",""),"P",""),";",REPT(" ",30)),211,30))),0)))))</f>
        <v/>
      </c>
      <c r="W402" s="26" t="n"/>
      <c r="X402" s="13" t="n"/>
    </row>
    <row r="403">
      <c r="A403" s="6">
        <f>IF($C403="","",80)</f>
        <v/>
      </c>
      <c r="B403" s="6">
        <f>IF($C403="","","5ª Sessão")</f>
        <v/>
      </c>
      <c r="C403" s="6">
        <f>IF(Preenchimento!$B$89="","",Preenchimento!$B$89)</f>
        <v/>
      </c>
      <c r="D403" s="6">
        <f>IF($C403="","",IF(Preenchimento!$C$89="","-",Preenchimento!$C$89))</f>
        <v/>
      </c>
      <c r="E403" s="6" t="n"/>
      <c r="F403" s="6" t="n"/>
      <c r="G403" s="26" t="n"/>
      <c r="H403" s="6" t="n"/>
      <c r="I403" s="13" t="n"/>
      <c r="J403" s="27">
        <f>IF($C403="","",IF($E403="Falta","-",MAX(0,MIN(10,8+IFERROR(VALUE(TRIM(MID(SUBSTITUTE(SUBSTITUTE(SUBSTITUTE(UPPER($H403)," ",""),"D",""),";",REPT(" ",30)),1,30))),0)+IFERROR(VALUE(TRIM(MID(SUBSTITUTE(SUBSTITUTE(SUBSTITUTE(UPPER($H403)," ",""),"D",""),";",REPT(" ",30)),31,30))),0)+IFERROR(VALUE(TRIM(MID(SUBSTITUTE(SUBSTITUTE(SUBSTITUTE(UPPER($H403)," ",""),"D",""),";",REPT(" ",30)),61,30))),0)+IFERROR(VALUE(TRIM(MID(SUBSTITUTE(SUBSTITUTE(SUBSTITUTE(UPPER($H403)," ",""),"D",""),";",REPT(" ",30)),91,30))),0)+IFERROR(VALUE(TRIM(MID(SUBSTITUTE(SUBSTITUTE(SUBSTITUTE(UPPER($H403)," ",""),"D",""),";",REPT(" ",30)),121,30))),0)+IFERROR(VALUE(TRIM(MID(SUBSTITUTE(SUBSTITUTE(SUBSTITUTE(UPPER($H403)," ",""),"D",""),";",REPT(" ",30)),151,30))),0)+IFERROR(VALUE(TRIM(MID(SUBSTITUTE(SUBSTITUTE(SUBSTITUTE(UPPER($H403)," ",""),"D",""),";",REPT(" ",30)),181,30))),0)+IFERROR(VALUE(TRIM(MID(SUBSTITUTE(SUBSTITUTE(SUBSTITUTE(UPPER($H403)," ",""),"D",""),";",REPT(" ",30)),211,30))),0)))))</f>
        <v/>
      </c>
      <c r="K403" s="26" t="n"/>
      <c r="L403" s="6" t="n"/>
      <c r="M403" s="13" t="n"/>
      <c r="N403" s="27">
        <f>IF($C403="","",IF($E403="Falta","-",MAX(0,MIN(10,8+IFERROR(VALUE(TRIM(MID(SUBSTITUTE(SUBSTITUTE(SUBSTITUTE(UPPER($L403)," ",""),"F",""),";",REPT(" ",30)),1,30))),0)+IFERROR(VALUE(TRIM(MID(SUBSTITUTE(SUBSTITUTE(SUBSTITUTE(UPPER($L403)," ",""),"F",""),";",REPT(" ",30)),31,30))),0)+IFERROR(VALUE(TRIM(MID(SUBSTITUTE(SUBSTITUTE(SUBSTITUTE(UPPER($L403)," ",""),"F",""),";",REPT(" ",30)),61,30))),0)+IFERROR(VALUE(TRIM(MID(SUBSTITUTE(SUBSTITUTE(SUBSTITUTE(UPPER($L403)," ",""),"F",""),";",REPT(" ",30)),91,30))),0)+IFERROR(VALUE(TRIM(MID(SUBSTITUTE(SUBSTITUTE(SUBSTITUTE(UPPER($L403)," ",""),"F",""),";",REPT(" ",30)),121,30))),0)+IFERROR(VALUE(TRIM(MID(SUBSTITUTE(SUBSTITUTE(SUBSTITUTE(UPPER($L403)," ",""),"F",""),";",REPT(" ",30)),151,30))),0)+IFERROR(VALUE(TRIM(MID(SUBSTITUTE(SUBSTITUTE(SUBSTITUTE(UPPER($L403)," ",""),"F",""),";",REPT(" ",30)),181,30))),0)+IFERROR(VALUE(TRIM(MID(SUBSTITUTE(SUBSTITUTE(SUBSTITUTE(UPPER($L403)," ",""),"F",""),";",REPT(" ",30)),211,30))),0)))))</f>
        <v/>
      </c>
      <c r="O403" s="26" t="n"/>
      <c r="P403" s="6" t="n"/>
      <c r="Q403" s="13" t="n"/>
      <c r="R403" s="27">
        <f>IF($C403="","",IF($E403="Falta","-",MAX(0,MIN(10,5+IFERROR(VALUE(TRIM(MID(SUBSTITUTE(SUBSTITUTE(SUBSTITUTE(UPPER($P403)," ",""),"C",""),";",REPT(" ",30)),1,30))),0)+IFERROR(VALUE(TRIM(MID(SUBSTITUTE(SUBSTITUTE(SUBSTITUTE(UPPER($P403)," ",""),"C",""),";",REPT(" ",30)),31,30))),0)+IFERROR(VALUE(TRIM(MID(SUBSTITUTE(SUBSTITUTE(SUBSTITUTE(UPPER($P403)," ",""),"C",""),";",REPT(" ",30)),61,30))),0)+IFERROR(VALUE(TRIM(MID(SUBSTITUTE(SUBSTITUTE(SUBSTITUTE(UPPER($P403)," ",""),"C",""),";",REPT(" ",30)),91,30))),0)+IFERROR(VALUE(TRIM(MID(SUBSTITUTE(SUBSTITUTE(SUBSTITUTE(UPPER($P403)," ",""),"C",""),";",REPT(" ",30)),121,30))),0)+IFERROR(VALUE(TRIM(MID(SUBSTITUTE(SUBSTITUTE(SUBSTITUTE(UPPER($P403)," ",""),"C",""),";",REPT(" ",30)),151,30))),0)+IFERROR(VALUE(TRIM(MID(SUBSTITUTE(SUBSTITUTE(SUBSTITUTE(UPPER($P403)," ",""),"C",""),";",REPT(" ",30)),181,30))),0)+IFERROR(VALUE(TRIM(MID(SUBSTITUTE(SUBSTITUTE(SUBSTITUTE(UPPER($P403)," ",""),"C",""),";",REPT(" ",30)),211,30))),0)))))</f>
        <v/>
      </c>
      <c r="S403" s="26" t="n"/>
      <c r="T403" s="6" t="n"/>
      <c r="U403" s="13" t="n"/>
      <c r="V403" s="27">
        <f>IF($C403="","",IF($E403="Falta","-",MAX(0,MIN(10,5+IFERROR(VALUE(TRIM(MID(SUBSTITUTE(SUBSTITUTE(SUBSTITUTE(UPPER($T403)," ",""),"P",""),";",REPT(" ",30)),1,30))),0)+IFERROR(VALUE(TRIM(MID(SUBSTITUTE(SUBSTITUTE(SUBSTITUTE(UPPER($T403)," ",""),"P",""),";",REPT(" ",30)),31,30))),0)+IFERROR(VALUE(TRIM(MID(SUBSTITUTE(SUBSTITUTE(SUBSTITUTE(UPPER($T403)," ",""),"P",""),";",REPT(" ",30)),61,30))),0)+IFERROR(VALUE(TRIM(MID(SUBSTITUTE(SUBSTITUTE(SUBSTITUTE(UPPER($T403)," ",""),"P",""),";",REPT(" ",30)),91,30))),0)+IFERROR(VALUE(TRIM(MID(SUBSTITUTE(SUBSTITUTE(SUBSTITUTE(UPPER($T403)," ",""),"P",""),";",REPT(" ",30)),121,30))),0)+IFERROR(VALUE(TRIM(MID(SUBSTITUTE(SUBSTITUTE(SUBSTITUTE(UPPER($T403)," ",""),"P",""),";",REPT(" ",30)),151,30))),0)+IFERROR(VALUE(TRIM(MID(SUBSTITUTE(SUBSTITUTE(SUBSTITUTE(UPPER($T403)," ",""),"P",""),";",REPT(" ",30)),181,30))),0)+IFERROR(VALUE(TRIM(MID(SUBSTITUTE(SUBSTITUTE(SUBSTITUTE(UPPER($T403)," ",""),"P",""),";",REPT(" ",30)),211,30))),0)))))</f>
        <v/>
      </c>
      <c r="W403" s="26" t="n"/>
      <c r="X403" s="13" t="n"/>
    </row>
    <row r="404">
      <c r="A404" s="8">
        <f>IF($C404="","",81)</f>
        <v/>
      </c>
      <c r="B404" s="8">
        <f>IF($C404="","","1ª Sessão")</f>
        <v/>
      </c>
      <c r="C404" s="8">
        <f>IF(Preenchimento!$B$90="","",Preenchimento!$B$90)</f>
        <v/>
      </c>
      <c r="D404" s="8">
        <f>IF($C404="","",IF(Preenchimento!$C$90="","-",Preenchimento!$C$90))</f>
        <v/>
      </c>
      <c r="E404" s="8" t="n"/>
      <c r="F404" s="8" t="n"/>
      <c r="G404" s="24" t="n"/>
      <c r="H404" s="8" t="n"/>
      <c r="I404" s="14" t="n"/>
      <c r="J404" s="25">
        <f>IF($C404="","",IF($E404="Falta","-",MAX(0,MIN(10,8+IFERROR(VALUE(TRIM(MID(SUBSTITUTE(SUBSTITUTE(SUBSTITUTE(UPPER($H404)," ",""),"D",""),";",REPT(" ",30)),1,30))),0)+IFERROR(VALUE(TRIM(MID(SUBSTITUTE(SUBSTITUTE(SUBSTITUTE(UPPER($H404)," ",""),"D",""),";",REPT(" ",30)),31,30))),0)+IFERROR(VALUE(TRIM(MID(SUBSTITUTE(SUBSTITUTE(SUBSTITUTE(UPPER($H404)," ",""),"D",""),";",REPT(" ",30)),61,30))),0)+IFERROR(VALUE(TRIM(MID(SUBSTITUTE(SUBSTITUTE(SUBSTITUTE(UPPER($H404)," ",""),"D",""),";",REPT(" ",30)),91,30))),0)+IFERROR(VALUE(TRIM(MID(SUBSTITUTE(SUBSTITUTE(SUBSTITUTE(UPPER($H404)," ",""),"D",""),";",REPT(" ",30)),121,30))),0)+IFERROR(VALUE(TRIM(MID(SUBSTITUTE(SUBSTITUTE(SUBSTITUTE(UPPER($H404)," ",""),"D",""),";",REPT(" ",30)),151,30))),0)+IFERROR(VALUE(TRIM(MID(SUBSTITUTE(SUBSTITUTE(SUBSTITUTE(UPPER($H404)," ",""),"D",""),";",REPT(" ",30)),181,30))),0)+IFERROR(VALUE(TRIM(MID(SUBSTITUTE(SUBSTITUTE(SUBSTITUTE(UPPER($H404)," ",""),"D",""),";",REPT(" ",30)),211,30))),0)))))</f>
        <v/>
      </c>
      <c r="K404" s="24" t="n"/>
      <c r="L404" s="8" t="n"/>
      <c r="M404" s="14" t="n"/>
      <c r="N404" s="25">
        <f>IF($C404="","",IF($E404="Falta","-",MAX(0,MIN(10,8+IFERROR(VALUE(TRIM(MID(SUBSTITUTE(SUBSTITUTE(SUBSTITUTE(UPPER($L404)," ",""),"F",""),";",REPT(" ",30)),1,30))),0)+IFERROR(VALUE(TRIM(MID(SUBSTITUTE(SUBSTITUTE(SUBSTITUTE(UPPER($L404)," ",""),"F",""),";",REPT(" ",30)),31,30))),0)+IFERROR(VALUE(TRIM(MID(SUBSTITUTE(SUBSTITUTE(SUBSTITUTE(UPPER($L404)," ",""),"F",""),";",REPT(" ",30)),61,30))),0)+IFERROR(VALUE(TRIM(MID(SUBSTITUTE(SUBSTITUTE(SUBSTITUTE(UPPER($L404)," ",""),"F",""),";",REPT(" ",30)),91,30))),0)+IFERROR(VALUE(TRIM(MID(SUBSTITUTE(SUBSTITUTE(SUBSTITUTE(UPPER($L404)," ",""),"F",""),";",REPT(" ",30)),121,30))),0)+IFERROR(VALUE(TRIM(MID(SUBSTITUTE(SUBSTITUTE(SUBSTITUTE(UPPER($L404)," ",""),"F",""),";",REPT(" ",30)),151,30))),0)+IFERROR(VALUE(TRIM(MID(SUBSTITUTE(SUBSTITUTE(SUBSTITUTE(UPPER($L404)," ",""),"F",""),";",REPT(" ",30)),181,30))),0)+IFERROR(VALUE(TRIM(MID(SUBSTITUTE(SUBSTITUTE(SUBSTITUTE(UPPER($L404)," ",""),"F",""),";",REPT(" ",30)),211,30))),0)))))</f>
        <v/>
      </c>
      <c r="O404" s="24" t="n"/>
      <c r="P404" s="8" t="n"/>
      <c r="Q404" s="14" t="n"/>
      <c r="R404" s="25">
        <f>IF($C404="","",IF($E404="Falta","-",MAX(0,MIN(10,5+IFERROR(VALUE(TRIM(MID(SUBSTITUTE(SUBSTITUTE(SUBSTITUTE(UPPER($P404)," ",""),"C",""),";",REPT(" ",30)),1,30))),0)+IFERROR(VALUE(TRIM(MID(SUBSTITUTE(SUBSTITUTE(SUBSTITUTE(UPPER($P404)," ",""),"C",""),";",REPT(" ",30)),31,30))),0)+IFERROR(VALUE(TRIM(MID(SUBSTITUTE(SUBSTITUTE(SUBSTITUTE(UPPER($P404)," ",""),"C",""),";",REPT(" ",30)),61,30))),0)+IFERROR(VALUE(TRIM(MID(SUBSTITUTE(SUBSTITUTE(SUBSTITUTE(UPPER($P404)," ",""),"C",""),";",REPT(" ",30)),91,30))),0)+IFERROR(VALUE(TRIM(MID(SUBSTITUTE(SUBSTITUTE(SUBSTITUTE(UPPER($P404)," ",""),"C",""),";",REPT(" ",30)),121,30))),0)+IFERROR(VALUE(TRIM(MID(SUBSTITUTE(SUBSTITUTE(SUBSTITUTE(UPPER($P404)," ",""),"C",""),";",REPT(" ",30)),151,30))),0)+IFERROR(VALUE(TRIM(MID(SUBSTITUTE(SUBSTITUTE(SUBSTITUTE(UPPER($P404)," ",""),"C",""),";",REPT(" ",30)),181,30))),0)+IFERROR(VALUE(TRIM(MID(SUBSTITUTE(SUBSTITUTE(SUBSTITUTE(UPPER($P404)," ",""),"C",""),";",REPT(" ",30)),211,30))),0)))))</f>
        <v/>
      </c>
      <c r="S404" s="24" t="n"/>
      <c r="T404" s="8" t="n"/>
      <c r="U404" s="14" t="n"/>
      <c r="V404" s="25">
        <f>IF($C404="","",IF($E404="Falta","-",MAX(0,MIN(10,5+IFERROR(VALUE(TRIM(MID(SUBSTITUTE(SUBSTITUTE(SUBSTITUTE(UPPER($T404)," ",""),"P",""),";",REPT(" ",30)),1,30))),0)+IFERROR(VALUE(TRIM(MID(SUBSTITUTE(SUBSTITUTE(SUBSTITUTE(UPPER($T404)," ",""),"P",""),";",REPT(" ",30)),31,30))),0)+IFERROR(VALUE(TRIM(MID(SUBSTITUTE(SUBSTITUTE(SUBSTITUTE(UPPER($T404)," ",""),"P",""),";",REPT(" ",30)),61,30))),0)+IFERROR(VALUE(TRIM(MID(SUBSTITUTE(SUBSTITUTE(SUBSTITUTE(UPPER($T404)," ",""),"P",""),";",REPT(" ",30)),91,30))),0)+IFERROR(VALUE(TRIM(MID(SUBSTITUTE(SUBSTITUTE(SUBSTITUTE(UPPER($T404)," ",""),"P",""),";",REPT(" ",30)),121,30))),0)+IFERROR(VALUE(TRIM(MID(SUBSTITUTE(SUBSTITUTE(SUBSTITUTE(UPPER($T404)," ",""),"P",""),";",REPT(" ",30)),151,30))),0)+IFERROR(VALUE(TRIM(MID(SUBSTITUTE(SUBSTITUTE(SUBSTITUTE(UPPER($T404)," ",""),"P",""),";",REPT(" ",30)),181,30))),0)+IFERROR(VALUE(TRIM(MID(SUBSTITUTE(SUBSTITUTE(SUBSTITUTE(UPPER($T404)," ",""),"P",""),";",REPT(" ",30)),211,30))),0)))))</f>
        <v/>
      </c>
      <c r="W404" s="24" t="n"/>
      <c r="X404" s="14" t="n"/>
    </row>
    <row r="405">
      <c r="A405" s="8">
        <f>IF($C405="","",81)</f>
        <v/>
      </c>
      <c r="B405" s="8">
        <f>IF($C405="","","2ª Sessão")</f>
        <v/>
      </c>
      <c r="C405" s="8">
        <f>IF(Preenchimento!$B$90="","",Preenchimento!$B$90)</f>
        <v/>
      </c>
      <c r="D405" s="8">
        <f>IF($C405="","",IF(Preenchimento!$C$90="","-",Preenchimento!$C$90))</f>
        <v/>
      </c>
      <c r="E405" s="8" t="n"/>
      <c r="F405" s="8" t="n"/>
      <c r="G405" s="24" t="n"/>
      <c r="H405" s="8" t="n"/>
      <c r="I405" s="14" t="n"/>
      <c r="J405" s="25">
        <f>IF($C405="","",IF($E405="Falta","-",MAX(0,MIN(10,8+IFERROR(VALUE(TRIM(MID(SUBSTITUTE(SUBSTITUTE(SUBSTITUTE(UPPER($H405)," ",""),"D",""),";",REPT(" ",30)),1,30))),0)+IFERROR(VALUE(TRIM(MID(SUBSTITUTE(SUBSTITUTE(SUBSTITUTE(UPPER($H405)," ",""),"D",""),";",REPT(" ",30)),31,30))),0)+IFERROR(VALUE(TRIM(MID(SUBSTITUTE(SUBSTITUTE(SUBSTITUTE(UPPER($H405)," ",""),"D",""),";",REPT(" ",30)),61,30))),0)+IFERROR(VALUE(TRIM(MID(SUBSTITUTE(SUBSTITUTE(SUBSTITUTE(UPPER($H405)," ",""),"D",""),";",REPT(" ",30)),91,30))),0)+IFERROR(VALUE(TRIM(MID(SUBSTITUTE(SUBSTITUTE(SUBSTITUTE(UPPER($H405)," ",""),"D",""),";",REPT(" ",30)),121,30))),0)+IFERROR(VALUE(TRIM(MID(SUBSTITUTE(SUBSTITUTE(SUBSTITUTE(UPPER($H405)," ",""),"D",""),";",REPT(" ",30)),151,30))),0)+IFERROR(VALUE(TRIM(MID(SUBSTITUTE(SUBSTITUTE(SUBSTITUTE(UPPER($H405)," ",""),"D",""),";",REPT(" ",30)),181,30))),0)+IFERROR(VALUE(TRIM(MID(SUBSTITUTE(SUBSTITUTE(SUBSTITUTE(UPPER($H405)," ",""),"D",""),";",REPT(" ",30)),211,30))),0)))))</f>
        <v/>
      </c>
      <c r="K405" s="24" t="n"/>
      <c r="L405" s="8" t="n"/>
      <c r="M405" s="14" t="n"/>
      <c r="N405" s="25">
        <f>IF($C405="","",IF($E405="Falta","-",MAX(0,MIN(10,8+IFERROR(VALUE(TRIM(MID(SUBSTITUTE(SUBSTITUTE(SUBSTITUTE(UPPER($L405)," ",""),"F",""),";",REPT(" ",30)),1,30))),0)+IFERROR(VALUE(TRIM(MID(SUBSTITUTE(SUBSTITUTE(SUBSTITUTE(UPPER($L405)," ",""),"F",""),";",REPT(" ",30)),31,30))),0)+IFERROR(VALUE(TRIM(MID(SUBSTITUTE(SUBSTITUTE(SUBSTITUTE(UPPER($L405)," ",""),"F",""),";",REPT(" ",30)),61,30))),0)+IFERROR(VALUE(TRIM(MID(SUBSTITUTE(SUBSTITUTE(SUBSTITUTE(UPPER($L405)," ",""),"F",""),";",REPT(" ",30)),91,30))),0)+IFERROR(VALUE(TRIM(MID(SUBSTITUTE(SUBSTITUTE(SUBSTITUTE(UPPER($L405)," ",""),"F",""),";",REPT(" ",30)),121,30))),0)+IFERROR(VALUE(TRIM(MID(SUBSTITUTE(SUBSTITUTE(SUBSTITUTE(UPPER($L405)," ",""),"F",""),";",REPT(" ",30)),151,30))),0)+IFERROR(VALUE(TRIM(MID(SUBSTITUTE(SUBSTITUTE(SUBSTITUTE(UPPER($L405)," ",""),"F",""),";",REPT(" ",30)),181,30))),0)+IFERROR(VALUE(TRIM(MID(SUBSTITUTE(SUBSTITUTE(SUBSTITUTE(UPPER($L405)," ",""),"F",""),";",REPT(" ",30)),211,30))),0)))))</f>
        <v/>
      </c>
      <c r="O405" s="24" t="n"/>
      <c r="P405" s="8" t="n"/>
      <c r="Q405" s="14" t="n"/>
      <c r="R405" s="25">
        <f>IF($C405="","",IF($E405="Falta","-",MAX(0,MIN(10,5+IFERROR(VALUE(TRIM(MID(SUBSTITUTE(SUBSTITUTE(SUBSTITUTE(UPPER($P405)," ",""),"C",""),";",REPT(" ",30)),1,30))),0)+IFERROR(VALUE(TRIM(MID(SUBSTITUTE(SUBSTITUTE(SUBSTITUTE(UPPER($P405)," ",""),"C",""),";",REPT(" ",30)),31,30))),0)+IFERROR(VALUE(TRIM(MID(SUBSTITUTE(SUBSTITUTE(SUBSTITUTE(UPPER($P405)," ",""),"C",""),";",REPT(" ",30)),61,30))),0)+IFERROR(VALUE(TRIM(MID(SUBSTITUTE(SUBSTITUTE(SUBSTITUTE(UPPER($P405)," ",""),"C",""),";",REPT(" ",30)),91,30))),0)+IFERROR(VALUE(TRIM(MID(SUBSTITUTE(SUBSTITUTE(SUBSTITUTE(UPPER($P405)," ",""),"C",""),";",REPT(" ",30)),121,30))),0)+IFERROR(VALUE(TRIM(MID(SUBSTITUTE(SUBSTITUTE(SUBSTITUTE(UPPER($P405)," ",""),"C",""),";",REPT(" ",30)),151,30))),0)+IFERROR(VALUE(TRIM(MID(SUBSTITUTE(SUBSTITUTE(SUBSTITUTE(UPPER($P405)," ",""),"C",""),";",REPT(" ",30)),181,30))),0)+IFERROR(VALUE(TRIM(MID(SUBSTITUTE(SUBSTITUTE(SUBSTITUTE(UPPER($P405)," ",""),"C",""),";",REPT(" ",30)),211,30))),0)))))</f>
        <v/>
      </c>
      <c r="S405" s="24" t="n"/>
      <c r="T405" s="8" t="n"/>
      <c r="U405" s="14" t="n"/>
      <c r="V405" s="25">
        <f>IF($C405="","",IF($E405="Falta","-",MAX(0,MIN(10,5+IFERROR(VALUE(TRIM(MID(SUBSTITUTE(SUBSTITUTE(SUBSTITUTE(UPPER($T405)," ",""),"P",""),";",REPT(" ",30)),1,30))),0)+IFERROR(VALUE(TRIM(MID(SUBSTITUTE(SUBSTITUTE(SUBSTITUTE(UPPER($T405)," ",""),"P",""),";",REPT(" ",30)),31,30))),0)+IFERROR(VALUE(TRIM(MID(SUBSTITUTE(SUBSTITUTE(SUBSTITUTE(UPPER($T405)," ",""),"P",""),";",REPT(" ",30)),61,30))),0)+IFERROR(VALUE(TRIM(MID(SUBSTITUTE(SUBSTITUTE(SUBSTITUTE(UPPER($T405)," ",""),"P",""),";",REPT(" ",30)),91,30))),0)+IFERROR(VALUE(TRIM(MID(SUBSTITUTE(SUBSTITUTE(SUBSTITUTE(UPPER($T405)," ",""),"P",""),";",REPT(" ",30)),121,30))),0)+IFERROR(VALUE(TRIM(MID(SUBSTITUTE(SUBSTITUTE(SUBSTITUTE(UPPER($T405)," ",""),"P",""),";",REPT(" ",30)),151,30))),0)+IFERROR(VALUE(TRIM(MID(SUBSTITUTE(SUBSTITUTE(SUBSTITUTE(UPPER($T405)," ",""),"P",""),";",REPT(" ",30)),181,30))),0)+IFERROR(VALUE(TRIM(MID(SUBSTITUTE(SUBSTITUTE(SUBSTITUTE(UPPER($T405)," ",""),"P",""),";",REPT(" ",30)),211,30))),0)))))</f>
        <v/>
      </c>
      <c r="W405" s="24" t="n"/>
      <c r="X405" s="14" t="n"/>
    </row>
    <row r="406">
      <c r="A406" s="8">
        <f>IF($C406="","",81)</f>
        <v/>
      </c>
      <c r="B406" s="8">
        <f>IF($C406="","","3ª Sessão")</f>
        <v/>
      </c>
      <c r="C406" s="8">
        <f>IF(Preenchimento!$B$90="","",Preenchimento!$B$90)</f>
        <v/>
      </c>
      <c r="D406" s="8">
        <f>IF($C406="","",IF(Preenchimento!$C$90="","-",Preenchimento!$C$90))</f>
        <v/>
      </c>
      <c r="E406" s="8" t="n"/>
      <c r="F406" s="8" t="n"/>
      <c r="G406" s="24" t="n"/>
      <c r="H406" s="8" t="n"/>
      <c r="I406" s="14" t="n"/>
      <c r="J406" s="25">
        <f>IF($C406="","",IF($E406="Falta","-",MAX(0,MIN(10,8+IFERROR(VALUE(TRIM(MID(SUBSTITUTE(SUBSTITUTE(SUBSTITUTE(UPPER($H406)," ",""),"D",""),";",REPT(" ",30)),1,30))),0)+IFERROR(VALUE(TRIM(MID(SUBSTITUTE(SUBSTITUTE(SUBSTITUTE(UPPER($H406)," ",""),"D",""),";",REPT(" ",30)),31,30))),0)+IFERROR(VALUE(TRIM(MID(SUBSTITUTE(SUBSTITUTE(SUBSTITUTE(UPPER($H406)," ",""),"D",""),";",REPT(" ",30)),61,30))),0)+IFERROR(VALUE(TRIM(MID(SUBSTITUTE(SUBSTITUTE(SUBSTITUTE(UPPER($H406)," ",""),"D",""),";",REPT(" ",30)),91,30))),0)+IFERROR(VALUE(TRIM(MID(SUBSTITUTE(SUBSTITUTE(SUBSTITUTE(UPPER($H406)," ",""),"D",""),";",REPT(" ",30)),121,30))),0)+IFERROR(VALUE(TRIM(MID(SUBSTITUTE(SUBSTITUTE(SUBSTITUTE(UPPER($H406)," ",""),"D",""),";",REPT(" ",30)),151,30))),0)+IFERROR(VALUE(TRIM(MID(SUBSTITUTE(SUBSTITUTE(SUBSTITUTE(UPPER($H406)," ",""),"D",""),";",REPT(" ",30)),181,30))),0)+IFERROR(VALUE(TRIM(MID(SUBSTITUTE(SUBSTITUTE(SUBSTITUTE(UPPER($H406)," ",""),"D",""),";",REPT(" ",30)),211,30))),0)))))</f>
        <v/>
      </c>
      <c r="K406" s="24" t="n"/>
      <c r="L406" s="8" t="n"/>
      <c r="M406" s="14" t="n"/>
      <c r="N406" s="25">
        <f>IF($C406="","",IF($E406="Falta","-",MAX(0,MIN(10,8+IFERROR(VALUE(TRIM(MID(SUBSTITUTE(SUBSTITUTE(SUBSTITUTE(UPPER($L406)," ",""),"F",""),";",REPT(" ",30)),1,30))),0)+IFERROR(VALUE(TRIM(MID(SUBSTITUTE(SUBSTITUTE(SUBSTITUTE(UPPER($L406)," ",""),"F",""),";",REPT(" ",30)),31,30))),0)+IFERROR(VALUE(TRIM(MID(SUBSTITUTE(SUBSTITUTE(SUBSTITUTE(UPPER($L406)," ",""),"F",""),";",REPT(" ",30)),61,30))),0)+IFERROR(VALUE(TRIM(MID(SUBSTITUTE(SUBSTITUTE(SUBSTITUTE(UPPER($L406)," ",""),"F",""),";",REPT(" ",30)),91,30))),0)+IFERROR(VALUE(TRIM(MID(SUBSTITUTE(SUBSTITUTE(SUBSTITUTE(UPPER($L406)," ",""),"F",""),";",REPT(" ",30)),121,30))),0)+IFERROR(VALUE(TRIM(MID(SUBSTITUTE(SUBSTITUTE(SUBSTITUTE(UPPER($L406)," ",""),"F",""),";",REPT(" ",30)),151,30))),0)+IFERROR(VALUE(TRIM(MID(SUBSTITUTE(SUBSTITUTE(SUBSTITUTE(UPPER($L406)," ",""),"F",""),";",REPT(" ",30)),181,30))),0)+IFERROR(VALUE(TRIM(MID(SUBSTITUTE(SUBSTITUTE(SUBSTITUTE(UPPER($L406)," ",""),"F",""),";",REPT(" ",30)),211,30))),0)))))</f>
        <v/>
      </c>
      <c r="O406" s="24" t="n"/>
      <c r="P406" s="8" t="n"/>
      <c r="Q406" s="14" t="n"/>
      <c r="R406" s="25">
        <f>IF($C406="","",IF($E406="Falta","-",MAX(0,MIN(10,5+IFERROR(VALUE(TRIM(MID(SUBSTITUTE(SUBSTITUTE(SUBSTITUTE(UPPER($P406)," ",""),"C",""),";",REPT(" ",30)),1,30))),0)+IFERROR(VALUE(TRIM(MID(SUBSTITUTE(SUBSTITUTE(SUBSTITUTE(UPPER($P406)," ",""),"C",""),";",REPT(" ",30)),31,30))),0)+IFERROR(VALUE(TRIM(MID(SUBSTITUTE(SUBSTITUTE(SUBSTITUTE(UPPER($P406)," ",""),"C",""),";",REPT(" ",30)),61,30))),0)+IFERROR(VALUE(TRIM(MID(SUBSTITUTE(SUBSTITUTE(SUBSTITUTE(UPPER($P406)," ",""),"C",""),";",REPT(" ",30)),91,30))),0)+IFERROR(VALUE(TRIM(MID(SUBSTITUTE(SUBSTITUTE(SUBSTITUTE(UPPER($P406)," ",""),"C",""),";",REPT(" ",30)),121,30))),0)+IFERROR(VALUE(TRIM(MID(SUBSTITUTE(SUBSTITUTE(SUBSTITUTE(UPPER($P406)," ",""),"C",""),";",REPT(" ",30)),151,30))),0)+IFERROR(VALUE(TRIM(MID(SUBSTITUTE(SUBSTITUTE(SUBSTITUTE(UPPER($P406)," ",""),"C",""),";",REPT(" ",30)),181,30))),0)+IFERROR(VALUE(TRIM(MID(SUBSTITUTE(SUBSTITUTE(SUBSTITUTE(UPPER($P406)," ",""),"C",""),";",REPT(" ",30)),211,30))),0)))))</f>
        <v/>
      </c>
      <c r="S406" s="24" t="n"/>
      <c r="T406" s="8" t="n"/>
      <c r="U406" s="14" t="n"/>
      <c r="V406" s="25">
        <f>IF($C406="","",IF($E406="Falta","-",MAX(0,MIN(10,5+IFERROR(VALUE(TRIM(MID(SUBSTITUTE(SUBSTITUTE(SUBSTITUTE(UPPER($T406)," ",""),"P",""),";",REPT(" ",30)),1,30))),0)+IFERROR(VALUE(TRIM(MID(SUBSTITUTE(SUBSTITUTE(SUBSTITUTE(UPPER($T406)," ",""),"P",""),";",REPT(" ",30)),31,30))),0)+IFERROR(VALUE(TRIM(MID(SUBSTITUTE(SUBSTITUTE(SUBSTITUTE(UPPER($T406)," ",""),"P",""),";",REPT(" ",30)),61,30))),0)+IFERROR(VALUE(TRIM(MID(SUBSTITUTE(SUBSTITUTE(SUBSTITUTE(UPPER($T406)," ",""),"P",""),";",REPT(" ",30)),91,30))),0)+IFERROR(VALUE(TRIM(MID(SUBSTITUTE(SUBSTITUTE(SUBSTITUTE(UPPER($T406)," ",""),"P",""),";",REPT(" ",30)),121,30))),0)+IFERROR(VALUE(TRIM(MID(SUBSTITUTE(SUBSTITUTE(SUBSTITUTE(UPPER($T406)," ",""),"P",""),";",REPT(" ",30)),151,30))),0)+IFERROR(VALUE(TRIM(MID(SUBSTITUTE(SUBSTITUTE(SUBSTITUTE(UPPER($T406)," ",""),"P",""),";",REPT(" ",30)),181,30))),0)+IFERROR(VALUE(TRIM(MID(SUBSTITUTE(SUBSTITUTE(SUBSTITUTE(UPPER($T406)," ",""),"P",""),";",REPT(" ",30)),211,30))),0)))))</f>
        <v/>
      </c>
      <c r="W406" s="24" t="n"/>
      <c r="X406" s="14" t="n"/>
    </row>
    <row r="407">
      <c r="A407" s="8">
        <f>IF($C407="","",81)</f>
        <v/>
      </c>
      <c r="B407" s="8">
        <f>IF($C407="","","4ª Sessão")</f>
        <v/>
      </c>
      <c r="C407" s="8">
        <f>IF(Preenchimento!$B$90="","",Preenchimento!$B$90)</f>
        <v/>
      </c>
      <c r="D407" s="8">
        <f>IF($C407="","",IF(Preenchimento!$C$90="","-",Preenchimento!$C$90))</f>
        <v/>
      </c>
      <c r="E407" s="8" t="n"/>
      <c r="F407" s="8" t="n"/>
      <c r="G407" s="24" t="n"/>
      <c r="H407" s="8" t="n"/>
      <c r="I407" s="14" t="n"/>
      <c r="J407" s="25">
        <f>IF($C407="","",IF($E407="Falta","-",MAX(0,MIN(10,8+IFERROR(VALUE(TRIM(MID(SUBSTITUTE(SUBSTITUTE(SUBSTITUTE(UPPER($H407)," ",""),"D",""),";",REPT(" ",30)),1,30))),0)+IFERROR(VALUE(TRIM(MID(SUBSTITUTE(SUBSTITUTE(SUBSTITUTE(UPPER($H407)," ",""),"D",""),";",REPT(" ",30)),31,30))),0)+IFERROR(VALUE(TRIM(MID(SUBSTITUTE(SUBSTITUTE(SUBSTITUTE(UPPER($H407)," ",""),"D",""),";",REPT(" ",30)),61,30))),0)+IFERROR(VALUE(TRIM(MID(SUBSTITUTE(SUBSTITUTE(SUBSTITUTE(UPPER($H407)," ",""),"D",""),";",REPT(" ",30)),91,30))),0)+IFERROR(VALUE(TRIM(MID(SUBSTITUTE(SUBSTITUTE(SUBSTITUTE(UPPER($H407)," ",""),"D",""),";",REPT(" ",30)),121,30))),0)+IFERROR(VALUE(TRIM(MID(SUBSTITUTE(SUBSTITUTE(SUBSTITUTE(UPPER($H407)," ",""),"D",""),";",REPT(" ",30)),151,30))),0)+IFERROR(VALUE(TRIM(MID(SUBSTITUTE(SUBSTITUTE(SUBSTITUTE(UPPER($H407)," ",""),"D",""),";",REPT(" ",30)),181,30))),0)+IFERROR(VALUE(TRIM(MID(SUBSTITUTE(SUBSTITUTE(SUBSTITUTE(UPPER($H407)," ",""),"D",""),";",REPT(" ",30)),211,30))),0)))))</f>
        <v/>
      </c>
      <c r="K407" s="24" t="n"/>
      <c r="L407" s="8" t="n"/>
      <c r="M407" s="14" t="n"/>
      <c r="N407" s="25">
        <f>IF($C407="","",IF($E407="Falta","-",MAX(0,MIN(10,8+IFERROR(VALUE(TRIM(MID(SUBSTITUTE(SUBSTITUTE(SUBSTITUTE(UPPER($L407)," ",""),"F",""),";",REPT(" ",30)),1,30))),0)+IFERROR(VALUE(TRIM(MID(SUBSTITUTE(SUBSTITUTE(SUBSTITUTE(UPPER($L407)," ",""),"F",""),";",REPT(" ",30)),31,30))),0)+IFERROR(VALUE(TRIM(MID(SUBSTITUTE(SUBSTITUTE(SUBSTITUTE(UPPER($L407)," ",""),"F",""),";",REPT(" ",30)),61,30))),0)+IFERROR(VALUE(TRIM(MID(SUBSTITUTE(SUBSTITUTE(SUBSTITUTE(UPPER($L407)," ",""),"F",""),";",REPT(" ",30)),91,30))),0)+IFERROR(VALUE(TRIM(MID(SUBSTITUTE(SUBSTITUTE(SUBSTITUTE(UPPER($L407)," ",""),"F",""),";",REPT(" ",30)),121,30))),0)+IFERROR(VALUE(TRIM(MID(SUBSTITUTE(SUBSTITUTE(SUBSTITUTE(UPPER($L407)," ",""),"F",""),";",REPT(" ",30)),151,30))),0)+IFERROR(VALUE(TRIM(MID(SUBSTITUTE(SUBSTITUTE(SUBSTITUTE(UPPER($L407)," ",""),"F",""),";",REPT(" ",30)),181,30))),0)+IFERROR(VALUE(TRIM(MID(SUBSTITUTE(SUBSTITUTE(SUBSTITUTE(UPPER($L407)," ",""),"F",""),";",REPT(" ",30)),211,30))),0)))))</f>
        <v/>
      </c>
      <c r="O407" s="24" t="n"/>
      <c r="P407" s="8" t="n"/>
      <c r="Q407" s="14" t="n"/>
      <c r="R407" s="25">
        <f>IF($C407="","",IF($E407="Falta","-",MAX(0,MIN(10,5+IFERROR(VALUE(TRIM(MID(SUBSTITUTE(SUBSTITUTE(SUBSTITUTE(UPPER($P407)," ",""),"C",""),";",REPT(" ",30)),1,30))),0)+IFERROR(VALUE(TRIM(MID(SUBSTITUTE(SUBSTITUTE(SUBSTITUTE(UPPER($P407)," ",""),"C",""),";",REPT(" ",30)),31,30))),0)+IFERROR(VALUE(TRIM(MID(SUBSTITUTE(SUBSTITUTE(SUBSTITUTE(UPPER($P407)," ",""),"C",""),";",REPT(" ",30)),61,30))),0)+IFERROR(VALUE(TRIM(MID(SUBSTITUTE(SUBSTITUTE(SUBSTITUTE(UPPER($P407)," ",""),"C",""),";",REPT(" ",30)),91,30))),0)+IFERROR(VALUE(TRIM(MID(SUBSTITUTE(SUBSTITUTE(SUBSTITUTE(UPPER($P407)," ",""),"C",""),";",REPT(" ",30)),121,30))),0)+IFERROR(VALUE(TRIM(MID(SUBSTITUTE(SUBSTITUTE(SUBSTITUTE(UPPER($P407)," ",""),"C",""),";",REPT(" ",30)),151,30))),0)+IFERROR(VALUE(TRIM(MID(SUBSTITUTE(SUBSTITUTE(SUBSTITUTE(UPPER($P407)," ",""),"C",""),";",REPT(" ",30)),181,30))),0)+IFERROR(VALUE(TRIM(MID(SUBSTITUTE(SUBSTITUTE(SUBSTITUTE(UPPER($P407)," ",""),"C",""),";",REPT(" ",30)),211,30))),0)))))</f>
        <v/>
      </c>
      <c r="S407" s="24" t="n"/>
      <c r="T407" s="8" t="n"/>
      <c r="U407" s="14" t="n"/>
      <c r="V407" s="25">
        <f>IF($C407="","",IF($E407="Falta","-",MAX(0,MIN(10,5+IFERROR(VALUE(TRIM(MID(SUBSTITUTE(SUBSTITUTE(SUBSTITUTE(UPPER($T407)," ",""),"P",""),";",REPT(" ",30)),1,30))),0)+IFERROR(VALUE(TRIM(MID(SUBSTITUTE(SUBSTITUTE(SUBSTITUTE(UPPER($T407)," ",""),"P",""),";",REPT(" ",30)),31,30))),0)+IFERROR(VALUE(TRIM(MID(SUBSTITUTE(SUBSTITUTE(SUBSTITUTE(UPPER($T407)," ",""),"P",""),";",REPT(" ",30)),61,30))),0)+IFERROR(VALUE(TRIM(MID(SUBSTITUTE(SUBSTITUTE(SUBSTITUTE(UPPER($T407)," ",""),"P",""),";",REPT(" ",30)),91,30))),0)+IFERROR(VALUE(TRIM(MID(SUBSTITUTE(SUBSTITUTE(SUBSTITUTE(UPPER($T407)," ",""),"P",""),";",REPT(" ",30)),121,30))),0)+IFERROR(VALUE(TRIM(MID(SUBSTITUTE(SUBSTITUTE(SUBSTITUTE(UPPER($T407)," ",""),"P",""),";",REPT(" ",30)),151,30))),0)+IFERROR(VALUE(TRIM(MID(SUBSTITUTE(SUBSTITUTE(SUBSTITUTE(UPPER($T407)," ",""),"P",""),";",REPT(" ",30)),181,30))),0)+IFERROR(VALUE(TRIM(MID(SUBSTITUTE(SUBSTITUTE(SUBSTITUTE(UPPER($T407)," ",""),"P",""),";",REPT(" ",30)),211,30))),0)))))</f>
        <v/>
      </c>
      <c r="W407" s="24" t="n"/>
      <c r="X407" s="14" t="n"/>
    </row>
    <row r="408">
      <c r="A408" s="8">
        <f>IF($C408="","",81)</f>
        <v/>
      </c>
      <c r="B408" s="8">
        <f>IF($C408="","","5ª Sessão")</f>
        <v/>
      </c>
      <c r="C408" s="8">
        <f>IF(Preenchimento!$B$90="","",Preenchimento!$B$90)</f>
        <v/>
      </c>
      <c r="D408" s="8">
        <f>IF($C408="","",IF(Preenchimento!$C$90="","-",Preenchimento!$C$90))</f>
        <v/>
      </c>
      <c r="E408" s="8" t="n"/>
      <c r="F408" s="8" t="n"/>
      <c r="G408" s="24" t="n"/>
      <c r="H408" s="8" t="n"/>
      <c r="I408" s="14" t="n"/>
      <c r="J408" s="25">
        <f>IF($C408="","",IF($E408="Falta","-",MAX(0,MIN(10,8+IFERROR(VALUE(TRIM(MID(SUBSTITUTE(SUBSTITUTE(SUBSTITUTE(UPPER($H408)," ",""),"D",""),";",REPT(" ",30)),1,30))),0)+IFERROR(VALUE(TRIM(MID(SUBSTITUTE(SUBSTITUTE(SUBSTITUTE(UPPER($H408)," ",""),"D",""),";",REPT(" ",30)),31,30))),0)+IFERROR(VALUE(TRIM(MID(SUBSTITUTE(SUBSTITUTE(SUBSTITUTE(UPPER($H408)," ",""),"D",""),";",REPT(" ",30)),61,30))),0)+IFERROR(VALUE(TRIM(MID(SUBSTITUTE(SUBSTITUTE(SUBSTITUTE(UPPER($H408)," ",""),"D",""),";",REPT(" ",30)),91,30))),0)+IFERROR(VALUE(TRIM(MID(SUBSTITUTE(SUBSTITUTE(SUBSTITUTE(UPPER($H408)," ",""),"D",""),";",REPT(" ",30)),121,30))),0)+IFERROR(VALUE(TRIM(MID(SUBSTITUTE(SUBSTITUTE(SUBSTITUTE(UPPER($H408)," ",""),"D",""),";",REPT(" ",30)),151,30))),0)+IFERROR(VALUE(TRIM(MID(SUBSTITUTE(SUBSTITUTE(SUBSTITUTE(UPPER($H408)," ",""),"D",""),";",REPT(" ",30)),181,30))),0)+IFERROR(VALUE(TRIM(MID(SUBSTITUTE(SUBSTITUTE(SUBSTITUTE(UPPER($H408)," ",""),"D",""),";",REPT(" ",30)),211,30))),0)))))</f>
        <v/>
      </c>
      <c r="K408" s="24" t="n"/>
      <c r="L408" s="8" t="n"/>
      <c r="M408" s="14" t="n"/>
      <c r="N408" s="25">
        <f>IF($C408="","",IF($E408="Falta","-",MAX(0,MIN(10,8+IFERROR(VALUE(TRIM(MID(SUBSTITUTE(SUBSTITUTE(SUBSTITUTE(UPPER($L408)," ",""),"F",""),";",REPT(" ",30)),1,30))),0)+IFERROR(VALUE(TRIM(MID(SUBSTITUTE(SUBSTITUTE(SUBSTITUTE(UPPER($L408)," ",""),"F",""),";",REPT(" ",30)),31,30))),0)+IFERROR(VALUE(TRIM(MID(SUBSTITUTE(SUBSTITUTE(SUBSTITUTE(UPPER($L408)," ",""),"F",""),";",REPT(" ",30)),61,30))),0)+IFERROR(VALUE(TRIM(MID(SUBSTITUTE(SUBSTITUTE(SUBSTITUTE(UPPER($L408)," ",""),"F",""),";",REPT(" ",30)),91,30))),0)+IFERROR(VALUE(TRIM(MID(SUBSTITUTE(SUBSTITUTE(SUBSTITUTE(UPPER($L408)," ",""),"F",""),";",REPT(" ",30)),121,30))),0)+IFERROR(VALUE(TRIM(MID(SUBSTITUTE(SUBSTITUTE(SUBSTITUTE(UPPER($L408)," ",""),"F",""),";",REPT(" ",30)),151,30))),0)+IFERROR(VALUE(TRIM(MID(SUBSTITUTE(SUBSTITUTE(SUBSTITUTE(UPPER($L408)," ",""),"F",""),";",REPT(" ",30)),181,30))),0)+IFERROR(VALUE(TRIM(MID(SUBSTITUTE(SUBSTITUTE(SUBSTITUTE(UPPER($L408)," ",""),"F",""),";",REPT(" ",30)),211,30))),0)))))</f>
        <v/>
      </c>
      <c r="O408" s="24" t="n"/>
      <c r="P408" s="8" t="n"/>
      <c r="Q408" s="14" t="n"/>
      <c r="R408" s="25">
        <f>IF($C408="","",IF($E408="Falta","-",MAX(0,MIN(10,5+IFERROR(VALUE(TRIM(MID(SUBSTITUTE(SUBSTITUTE(SUBSTITUTE(UPPER($P408)," ",""),"C",""),";",REPT(" ",30)),1,30))),0)+IFERROR(VALUE(TRIM(MID(SUBSTITUTE(SUBSTITUTE(SUBSTITUTE(UPPER($P408)," ",""),"C",""),";",REPT(" ",30)),31,30))),0)+IFERROR(VALUE(TRIM(MID(SUBSTITUTE(SUBSTITUTE(SUBSTITUTE(UPPER($P408)," ",""),"C",""),";",REPT(" ",30)),61,30))),0)+IFERROR(VALUE(TRIM(MID(SUBSTITUTE(SUBSTITUTE(SUBSTITUTE(UPPER($P408)," ",""),"C",""),";",REPT(" ",30)),91,30))),0)+IFERROR(VALUE(TRIM(MID(SUBSTITUTE(SUBSTITUTE(SUBSTITUTE(UPPER($P408)," ",""),"C",""),";",REPT(" ",30)),121,30))),0)+IFERROR(VALUE(TRIM(MID(SUBSTITUTE(SUBSTITUTE(SUBSTITUTE(UPPER($P408)," ",""),"C",""),";",REPT(" ",30)),151,30))),0)+IFERROR(VALUE(TRIM(MID(SUBSTITUTE(SUBSTITUTE(SUBSTITUTE(UPPER($P408)," ",""),"C",""),";",REPT(" ",30)),181,30))),0)+IFERROR(VALUE(TRIM(MID(SUBSTITUTE(SUBSTITUTE(SUBSTITUTE(UPPER($P408)," ",""),"C",""),";",REPT(" ",30)),211,30))),0)))))</f>
        <v/>
      </c>
      <c r="S408" s="24" t="n"/>
      <c r="T408" s="8" t="n"/>
      <c r="U408" s="14" t="n"/>
      <c r="V408" s="25">
        <f>IF($C408="","",IF($E408="Falta","-",MAX(0,MIN(10,5+IFERROR(VALUE(TRIM(MID(SUBSTITUTE(SUBSTITUTE(SUBSTITUTE(UPPER($T408)," ",""),"P",""),";",REPT(" ",30)),1,30))),0)+IFERROR(VALUE(TRIM(MID(SUBSTITUTE(SUBSTITUTE(SUBSTITUTE(UPPER($T408)," ",""),"P",""),";",REPT(" ",30)),31,30))),0)+IFERROR(VALUE(TRIM(MID(SUBSTITUTE(SUBSTITUTE(SUBSTITUTE(UPPER($T408)," ",""),"P",""),";",REPT(" ",30)),61,30))),0)+IFERROR(VALUE(TRIM(MID(SUBSTITUTE(SUBSTITUTE(SUBSTITUTE(UPPER($T408)," ",""),"P",""),";",REPT(" ",30)),91,30))),0)+IFERROR(VALUE(TRIM(MID(SUBSTITUTE(SUBSTITUTE(SUBSTITUTE(UPPER($T408)," ",""),"P",""),";",REPT(" ",30)),121,30))),0)+IFERROR(VALUE(TRIM(MID(SUBSTITUTE(SUBSTITUTE(SUBSTITUTE(UPPER($T408)," ",""),"P",""),";",REPT(" ",30)),151,30))),0)+IFERROR(VALUE(TRIM(MID(SUBSTITUTE(SUBSTITUTE(SUBSTITUTE(UPPER($T408)," ",""),"P",""),";",REPT(" ",30)),181,30))),0)+IFERROR(VALUE(TRIM(MID(SUBSTITUTE(SUBSTITUTE(SUBSTITUTE(UPPER($T408)," ",""),"P",""),";",REPT(" ",30)),211,30))),0)))))</f>
        <v/>
      </c>
      <c r="W408" s="24" t="n"/>
      <c r="X408" s="14" t="n"/>
    </row>
    <row r="409">
      <c r="A409" s="6">
        <f>IF($C409="","",82)</f>
        <v/>
      </c>
      <c r="B409" s="6">
        <f>IF($C409="","","1ª Sessão")</f>
        <v/>
      </c>
      <c r="C409" s="6">
        <f>IF(Preenchimento!$B$91="","",Preenchimento!$B$91)</f>
        <v/>
      </c>
      <c r="D409" s="6">
        <f>IF($C409="","",IF(Preenchimento!$C$91="","-",Preenchimento!$C$91))</f>
        <v/>
      </c>
      <c r="E409" s="6" t="n"/>
      <c r="F409" s="6" t="n"/>
      <c r="G409" s="26" t="n"/>
      <c r="H409" s="6" t="n"/>
      <c r="I409" s="13" t="n"/>
      <c r="J409" s="27">
        <f>IF($C409="","",IF($E409="Falta","-",MAX(0,MIN(10,8+IFERROR(VALUE(TRIM(MID(SUBSTITUTE(SUBSTITUTE(SUBSTITUTE(UPPER($H409)," ",""),"D",""),";",REPT(" ",30)),1,30))),0)+IFERROR(VALUE(TRIM(MID(SUBSTITUTE(SUBSTITUTE(SUBSTITUTE(UPPER($H409)," ",""),"D",""),";",REPT(" ",30)),31,30))),0)+IFERROR(VALUE(TRIM(MID(SUBSTITUTE(SUBSTITUTE(SUBSTITUTE(UPPER($H409)," ",""),"D",""),";",REPT(" ",30)),61,30))),0)+IFERROR(VALUE(TRIM(MID(SUBSTITUTE(SUBSTITUTE(SUBSTITUTE(UPPER($H409)," ",""),"D",""),";",REPT(" ",30)),91,30))),0)+IFERROR(VALUE(TRIM(MID(SUBSTITUTE(SUBSTITUTE(SUBSTITUTE(UPPER($H409)," ",""),"D",""),";",REPT(" ",30)),121,30))),0)+IFERROR(VALUE(TRIM(MID(SUBSTITUTE(SUBSTITUTE(SUBSTITUTE(UPPER($H409)," ",""),"D",""),";",REPT(" ",30)),151,30))),0)+IFERROR(VALUE(TRIM(MID(SUBSTITUTE(SUBSTITUTE(SUBSTITUTE(UPPER($H409)," ",""),"D",""),";",REPT(" ",30)),181,30))),0)+IFERROR(VALUE(TRIM(MID(SUBSTITUTE(SUBSTITUTE(SUBSTITUTE(UPPER($H409)," ",""),"D",""),";",REPT(" ",30)),211,30))),0)))))</f>
        <v/>
      </c>
      <c r="K409" s="26" t="n"/>
      <c r="L409" s="6" t="n"/>
      <c r="M409" s="13" t="n"/>
      <c r="N409" s="27">
        <f>IF($C409="","",IF($E409="Falta","-",MAX(0,MIN(10,8+IFERROR(VALUE(TRIM(MID(SUBSTITUTE(SUBSTITUTE(SUBSTITUTE(UPPER($L409)," ",""),"F",""),";",REPT(" ",30)),1,30))),0)+IFERROR(VALUE(TRIM(MID(SUBSTITUTE(SUBSTITUTE(SUBSTITUTE(UPPER($L409)," ",""),"F",""),";",REPT(" ",30)),31,30))),0)+IFERROR(VALUE(TRIM(MID(SUBSTITUTE(SUBSTITUTE(SUBSTITUTE(UPPER($L409)," ",""),"F",""),";",REPT(" ",30)),61,30))),0)+IFERROR(VALUE(TRIM(MID(SUBSTITUTE(SUBSTITUTE(SUBSTITUTE(UPPER($L409)," ",""),"F",""),";",REPT(" ",30)),91,30))),0)+IFERROR(VALUE(TRIM(MID(SUBSTITUTE(SUBSTITUTE(SUBSTITUTE(UPPER($L409)," ",""),"F",""),";",REPT(" ",30)),121,30))),0)+IFERROR(VALUE(TRIM(MID(SUBSTITUTE(SUBSTITUTE(SUBSTITUTE(UPPER($L409)," ",""),"F",""),";",REPT(" ",30)),151,30))),0)+IFERROR(VALUE(TRIM(MID(SUBSTITUTE(SUBSTITUTE(SUBSTITUTE(UPPER($L409)," ",""),"F",""),";",REPT(" ",30)),181,30))),0)+IFERROR(VALUE(TRIM(MID(SUBSTITUTE(SUBSTITUTE(SUBSTITUTE(UPPER($L409)," ",""),"F",""),";",REPT(" ",30)),211,30))),0)))))</f>
        <v/>
      </c>
      <c r="O409" s="26" t="n"/>
      <c r="P409" s="6" t="n"/>
      <c r="Q409" s="13" t="n"/>
      <c r="R409" s="27">
        <f>IF($C409="","",IF($E409="Falta","-",MAX(0,MIN(10,5+IFERROR(VALUE(TRIM(MID(SUBSTITUTE(SUBSTITUTE(SUBSTITUTE(UPPER($P409)," ",""),"C",""),";",REPT(" ",30)),1,30))),0)+IFERROR(VALUE(TRIM(MID(SUBSTITUTE(SUBSTITUTE(SUBSTITUTE(UPPER($P409)," ",""),"C",""),";",REPT(" ",30)),31,30))),0)+IFERROR(VALUE(TRIM(MID(SUBSTITUTE(SUBSTITUTE(SUBSTITUTE(UPPER($P409)," ",""),"C",""),";",REPT(" ",30)),61,30))),0)+IFERROR(VALUE(TRIM(MID(SUBSTITUTE(SUBSTITUTE(SUBSTITUTE(UPPER($P409)," ",""),"C",""),";",REPT(" ",30)),91,30))),0)+IFERROR(VALUE(TRIM(MID(SUBSTITUTE(SUBSTITUTE(SUBSTITUTE(UPPER($P409)," ",""),"C",""),";",REPT(" ",30)),121,30))),0)+IFERROR(VALUE(TRIM(MID(SUBSTITUTE(SUBSTITUTE(SUBSTITUTE(UPPER($P409)," ",""),"C",""),";",REPT(" ",30)),151,30))),0)+IFERROR(VALUE(TRIM(MID(SUBSTITUTE(SUBSTITUTE(SUBSTITUTE(UPPER($P409)," ",""),"C",""),";",REPT(" ",30)),181,30))),0)+IFERROR(VALUE(TRIM(MID(SUBSTITUTE(SUBSTITUTE(SUBSTITUTE(UPPER($P409)," ",""),"C",""),";",REPT(" ",30)),211,30))),0)))))</f>
        <v/>
      </c>
      <c r="S409" s="26" t="n"/>
      <c r="T409" s="6" t="n"/>
      <c r="U409" s="13" t="n"/>
      <c r="V409" s="27">
        <f>IF($C409="","",IF($E409="Falta","-",MAX(0,MIN(10,5+IFERROR(VALUE(TRIM(MID(SUBSTITUTE(SUBSTITUTE(SUBSTITUTE(UPPER($T409)," ",""),"P",""),";",REPT(" ",30)),1,30))),0)+IFERROR(VALUE(TRIM(MID(SUBSTITUTE(SUBSTITUTE(SUBSTITUTE(UPPER($T409)," ",""),"P",""),";",REPT(" ",30)),31,30))),0)+IFERROR(VALUE(TRIM(MID(SUBSTITUTE(SUBSTITUTE(SUBSTITUTE(UPPER($T409)," ",""),"P",""),";",REPT(" ",30)),61,30))),0)+IFERROR(VALUE(TRIM(MID(SUBSTITUTE(SUBSTITUTE(SUBSTITUTE(UPPER($T409)," ",""),"P",""),";",REPT(" ",30)),91,30))),0)+IFERROR(VALUE(TRIM(MID(SUBSTITUTE(SUBSTITUTE(SUBSTITUTE(UPPER($T409)," ",""),"P",""),";",REPT(" ",30)),121,30))),0)+IFERROR(VALUE(TRIM(MID(SUBSTITUTE(SUBSTITUTE(SUBSTITUTE(UPPER($T409)," ",""),"P",""),";",REPT(" ",30)),151,30))),0)+IFERROR(VALUE(TRIM(MID(SUBSTITUTE(SUBSTITUTE(SUBSTITUTE(UPPER($T409)," ",""),"P",""),";",REPT(" ",30)),181,30))),0)+IFERROR(VALUE(TRIM(MID(SUBSTITUTE(SUBSTITUTE(SUBSTITUTE(UPPER($T409)," ",""),"P",""),";",REPT(" ",30)),211,30))),0)))))</f>
        <v/>
      </c>
      <c r="W409" s="26" t="n"/>
      <c r="X409" s="13" t="n"/>
    </row>
    <row r="410">
      <c r="A410" s="6">
        <f>IF($C410="","",82)</f>
        <v/>
      </c>
      <c r="B410" s="6">
        <f>IF($C410="","","2ª Sessão")</f>
        <v/>
      </c>
      <c r="C410" s="6">
        <f>IF(Preenchimento!$B$91="","",Preenchimento!$B$91)</f>
        <v/>
      </c>
      <c r="D410" s="6">
        <f>IF($C410="","",IF(Preenchimento!$C$91="","-",Preenchimento!$C$91))</f>
        <v/>
      </c>
      <c r="E410" s="6" t="n"/>
      <c r="F410" s="6" t="n"/>
      <c r="G410" s="26" t="n"/>
      <c r="H410" s="6" t="n"/>
      <c r="I410" s="13" t="n"/>
      <c r="J410" s="27">
        <f>IF($C410="","",IF($E410="Falta","-",MAX(0,MIN(10,8+IFERROR(VALUE(TRIM(MID(SUBSTITUTE(SUBSTITUTE(SUBSTITUTE(UPPER($H410)," ",""),"D",""),";",REPT(" ",30)),1,30))),0)+IFERROR(VALUE(TRIM(MID(SUBSTITUTE(SUBSTITUTE(SUBSTITUTE(UPPER($H410)," ",""),"D",""),";",REPT(" ",30)),31,30))),0)+IFERROR(VALUE(TRIM(MID(SUBSTITUTE(SUBSTITUTE(SUBSTITUTE(UPPER($H410)," ",""),"D",""),";",REPT(" ",30)),61,30))),0)+IFERROR(VALUE(TRIM(MID(SUBSTITUTE(SUBSTITUTE(SUBSTITUTE(UPPER($H410)," ",""),"D",""),";",REPT(" ",30)),91,30))),0)+IFERROR(VALUE(TRIM(MID(SUBSTITUTE(SUBSTITUTE(SUBSTITUTE(UPPER($H410)," ",""),"D",""),";",REPT(" ",30)),121,30))),0)+IFERROR(VALUE(TRIM(MID(SUBSTITUTE(SUBSTITUTE(SUBSTITUTE(UPPER($H410)," ",""),"D",""),";",REPT(" ",30)),151,30))),0)+IFERROR(VALUE(TRIM(MID(SUBSTITUTE(SUBSTITUTE(SUBSTITUTE(UPPER($H410)," ",""),"D",""),";",REPT(" ",30)),181,30))),0)+IFERROR(VALUE(TRIM(MID(SUBSTITUTE(SUBSTITUTE(SUBSTITUTE(UPPER($H410)," ",""),"D",""),";",REPT(" ",30)),211,30))),0)))))</f>
        <v/>
      </c>
      <c r="K410" s="26" t="n"/>
      <c r="L410" s="6" t="n"/>
      <c r="M410" s="13" t="n"/>
      <c r="N410" s="27">
        <f>IF($C410="","",IF($E410="Falta","-",MAX(0,MIN(10,8+IFERROR(VALUE(TRIM(MID(SUBSTITUTE(SUBSTITUTE(SUBSTITUTE(UPPER($L410)," ",""),"F",""),";",REPT(" ",30)),1,30))),0)+IFERROR(VALUE(TRIM(MID(SUBSTITUTE(SUBSTITUTE(SUBSTITUTE(UPPER($L410)," ",""),"F",""),";",REPT(" ",30)),31,30))),0)+IFERROR(VALUE(TRIM(MID(SUBSTITUTE(SUBSTITUTE(SUBSTITUTE(UPPER($L410)," ",""),"F",""),";",REPT(" ",30)),61,30))),0)+IFERROR(VALUE(TRIM(MID(SUBSTITUTE(SUBSTITUTE(SUBSTITUTE(UPPER($L410)," ",""),"F",""),";",REPT(" ",30)),91,30))),0)+IFERROR(VALUE(TRIM(MID(SUBSTITUTE(SUBSTITUTE(SUBSTITUTE(UPPER($L410)," ",""),"F",""),";",REPT(" ",30)),121,30))),0)+IFERROR(VALUE(TRIM(MID(SUBSTITUTE(SUBSTITUTE(SUBSTITUTE(UPPER($L410)," ",""),"F",""),";",REPT(" ",30)),151,30))),0)+IFERROR(VALUE(TRIM(MID(SUBSTITUTE(SUBSTITUTE(SUBSTITUTE(UPPER($L410)," ",""),"F",""),";",REPT(" ",30)),181,30))),0)+IFERROR(VALUE(TRIM(MID(SUBSTITUTE(SUBSTITUTE(SUBSTITUTE(UPPER($L410)," ",""),"F",""),";",REPT(" ",30)),211,30))),0)))))</f>
        <v/>
      </c>
      <c r="O410" s="26" t="n"/>
      <c r="P410" s="6" t="n"/>
      <c r="Q410" s="13" t="n"/>
      <c r="R410" s="27">
        <f>IF($C410="","",IF($E410="Falta","-",MAX(0,MIN(10,5+IFERROR(VALUE(TRIM(MID(SUBSTITUTE(SUBSTITUTE(SUBSTITUTE(UPPER($P410)," ",""),"C",""),";",REPT(" ",30)),1,30))),0)+IFERROR(VALUE(TRIM(MID(SUBSTITUTE(SUBSTITUTE(SUBSTITUTE(UPPER($P410)," ",""),"C",""),";",REPT(" ",30)),31,30))),0)+IFERROR(VALUE(TRIM(MID(SUBSTITUTE(SUBSTITUTE(SUBSTITUTE(UPPER($P410)," ",""),"C",""),";",REPT(" ",30)),61,30))),0)+IFERROR(VALUE(TRIM(MID(SUBSTITUTE(SUBSTITUTE(SUBSTITUTE(UPPER($P410)," ",""),"C",""),";",REPT(" ",30)),91,30))),0)+IFERROR(VALUE(TRIM(MID(SUBSTITUTE(SUBSTITUTE(SUBSTITUTE(UPPER($P410)," ",""),"C",""),";",REPT(" ",30)),121,30))),0)+IFERROR(VALUE(TRIM(MID(SUBSTITUTE(SUBSTITUTE(SUBSTITUTE(UPPER($P410)," ",""),"C",""),";",REPT(" ",30)),151,30))),0)+IFERROR(VALUE(TRIM(MID(SUBSTITUTE(SUBSTITUTE(SUBSTITUTE(UPPER($P410)," ",""),"C",""),";",REPT(" ",30)),181,30))),0)+IFERROR(VALUE(TRIM(MID(SUBSTITUTE(SUBSTITUTE(SUBSTITUTE(UPPER($P410)," ",""),"C",""),";",REPT(" ",30)),211,30))),0)))))</f>
        <v/>
      </c>
      <c r="S410" s="26" t="n"/>
      <c r="T410" s="6" t="n"/>
      <c r="U410" s="13" t="n"/>
      <c r="V410" s="27">
        <f>IF($C410="","",IF($E410="Falta","-",MAX(0,MIN(10,5+IFERROR(VALUE(TRIM(MID(SUBSTITUTE(SUBSTITUTE(SUBSTITUTE(UPPER($T410)," ",""),"P",""),";",REPT(" ",30)),1,30))),0)+IFERROR(VALUE(TRIM(MID(SUBSTITUTE(SUBSTITUTE(SUBSTITUTE(UPPER($T410)," ",""),"P",""),";",REPT(" ",30)),31,30))),0)+IFERROR(VALUE(TRIM(MID(SUBSTITUTE(SUBSTITUTE(SUBSTITUTE(UPPER($T410)," ",""),"P",""),";",REPT(" ",30)),61,30))),0)+IFERROR(VALUE(TRIM(MID(SUBSTITUTE(SUBSTITUTE(SUBSTITUTE(UPPER($T410)," ",""),"P",""),";",REPT(" ",30)),91,30))),0)+IFERROR(VALUE(TRIM(MID(SUBSTITUTE(SUBSTITUTE(SUBSTITUTE(UPPER($T410)," ",""),"P",""),";",REPT(" ",30)),121,30))),0)+IFERROR(VALUE(TRIM(MID(SUBSTITUTE(SUBSTITUTE(SUBSTITUTE(UPPER($T410)," ",""),"P",""),";",REPT(" ",30)),151,30))),0)+IFERROR(VALUE(TRIM(MID(SUBSTITUTE(SUBSTITUTE(SUBSTITUTE(UPPER($T410)," ",""),"P",""),";",REPT(" ",30)),181,30))),0)+IFERROR(VALUE(TRIM(MID(SUBSTITUTE(SUBSTITUTE(SUBSTITUTE(UPPER($T410)," ",""),"P",""),";",REPT(" ",30)),211,30))),0)))))</f>
        <v/>
      </c>
      <c r="W410" s="26" t="n"/>
      <c r="X410" s="13" t="n"/>
    </row>
    <row r="411">
      <c r="A411" s="6">
        <f>IF($C411="","",82)</f>
        <v/>
      </c>
      <c r="B411" s="6">
        <f>IF($C411="","","3ª Sessão")</f>
        <v/>
      </c>
      <c r="C411" s="6">
        <f>IF(Preenchimento!$B$91="","",Preenchimento!$B$91)</f>
        <v/>
      </c>
      <c r="D411" s="6">
        <f>IF($C411="","",IF(Preenchimento!$C$91="","-",Preenchimento!$C$91))</f>
        <v/>
      </c>
      <c r="E411" s="6" t="n"/>
      <c r="F411" s="6" t="n"/>
      <c r="G411" s="26" t="n"/>
      <c r="H411" s="6" t="n"/>
      <c r="I411" s="13" t="n"/>
      <c r="J411" s="27">
        <f>IF($C411="","",IF($E411="Falta","-",MAX(0,MIN(10,8+IFERROR(VALUE(TRIM(MID(SUBSTITUTE(SUBSTITUTE(SUBSTITUTE(UPPER($H411)," ",""),"D",""),";",REPT(" ",30)),1,30))),0)+IFERROR(VALUE(TRIM(MID(SUBSTITUTE(SUBSTITUTE(SUBSTITUTE(UPPER($H411)," ",""),"D",""),";",REPT(" ",30)),31,30))),0)+IFERROR(VALUE(TRIM(MID(SUBSTITUTE(SUBSTITUTE(SUBSTITUTE(UPPER($H411)," ",""),"D",""),";",REPT(" ",30)),61,30))),0)+IFERROR(VALUE(TRIM(MID(SUBSTITUTE(SUBSTITUTE(SUBSTITUTE(UPPER($H411)," ",""),"D",""),";",REPT(" ",30)),91,30))),0)+IFERROR(VALUE(TRIM(MID(SUBSTITUTE(SUBSTITUTE(SUBSTITUTE(UPPER($H411)," ",""),"D",""),";",REPT(" ",30)),121,30))),0)+IFERROR(VALUE(TRIM(MID(SUBSTITUTE(SUBSTITUTE(SUBSTITUTE(UPPER($H411)," ",""),"D",""),";",REPT(" ",30)),151,30))),0)+IFERROR(VALUE(TRIM(MID(SUBSTITUTE(SUBSTITUTE(SUBSTITUTE(UPPER($H411)," ",""),"D",""),";",REPT(" ",30)),181,30))),0)+IFERROR(VALUE(TRIM(MID(SUBSTITUTE(SUBSTITUTE(SUBSTITUTE(UPPER($H411)," ",""),"D",""),";",REPT(" ",30)),211,30))),0)))))</f>
        <v/>
      </c>
      <c r="K411" s="26" t="n"/>
      <c r="L411" s="6" t="n"/>
      <c r="M411" s="13" t="n"/>
      <c r="N411" s="27">
        <f>IF($C411="","",IF($E411="Falta","-",MAX(0,MIN(10,8+IFERROR(VALUE(TRIM(MID(SUBSTITUTE(SUBSTITUTE(SUBSTITUTE(UPPER($L411)," ",""),"F",""),";",REPT(" ",30)),1,30))),0)+IFERROR(VALUE(TRIM(MID(SUBSTITUTE(SUBSTITUTE(SUBSTITUTE(UPPER($L411)," ",""),"F",""),";",REPT(" ",30)),31,30))),0)+IFERROR(VALUE(TRIM(MID(SUBSTITUTE(SUBSTITUTE(SUBSTITUTE(UPPER($L411)," ",""),"F",""),";",REPT(" ",30)),61,30))),0)+IFERROR(VALUE(TRIM(MID(SUBSTITUTE(SUBSTITUTE(SUBSTITUTE(UPPER($L411)," ",""),"F",""),";",REPT(" ",30)),91,30))),0)+IFERROR(VALUE(TRIM(MID(SUBSTITUTE(SUBSTITUTE(SUBSTITUTE(UPPER($L411)," ",""),"F",""),";",REPT(" ",30)),121,30))),0)+IFERROR(VALUE(TRIM(MID(SUBSTITUTE(SUBSTITUTE(SUBSTITUTE(UPPER($L411)," ",""),"F",""),";",REPT(" ",30)),151,30))),0)+IFERROR(VALUE(TRIM(MID(SUBSTITUTE(SUBSTITUTE(SUBSTITUTE(UPPER($L411)," ",""),"F",""),";",REPT(" ",30)),181,30))),0)+IFERROR(VALUE(TRIM(MID(SUBSTITUTE(SUBSTITUTE(SUBSTITUTE(UPPER($L411)," ",""),"F",""),";",REPT(" ",30)),211,30))),0)))))</f>
        <v/>
      </c>
      <c r="O411" s="26" t="n"/>
      <c r="P411" s="6" t="n"/>
      <c r="Q411" s="13" t="n"/>
      <c r="R411" s="27">
        <f>IF($C411="","",IF($E411="Falta","-",MAX(0,MIN(10,5+IFERROR(VALUE(TRIM(MID(SUBSTITUTE(SUBSTITUTE(SUBSTITUTE(UPPER($P411)," ",""),"C",""),";",REPT(" ",30)),1,30))),0)+IFERROR(VALUE(TRIM(MID(SUBSTITUTE(SUBSTITUTE(SUBSTITUTE(UPPER($P411)," ",""),"C",""),";",REPT(" ",30)),31,30))),0)+IFERROR(VALUE(TRIM(MID(SUBSTITUTE(SUBSTITUTE(SUBSTITUTE(UPPER($P411)," ",""),"C",""),";",REPT(" ",30)),61,30))),0)+IFERROR(VALUE(TRIM(MID(SUBSTITUTE(SUBSTITUTE(SUBSTITUTE(UPPER($P411)," ",""),"C",""),";",REPT(" ",30)),91,30))),0)+IFERROR(VALUE(TRIM(MID(SUBSTITUTE(SUBSTITUTE(SUBSTITUTE(UPPER($P411)," ",""),"C",""),";",REPT(" ",30)),121,30))),0)+IFERROR(VALUE(TRIM(MID(SUBSTITUTE(SUBSTITUTE(SUBSTITUTE(UPPER($P411)," ",""),"C",""),";",REPT(" ",30)),151,30))),0)+IFERROR(VALUE(TRIM(MID(SUBSTITUTE(SUBSTITUTE(SUBSTITUTE(UPPER($P411)," ",""),"C",""),";",REPT(" ",30)),181,30))),0)+IFERROR(VALUE(TRIM(MID(SUBSTITUTE(SUBSTITUTE(SUBSTITUTE(UPPER($P411)," ",""),"C",""),";",REPT(" ",30)),211,30))),0)))))</f>
        <v/>
      </c>
      <c r="S411" s="26" t="n"/>
      <c r="T411" s="6" t="n"/>
      <c r="U411" s="13" t="n"/>
      <c r="V411" s="27">
        <f>IF($C411="","",IF($E411="Falta","-",MAX(0,MIN(10,5+IFERROR(VALUE(TRIM(MID(SUBSTITUTE(SUBSTITUTE(SUBSTITUTE(UPPER($T411)," ",""),"P",""),";",REPT(" ",30)),1,30))),0)+IFERROR(VALUE(TRIM(MID(SUBSTITUTE(SUBSTITUTE(SUBSTITUTE(UPPER($T411)," ",""),"P",""),";",REPT(" ",30)),31,30))),0)+IFERROR(VALUE(TRIM(MID(SUBSTITUTE(SUBSTITUTE(SUBSTITUTE(UPPER($T411)," ",""),"P",""),";",REPT(" ",30)),61,30))),0)+IFERROR(VALUE(TRIM(MID(SUBSTITUTE(SUBSTITUTE(SUBSTITUTE(UPPER($T411)," ",""),"P",""),";",REPT(" ",30)),91,30))),0)+IFERROR(VALUE(TRIM(MID(SUBSTITUTE(SUBSTITUTE(SUBSTITUTE(UPPER($T411)," ",""),"P",""),";",REPT(" ",30)),121,30))),0)+IFERROR(VALUE(TRIM(MID(SUBSTITUTE(SUBSTITUTE(SUBSTITUTE(UPPER($T411)," ",""),"P",""),";",REPT(" ",30)),151,30))),0)+IFERROR(VALUE(TRIM(MID(SUBSTITUTE(SUBSTITUTE(SUBSTITUTE(UPPER($T411)," ",""),"P",""),";",REPT(" ",30)),181,30))),0)+IFERROR(VALUE(TRIM(MID(SUBSTITUTE(SUBSTITUTE(SUBSTITUTE(UPPER($T411)," ",""),"P",""),";",REPT(" ",30)),211,30))),0)))))</f>
        <v/>
      </c>
      <c r="W411" s="26" t="n"/>
      <c r="X411" s="13" t="n"/>
    </row>
    <row r="412">
      <c r="A412" s="6">
        <f>IF($C412="","",82)</f>
        <v/>
      </c>
      <c r="B412" s="6">
        <f>IF($C412="","","4ª Sessão")</f>
        <v/>
      </c>
      <c r="C412" s="6">
        <f>IF(Preenchimento!$B$91="","",Preenchimento!$B$91)</f>
        <v/>
      </c>
      <c r="D412" s="6">
        <f>IF($C412="","",IF(Preenchimento!$C$91="","-",Preenchimento!$C$91))</f>
        <v/>
      </c>
      <c r="E412" s="6" t="n"/>
      <c r="F412" s="6" t="n"/>
      <c r="G412" s="26" t="n"/>
      <c r="H412" s="6" t="n"/>
      <c r="I412" s="13" t="n"/>
      <c r="J412" s="27">
        <f>IF($C412="","",IF($E412="Falta","-",MAX(0,MIN(10,8+IFERROR(VALUE(TRIM(MID(SUBSTITUTE(SUBSTITUTE(SUBSTITUTE(UPPER($H412)," ",""),"D",""),";",REPT(" ",30)),1,30))),0)+IFERROR(VALUE(TRIM(MID(SUBSTITUTE(SUBSTITUTE(SUBSTITUTE(UPPER($H412)," ",""),"D",""),";",REPT(" ",30)),31,30))),0)+IFERROR(VALUE(TRIM(MID(SUBSTITUTE(SUBSTITUTE(SUBSTITUTE(UPPER($H412)," ",""),"D",""),";",REPT(" ",30)),61,30))),0)+IFERROR(VALUE(TRIM(MID(SUBSTITUTE(SUBSTITUTE(SUBSTITUTE(UPPER($H412)," ",""),"D",""),";",REPT(" ",30)),91,30))),0)+IFERROR(VALUE(TRIM(MID(SUBSTITUTE(SUBSTITUTE(SUBSTITUTE(UPPER($H412)," ",""),"D",""),";",REPT(" ",30)),121,30))),0)+IFERROR(VALUE(TRIM(MID(SUBSTITUTE(SUBSTITUTE(SUBSTITUTE(UPPER($H412)," ",""),"D",""),";",REPT(" ",30)),151,30))),0)+IFERROR(VALUE(TRIM(MID(SUBSTITUTE(SUBSTITUTE(SUBSTITUTE(UPPER($H412)," ",""),"D",""),";",REPT(" ",30)),181,30))),0)+IFERROR(VALUE(TRIM(MID(SUBSTITUTE(SUBSTITUTE(SUBSTITUTE(UPPER($H412)," ",""),"D",""),";",REPT(" ",30)),211,30))),0)))))</f>
        <v/>
      </c>
      <c r="K412" s="26" t="n"/>
      <c r="L412" s="6" t="n"/>
      <c r="M412" s="13" t="n"/>
      <c r="N412" s="27">
        <f>IF($C412="","",IF($E412="Falta","-",MAX(0,MIN(10,8+IFERROR(VALUE(TRIM(MID(SUBSTITUTE(SUBSTITUTE(SUBSTITUTE(UPPER($L412)," ",""),"F",""),";",REPT(" ",30)),1,30))),0)+IFERROR(VALUE(TRIM(MID(SUBSTITUTE(SUBSTITUTE(SUBSTITUTE(UPPER($L412)," ",""),"F",""),";",REPT(" ",30)),31,30))),0)+IFERROR(VALUE(TRIM(MID(SUBSTITUTE(SUBSTITUTE(SUBSTITUTE(UPPER($L412)," ",""),"F",""),";",REPT(" ",30)),61,30))),0)+IFERROR(VALUE(TRIM(MID(SUBSTITUTE(SUBSTITUTE(SUBSTITUTE(UPPER($L412)," ",""),"F",""),";",REPT(" ",30)),91,30))),0)+IFERROR(VALUE(TRIM(MID(SUBSTITUTE(SUBSTITUTE(SUBSTITUTE(UPPER($L412)," ",""),"F",""),";",REPT(" ",30)),121,30))),0)+IFERROR(VALUE(TRIM(MID(SUBSTITUTE(SUBSTITUTE(SUBSTITUTE(UPPER($L412)," ",""),"F",""),";",REPT(" ",30)),151,30))),0)+IFERROR(VALUE(TRIM(MID(SUBSTITUTE(SUBSTITUTE(SUBSTITUTE(UPPER($L412)," ",""),"F",""),";",REPT(" ",30)),181,30))),0)+IFERROR(VALUE(TRIM(MID(SUBSTITUTE(SUBSTITUTE(SUBSTITUTE(UPPER($L412)," ",""),"F",""),";",REPT(" ",30)),211,30))),0)))))</f>
        <v/>
      </c>
      <c r="O412" s="26" t="n"/>
      <c r="P412" s="6" t="n"/>
      <c r="Q412" s="13" t="n"/>
      <c r="R412" s="27">
        <f>IF($C412="","",IF($E412="Falta","-",MAX(0,MIN(10,5+IFERROR(VALUE(TRIM(MID(SUBSTITUTE(SUBSTITUTE(SUBSTITUTE(UPPER($P412)," ",""),"C",""),";",REPT(" ",30)),1,30))),0)+IFERROR(VALUE(TRIM(MID(SUBSTITUTE(SUBSTITUTE(SUBSTITUTE(UPPER($P412)," ",""),"C",""),";",REPT(" ",30)),31,30))),0)+IFERROR(VALUE(TRIM(MID(SUBSTITUTE(SUBSTITUTE(SUBSTITUTE(UPPER($P412)," ",""),"C",""),";",REPT(" ",30)),61,30))),0)+IFERROR(VALUE(TRIM(MID(SUBSTITUTE(SUBSTITUTE(SUBSTITUTE(UPPER($P412)," ",""),"C",""),";",REPT(" ",30)),91,30))),0)+IFERROR(VALUE(TRIM(MID(SUBSTITUTE(SUBSTITUTE(SUBSTITUTE(UPPER($P412)," ",""),"C",""),";",REPT(" ",30)),121,30))),0)+IFERROR(VALUE(TRIM(MID(SUBSTITUTE(SUBSTITUTE(SUBSTITUTE(UPPER($P412)," ",""),"C",""),";",REPT(" ",30)),151,30))),0)+IFERROR(VALUE(TRIM(MID(SUBSTITUTE(SUBSTITUTE(SUBSTITUTE(UPPER($P412)," ",""),"C",""),";",REPT(" ",30)),181,30))),0)+IFERROR(VALUE(TRIM(MID(SUBSTITUTE(SUBSTITUTE(SUBSTITUTE(UPPER($P412)," ",""),"C",""),";",REPT(" ",30)),211,30))),0)))))</f>
        <v/>
      </c>
      <c r="S412" s="26" t="n"/>
      <c r="T412" s="6" t="n"/>
      <c r="U412" s="13" t="n"/>
      <c r="V412" s="27">
        <f>IF($C412="","",IF($E412="Falta","-",MAX(0,MIN(10,5+IFERROR(VALUE(TRIM(MID(SUBSTITUTE(SUBSTITUTE(SUBSTITUTE(UPPER($T412)," ",""),"P",""),";",REPT(" ",30)),1,30))),0)+IFERROR(VALUE(TRIM(MID(SUBSTITUTE(SUBSTITUTE(SUBSTITUTE(UPPER($T412)," ",""),"P",""),";",REPT(" ",30)),31,30))),0)+IFERROR(VALUE(TRIM(MID(SUBSTITUTE(SUBSTITUTE(SUBSTITUTE(UPPER($T412)," ",""),"P",""),";",REPT(" ",30)),61,30))),0)+IFERROR(VALUE(TRIM(MID(SUBSTITUTE(SUBSTITUTE(SUBSTITUTE(UPPER($T412)," ",""),"P",""),";",REPT(" ",30)),91,30))),0)+IFERROR(VALUE(TRIM(MID(SUBSTITUTE(SUBSTITUTE(SUBSTITUTE(UPPER($T412)," ",""),"P",""),";",REPT(" ",30)),121,30))),0)+IFERROR(VALUE(TRIM(MID(SUBSTITUTE(SUBSTITUTE(SUBSTITUTE(UPPER($T412)," ",""),"P",""),";",REPT(" ",30)),151,30))),0)+IFERROR(VALUE(TRIM(MID(SUBSTITUTE(SUBSTITUTE(SUBSTITUTE(UPPER($T412)," ",""),"P",""),";",REPT(" ",30)),181,30))),0)+IFERROR(VALUE(TRIM(MID(SUBSTITUTE(SUBSTITUTE(SUBSTITUTE(UPPER($T412)," ",""),"P",""),";",REPT(" ",30)),211,30))),0)))))</f>
        <v/>
      </c>
      <c r="W412" s="26" t="n"/>
      <c r="X412" s="13" t="n"/>
    </row>
    <row r="413">
      <c r="A413" s="6">
        <f>IF($C413="","",82)</f>
        <v/>
      </c>
      <c r="B413" s="6">
        <f>IF($C413="","","5ª Sessão")</f>
        <v/>
      </c>
      <c r="C413" s="6">
        <f>IF(Preenchimento!$B$91="","",Preenchimento!$B$91)</f>
        <v/>
      </c>
      <c r="D413" s="6">
        <f>IF($C413="","",IF(Preenchimento!$C$91="","-",Preenchimento!$C$91))</f>
        <v/>
      </c>
      <c r="E413" s="6" t="n"/>
      <c r="F413" s="6" t="n"/>
      <c r="G413" s="26" t="n"/>
      <c r="H413" s="6" t="n"/>
      <c r="I413" s="13" t="n"/>
      <c r="J413" s="27">
        <f>IF($C413="","",IF($E413="Falta","-",MAX(0,MIN(10,8+IFERROR(VALUE(TRIM(MID(SUBSTITUTE(SUBSTITUTE(SUBSTITUTE(UPPER($H413)," ",""),"D",""),";",REPT(" ",30)),1,30))),0)+IFERROR(VALUE(TRIM(MID(SUBSTITUTE(SUBSTITUTE(SUBSTITUTE(UPPER($H413)," ",""),"D",""),";",REPT(" ",30)),31,30))),0)+IFERROR(VALUE(TRIM(MID(SUBSTITUTE(SUBSTITUTE(SUBSTITUTE(UPPER($H413)," ",""),"D",""),";",REPT(" ",30)),61,30))),0)+IFERROR(VALUE(TRIM(MID(SUBSTITUTE(SUBSTITUTE(SUBSTITUTE(UPPER($H413)," ",""),"D",""),";",REPT(" ",30)),91,30))),0)+IFERROR(VALUE(TRIM(MID(SUBSTITUTE(SUBSTITUTE(SUBSTITUTE(UPPER($H413)," ",""),"D",""),";",REPT(" ",30)),121,30))),0)+IFERROR(VALUE(TRIM(MID(SUBSTITUTE(SUBSTITUTE(SUBSTITUTE(UPPER($H413)," ",""),"D",""),";",REPT(" ",30)),151,30))),0)+IFERROR(VALUE(TRIM(MID(SUBSTITUTE(SUBSTITUTE(SUBSTITUTE(UPPER($H413)," ",""),"D",""),";",REPT(" ",30)),181,30))),0)+IFERROR(VALUE(TRIM(MID(SUBSTITUTE(SUBSTITUTE(SUBSTITUTE(UPPER($H413)," ",""),"D",""),";",REPT(" ",30)),211,30))),0)))))</f>
        <v/>
      </c>
      <c r="K413" s="26" t="n"/>
      <c r="L413" s="6" t="n"/>
      <c r="M413" s="13" t="n"/>
      <c r="N413" s="27">
        <f>IF($C413="","",IF($E413="Falta","-",MAX(0,MIN(10,8+IFERROR(VALUE(TRIM(MID(SUBSTITUTE(SUBSTITUTE(SUBSTITUTE(UPPER($L413)," ",""),"F",""),";",REPT(" ",30)),1,30))),0)+IFERROR(VALUE(TRIM(MID(SUBSTITUTE(SUBSTITUTE(SUBSTITUTE(UPPER($L413)," ",""),"F",""),";",REPT(" ",30)),31,30))),0)+IFERROR(VALUE(TRIM(MID(SUBSTITUTE(SUBSTITUTE(SUBSTITUTE(UPPER($L413)," ",""),"F",""),";",REPT(" ",30)),61,30))),0)+IFERROR(VALUE(TRIM(MID(SUBSTITUTE(SUBSTITUTE(SUBSTITUTE(UPPER($L413)," ",""),"F",""),";",REPT(" ",30)),91,30))),0)+IFERROR(VALUE(TRIM(MID(SUBSTITUTE(SUBSTITUTE(SUBSTITUTE(UPPER($L413)," ",""),"F",""),";",REPT(" ",30)),121,30))),0)+IFERROR(VALUE(TRIM(MID(SUBSTITUTE(SUBSTITUTE(SUBSTITUTE(UPPER($L413)," ",""),"F",""),";",REPT(" ",30)),151,30))),0)+IFERROR(VALUE(TRIM(MID(SUBSTITUTE(SUBSTITUTE(SUBSTITUTE(UPPER($L413)," ",""),"F",""),";",REPT(" ",30)),181,30))),0)+IFERROR(VALUE(TRIM(MID(SUBSTITUTE(SUBSTITUTE(SUBSTITUTE(UPPER($L413)," ",""),"F",""),";",REPT(" ",30)),211,30))),0)))))</f>
        <v/>
      </c>
      <c r="O413" s="26" t="n"/>
      <c r="P413" s="6" t="n"/>
      <c r="Q413" s="13" t="n"/>
      <c r="R413" s="27">
        <f>IF($C413="","",IF($E413="Falta","-",MAX(0,MIN(10,5+IFERROR(VALUE(TRIM(MID(SUBSTITUTE(SUBSTITUTE(SUBSTITUTE(UPPER($P413)," ",""),"C",""),";",REPT(" ",30)),1,30))),0)+IFERROR(VALUE(TRIM(MID(SUBSTITUTE(SUBSTITUTE(SUBSTITUTE(UPPER($P413)," ",""),"C",""),";",REPT(" ",30)),31,30))),0)+IFERROR(VALUE(TRIM(MID(SUBSTITUTE(SUBSTITUTE(SUBSTITUTE(UPPER($P413)," ",""),"C",""),";",REPT(" ",30)),61,30))),0)+IFERROR(VALUE(TRIM(MID(SUBSTITUTE(SUBSTITUTE(SUBSTITUTE(UPPER($P413)," ",""),"C",""),";",REPT(" ",30)),91,30))),0)+IFERROR(VALUE(TRIM(MID(SUBSTITUTE(SUBSTITUTE(SUBSTITUTE(UPPER($P413)," ",""),"C",""),";",REPT(" ",30)),121,30))),0)+IFERROR(VALUE(TRIM(MID(SUBSTITUTE(SUBSTITUTE(SUBSTITUTE(UPPER($P413)," ",""),"C",""),";",REPT(" ",30)),151,30))),0)+IFERROR(VALUE(TRIM(MID(SUBSTITUTE(SUBSTITUTE(SUBSTITUTE(UPPER($P413)," ",""),"C",""),";",REPT(" ",30)),181,30))),0)+IFERROR(VALUE(TRIM(MID(SUBSTITUTE(SUBSTITUTE(SUBSTITUTE(UPPER($P413)," ",""),"C",""),";",REPT(" ",30)),211,30))),0)))))</f>
        <v/>
      </c>
      <c r="S413" s="26" t="n"/>
      <c r="T413" s="6" t="n"/>
      <c r="U413" s="13" t="n"/>
      <c r="V413" s="27">
        <f>IF($C413="","",IF($E413="Falta","-",MAX(0,MIN(10,5+IFERROR(VALUE(TRIM(MID(SUBSTITUTE(SUBSTITUTE(SUBSTITUTE(UPPER($T413)," ",""),"P",""),";",REPT(" ",30)),1,30))),0)+IFERROR(VALUE(TRIM(MID(SUBSTITUTE(SUBSTITUTE(SUBSTITUTE(UPPER($T413)," ",""),"P",""),";",REPT(" ",30)),31,30))),0)+IFERROR(VALUE(TRIM(MID(SUBSTITUTE(SUBSTITUTE(SUBSTITUTE(UPPER($T413)," ",""),"P",""),";",REPT(" ",30)),61,30))),0)+IFERROR(VALUE(TRIM(MID(SUBSTITUTE(SUBSTITUTE(SUBSTITUTE(UPPER($T413)," ",""),"P",""),";",REPT(" ",30)),91,30))),0)+IFERROR(VALUE(TRIM(MID(SUBSTITUTE(SUBSTITUTE(SUBSTITUTE(UPPER($T413)," ",""),"P",""),";",REPT(" ",30)),121,30))),0)+IFERROR(VALUE(TRIM(MID(SUBSTITUTE(SUBSTITUTE(SUBSTITUTE(UPPER($T413)," ",""),"P",""),";",REPT(" ",30)),151,30))),0)+IFERROR(VALUE(TRIM(MID(SUBSTITUTE(SUBSTITUTE(SUBSTITUTE(UPPER($T413)," ",""),"P",""),";",REPT(" ",30)),181,30))),0)+IFERROR(VALUE(TRIM(MID(SUBSTITUTE(SUBSTITUTE(SUBSTITUTE(UPPER($T413)," ",""),"P",""),";",REPT(" ",30)),211,30))),0)))))</f>
        <v/>
      </c>
      <c r="W413" s="26" t="n"/>
      <c r="X413" s="13" t="n"/>
    </row>
    <row r="414">
      <c r="A414" s="8">
        <f>IF($C414="","",83)</f>
        <v/>
      </c>
      <c r="B414" s="8">
        <f>IF($C414="","","1ª Sessão")</f>
        <v/>
      </c>
      <c r="C414" s="8">
        <f>IF(Preenchimento!$B$92="","",Preenchimento!$B$92)</f>
        <v/>
      </c>
      <c r="D414" s="8">
        <f>IF($C414="","",IF(Preenchimento!$C$92="","-",Preenchimento!$C$92))</f>
        <v/>
      </c>
      <c r="E414" s="8" t="n"/>
      <c r="F414" s="8" t="n"/>
      <c r="G414" s="24" t="n"/>
      <c r="H414" s="8" t="n"/>
      <c r="I414" s="14" t="n"/>
      <c r="J414" s="25">
        <f>IF($C414="","",IF($E414="Falta","-",MAX(0,MIN(10,8+IFERROR(VALUE(TRIM(MID(SUBSTITUTE(SUBSTITUTE(SUBSTITUTE(UPPER($H414)," ",""),"D",""),";",REPT(" ",30)),1,30))),0)+IFERROR(VALUE(TRIM(MID(SUBSTITUTE(SUBSTITUTE(SUBSTITUTE(UPPER($H414)," ",""),"D",""),";",REPT(" ",30)),31,30))),0)+IFERROR(VALUE(TRIM(MID(SUBSTITUTE(SUBSTITUTE(SUBSTITUTE(UPPER($H414)," ",""),"D",""),";",REPT(" ",30)),61,30))),0)+IFERROR(VALUE(TRIM(MID(SUBSTITUTE(SUBSTITUTE(SUBSTITUTE(UPPER($H414)," ",""),"D",""),";",REPT(" ",30)),91,30))),0)+IFERROR(VALUE(TRIM(MID(SUBSTITUTE(SUBSTITUTE(SUBSTITUTE(UPPER($H414)," ",""),"D",""),";",REPT(" ",30)),121,30))),0)+IFERROR(VALUE(TRIM(MID(SUBSTITUTE(SUBSTITUTE(SUBSTITUTE(UPPER($H414)," ",""),"D",""),";",REPT(" ",30)),151,30))),0)+IFERROR(VALUE(TRIM(MID(SUBSTITUTE(SUBSTITUTE(SUBSTITUTE(UPPER($H414)," ",""),"D",""),";",REPT(" ",30)),181,30))),0)+IFERROR(VALUE(TRIM(MID(SUBSTITUTE(SUBSTITUTE(SUBSTITUTE(UPPER($H414)," ",""),"D",""),";",REPT(" ",30)),211,30))),0)))))</f>
        <v/>
      </c>
      <c r="K414" s="24" t="n"/>
      <c r="L414" s="8" t="n"/>
      <c r="M414" s="14" t="n"/>
      <c r="N414" s="25">
        <f>IF($C414="","",IF($E414="Falta","-",MAX(0,MIN(10,8+IFERROR(VALUE(TRIM(MID(SUBSTITUTE(SUBSTITUTE(SUBSTITUTE(UPPER($L414)," ",""),"F",""),";",REPT(" ",30)),1,30))),0)+IFERROR(VALUE(TRIM(MID(SUBSTITUTE(SUBSTITUTE(SUBSTITUTE(UPPER($L414)," ",""),"F",""),";",REPT(" ",30)),31,30))),0)+IFERROR(VALUE(TRIM(MID(SUBSTITUTE(SUBSTITUTE(SUBSTITUTE(UPPER($L414)," ",""),"F",""),";",REPT(" ",30)),61,30))),0)+IFERROR(VALUE(TRIM(MID(SUBSTITUTE(SUBSTITUTE(SUBSTITUTE(UPPER($L414)," ",""),"F",""),";",REPT(" ",30)),91,30))),0)+IFERROR(VALUE(TRIM(MID(SUBSTITUTE(SUBSTITUTE(SUBSTITUTE(UPPER($L414)," ",""),"F",""),";",REPT(" ",30)),121,30))),0)+IFERROR(VALUE(TRIM(MID(SUBSTITUTE(SUBSTITUTE(SUBSTITUTE(UPPER($L414)," ",""),"F",""),";",REPT(" ",30)),151,30))),0)+IFERROR(VALUE(TRIM(MID(SUBSTITUTE(SUBSTITUTE(SUBSTITUTE(UPPER($L414)," ",""),"F",""),";",REPT(" ",30)),181,30))),0)+IFERROR(VALUE(TRIM(MID(SUBSTITUTE(SUBSTITUTE(SUBSTITUTE(UPPER($L414)," ",""),"F",""),";",REPT(" ",30)),211,30))),0)))))</f>
        <v/>
      </c>
      <c r="O414" s="24" t="n"/>
      <c r="P414" s="8" t="n"/>
      <c r="Q414" s="14" t="n"/>
      <c r="R414" s="25">
        <f>IF($C414="","",IF($E414="Falta","-",MAX(0,MIN(10,5+IFERROR(VALUE(TRIM(MID(SUBSTITUTE(SUBSTITUTE(SUBSTITUTE(UPPER($P414)," ",""),"C",""),";",REPT(" ",30)),1,30))),0)+IFERROR(VALUE(TRIM(MID(SUBSTITUTE(SUBSTITUTE(SUBSTITUTE(UPPER($P414)," ",""),"C",""),";",REPT(" ",30)),31,30))),0)+IFERROR(VALUE(TRIM(MID(SUBSTITUTE(SUBSTITUTE(SUBSTITUTE(UPPER($P414)," ",""),"C",""),";",REPT(" ",30)),61,30))),0)+IFERROR(VALUE(TRIM(MID(SUBSTITUTE(SUBSTITUTE(SUBSTITUTE(UPPER($P414)," ",""),"C",""),";",REPT(" ",30)),91,30))),0)+IFERROR(VALUE(TRIM(MID(SUBSTITUTE(SUBSTITUTE(SUBSTITUTE(UPPER($P414)," ",""),"C",""),";",REPT(" ",30)),121,30))),0)+IFERROR(VALUE(TRIM(MID(SUBSTITUTE(SUBSTITUTE(SUBSTITUTE(UPPER($P414)," ",""),"C",""),";",REPT(" ",30)),151,30))),0)+IFERROR(VALUE(TRIM(MID(SUBSTITUTE(SUBSTITUTE(SUBSTITUTE(UPPER($P414)," ",""),"C",""),";",REPT(" ",30)),181,30))),0)+IFERROR(VALUE(TRIM(MID(SUBSTITUTE(SUBSTITUTE(SUBSTITUTE(UPPER($P414)," ",""),"C",""),";",REPT(" ",30)),211,30))),0)))))</f>
        <v/>
      </c>
      <c r="S414" s="24" t="n"/>
      <c r="T414" s="8" t="n"/>
      <c r="U414" s="14" t="n"/>
      <c r="V414" s="25">
        <f>IF($C414="","",IF($E414="Falta","-",MAX(0,MIN(10,5+IFERROR(VALUE(TRIM(MID(SUBSTITUTE(SUBSTITUTE(SUBSTITUTE(UPPER($T414)," ",""),"P",""),";",REPT(" ",30)),1,30))),0)+IFERROR(VALUE(TRIM(MID(SUBSTITUTE(SUBSTITUTE(SUBSTITUTE(UPPER($T414)," ",""),"P",""),";",REPT(" ",30)),31,30))),0)+IFERROR(VALUE(TRIM(MID(SUBSTITUTE(SUBSTITUTE(SUBSTITUTE(UPPER($T414)," ",""),"P",""),";",REPT(" ",30)),61,30))),0)+IFERROR(VALUE(TRIM(MID(SUBSTITUTE(SUBSTITUTE(SUBSTITUTE(UPPER($T414)," ",""),"P",""),";",REPT(" ",30)),91,30))),0)+IFERROR(VALUE(TRIM(MID(SUBSTITUTE(SUBSTITUTE(SUBSTITUTE(UPPER($T414)," ",""),"P",""),";",REPT(" ",30)),121,30))),0)+IFERROR(VALUE(TRIM(MID(SUBSTITUTE(SUBSTITUTE(SUBSTITUTE(UPPER($T414)," ",""),"P",""),";",REPT(" ",30)),151,30))),0)+IFERROR(VALUE(TRIM(MID(SUBSTITUTE(SUBSTITUTE(SUBSTITUTE(UPPER($T414)," ",""),"P",""),";",REPT(" ",30)),181,30))),0)+IFERROR(VALUE(TRIM(MID(SUBSTITUTE(SUBSTITUTE(SUBSTITUTE(UPPER($T414)," ",""),"P",""),";",REPT(" ",30)),211,30))),0)))))</f>
        <v/>
      </c>
      <c r="W414" s="24" t="n"/>
      <c r="X414" s="14" t="n"/>
    </row>
    <row r="415">
      <c r="A415" s="8">
        <f>IF($C415="","",83)</f>
        <v/>
      </c>
      <c r="B415" s="8">
        <f>IF($C415="","","2ª Sessão")</f>
        <v/>
      </c>
      <c r="C415" s="8">
        <f>IF(Preenchimento!$B$92="","",Preenchimento!$B$92)</f>
        <v/>
      </c>
      <c r="D415" s="8">
        <f>IF($C415="","",IF(Preenchimento!$C$92="","-",Preenchimento!$C$92))</f>
        <v/>
      </c>
      <c r="E415" s="8" t="n"/>
      <c r="F415" s="8" t="n"/>
      <c r="G415" s="24" t="n"/>
      <c r="H415" s="8" t="n"/>
      <c r="I415" s="14" t="n"/>
      <c r="J415" s="25">
        <f>IF($C415="","",IF($E415="Falta","-",MAX(0,MIN(10,8+IFERROR(VALUE(TRIM(MID(SUBSTITUTE(SUBSTITUTE(SUBSTITUTE(UPPER($H415)," ",""),"D",""),";",REPT(" ",30)),1,30))),0)+IFERROR(VALUE(TRIM(MID(SUBSTITUTE(SUBSTITUTE(SUBSTITUTE(UPPER($H415)," ",""),"D",""),";",REPT(" ",30)),31,30))),0)+IFERROR(VALUE(TRIM(MID(SUBSTITUTE(SUBSTITUTE(SUBSTITUTE(UPPER($H415)," ",""),"D",""),";",REPT(" ",30)),61,30))),0)+IFERROR(VALUE(TRIM(MID(SUBSTITUTE(SUBSTITUTE(SUBSTITUTE(UPPER($H415)," ",""),"D",""),";",REPT(" ",30)),91,30))),0)+IFERROR(VALUE(TRIM(MID(SUBSTITUTE(SUBSTITUTE(SUBSTITUTE(UPPER($H415)," ",""),"D",""),";",REPT(" ",30)),121,30))),0)+IFERROR(VALUE(TRIM(MID(SUBSTITUTE(SUBSTITUTE(SUBSTITUTE(UPPER($H415)," ",""),"D",""),";",REPT(" ",30)),151,30))),0)+IFERROR(VALUE(TRIM(MID(SUBSTITUTE(SUBSTITUTE(SUBSTITUTE(UPPER($H415)," ",""),"D",""),";",REPT(" ",30)),181,30))),0)+IFERROR(VALUE(TRIM(MID(SUBSTITUTE(SUBSTITUTE(SUBSTITUTE(UPPER($H415)," ",""),"D",""),";",REPT(" ",30)),211,30))),0)))))</f>
        <v/>
      </c>
      <c r="K415" s="24" t="n"/>
      <c r="L415" s="8" t="n"/>
      <c r="M415" s="14" t="n"/>
      <c r="N415" s="25">
        <f>IF($C415="","",IF($E415="Falta","-",MAX(0,MIN(10,8+IFERROR(VALUE(TRIM(MID(SUBSTITUTE(SUBSTITUTE(SUBSTITUTE(UPPER($L415)," ",""),"F",""),";",REPT(" ",30)),1,30))),0)+IFERROR(VALUE(TRIM(MID(SUBSTITUTE(SUBSTITUTE(SUBSTITUTE(UPPER($L415)," ",""),"F",""),";",REPT(" ",30)),31,30))),0)+IFERROR(VALUE(TRIM(MID(SUBSTITUTE(SUBSTITUTE(SUBSTITUTE(UPPER($L415)," ",""),"F",""),";",REPT(" ",30)),61,30))),0)+IFERROR(VALUE(TRIM(MID(SUBSTITUTE(SUBSTITUTE(SUBSTITUTE(UPPER($L415)," ",""),"F",""),";",REPT(" ",30)),91,30))),0)+IFERROR(VALUE(TRIM(MID(SUBSTITUTE(SUBSTITUTE(SUBSTITUTE(UPPER($L415)," ",""),"F",""),";",REPT(" ",30)),121,30))),0)+IFERROR(VALUE(TRIM(MID(SUBSTITUTE(SUBSTITUTE(SUBSTITUTE(UPPER($L415)," ",""),"F",""),";",REPT(" ",30)),151,30))),0)+IFERROR(VALUE(TRIM(MID(SUBSTITUTE(SUBSTITUTE(SUBSTITUTE(UPPER($L415)," ",""),"F",""),";",REPT(" ",30)),181,30))),0)+IFERROR(VALUE(TRIM(MID(SUBSTITUTE(SUBSTITUTE(SUBSTITUTE(UPPER($L415)," ",""),"F",""),";",REPT(" ",30)),211,30))),0)))))</f>
        <v/>
      </c>
      <c r="O415" s="24" t="n"/>
      <c r="P415" s="8" t="n"/>
      <c r="Q415" s="14" t="n"/>
      <c r="R415" s="25">
        <f>IF($C415="","",IF($E415="Falta","-",MAX(0,MIN(10,5+IFERROR(VALUE(TRIM(MID(SUBSTITUTE(SUBSTITUTE(SUBSTITUTE(UPPER($P415)," ",""),"C",""),";",REPT(" ",30)),1,30))),0)+IFERROR(VALUE(TRIM(MID(SUBSTITUTE(SUBSTITUTE(SUBSTITUTE(UPPER($P415)," ",""),"C",""),";",REPT(" ",30)),31,30))),0)+IFERROR(VALUE(TRIM(MID(SUBSTITUTE(SUBSTITUTE(SUBSTITUTE(UPPER($P415)," ",""),"C",""),";",REPT(" ",30)),61,30))),0)+IFERROR(VALUE(TRIM(MID(SUBSTITUTE(SUBSTITUTE(SUBSTITUTE(UPPER($P415)," ",""),"C",""),";",REPT(" ",30)),91,30))),0)+IFERROR(VALUE(TRIM(MID(SUBSTITUTE(SUBSTITUTE(SUBSTITUTE(UPPER($P415)," ",""),"C",""),";",REPT(" ",30)),121,30))),0)+IFERROR(VALUE(TRIM(MID(SUBSTITUTE(SUBSTITUTE(SUBSTITUTE(UPPER($P415)," ",""),"C",""),";",REPT(" ",30)),151,30))),0)+IFERROR(VALUE(TRIM(MID(SUBSTITUTE(SUBSTITUTE(SUBSTITUTE(UPPER($P415)," ",""),"C",""),";",REPT(" ",30)),181,30))),0)+IFERROR(VALUE(TRIM(MID(SUBSTITUTE(SUBSTITUTE(SUBSTITUTE(UPPER($P415)," ",""),"C",""),";",REPT(" ",30)),211,30))),0)))))</f>
        <v/>
      </c>
      <c r="S415" s="24" t="n"/>
      <c r="T415" s="8" t="n"/>
      <c r="U415" s="14" t="n"/>
      <c r="V415" s="25">
        <f>IF($C415="","",IF($E415="Falta","-",MAX(0,MIN(10,5+IFERROR(VALUE(TRIM(MID(SUBSTITUTE(SUBSTITUTE(SUBSTITUTE(UPPER($T415)," ",""),"P",""),";",REPT(" ",30)),1,30))),0)+IFERROR(VALUE(TRIM(MID(SUBSTITUTE(SUBSTITUTE(SUBSTITUTE(UPPER($T415)," ",""),"P",""),";",REPT(" ",30)),31,30))),0)+IFERROR(VALUE(TRIM(MID(SUBSTITUTE(SUBSTITUTE(SUBSTITUTE(UPPER($T415)," ",""),"P",""),";",REPT(" ",30)),61,30))),0)+IFERROR(VALUE(TRIM(MID(SUBSTITUTE(SUBSTITUTE(SUBSTITUTE(UPPER($T415)," ",""),"P",""),";",REPT(" ",30)),91,30))),0)+IFERROR(VALUE(TRIM(MID(SUBSTITUTE(SUBSTITUTE(SUBSTITUTE(UPPER($T415)," ",""),"P",""),";",REPT(" ",30)),121,30))),0)+IFERROR(VALUE(TRIM(MID(SUBSTITUTE(SUBSTITUTE(SUBSTITUTE(UPPER($T415)," ",""),"P",""),";",REPT(" ",30)),151,30))),0)+IFERROR(VALUE(TRIM(MID(SUBSTITUTE(SUBSTITUTE(SUBSTITUTE(UPPER($T415)," ",""),"P",""),";",REPT(" ",30)),181,30))),0)+IFERROR(VALUE(TRIM(MID(SUBSTITUTE(SUBSTITUTE(SUBSTITUTE(UPPER($T415)," ",""),"P",""),";",REPT(" ",30)),211,30))),0)))))</f>
        <v/>
      </c>
      <c r="W415" s="24" t="n"/>
      <c r="X415" s="14" t="n"/>
    </row>
    <row r="416">
      <c r="A416" s="8">
        <f>IF($C416="","",83)</f>
        <v/>
      </c>
      <c r="B416" s="8">
        <f>IF($C416="","","3ª Sessão")</f>
        <v/>
      </c>
      <c r="C416" s="8">
        <f>IF(Preenchimento!$B$92="","",Preenchimento!$B$92)</f>
        <v/>
      </c>
      <c r="D416" s="8">
        <f>IF($C416="","",IF(Preenchimento!$C$92="","-",Preenchimento!$C$92))</f>
        <v/>
      </c>
      <c r="E416" s="8" t="n"/>
      <c r="F416" s="8" t="n"/>
      <c r="G416" s="24" t="n"/>
      <c r="H416" s="8" t="n"/>
      <c r="I416" s="14" t="n"/>
      <c r="J416" s="25">
        <f>IF($C416="","",IF($E416="Falta","-",MAX(0,MIN(10,8+IFERROR(VALUE(TRIM(MID(SUBSTITUTE(SUBSTITUTE(SUBSTITUTE(UPPER($H416)," ",""),"D",""),";",REPT(" ",30)),1,30))),0)+IFERROR(VALUE(TRIM(MID(SUBSTITUTE(SUBSTITUTE(SUBSTITUTE(UPPER($H416)," ",""),"D",""),";",REPT(" ",30)),31,30))),0)+IFERROR(VALUE(TRIM(MID(SUBSTITUTE(SUBSTITUTE(SUBSTITUTE(UPPER($H416)," ",""),"D",""),";",REPT(" ",30)),61,30))),0)+IFERROR(VALUE(TRIM(MID(SUBSTITUTE(SUBSTITUTE(SUBSTITUTE(UPPER($H416)," ",""),"D",""),";",REPT(" ",30)),91,30))),0)+IFERROR(VALUE(TRIM(MID(SUBSTITUTE(SUBSTITUTE(SUBSTITUTE(UPPER($H416)," ",""),"D",""),";",REPT(" ",30)),121,30))),0)+IFERROR(VALUE(TRIM(MID(SUBSTITUTE(SUBSTITUTE(SUBSTITUTE(UPPER($H416)," ",""),"D",""),";",REPT(" ",30)),151,30))),0)+IFERROR(VALUE(TRIM(MID(SUBSTITUTE(SUBSTITUTE(SUBSTITUTE(UPPER($H416)," ",""),"D",""),";",REPT(" ",30)),181,30))),0)+IFERROR(VALUE(TRIM(MID(SUBSTITUTE(SUBSTITUTE(SUBSTITUTE(UPPER($H416)," ",""),"D",""),";",REPT(" ",30)),211,30))),0)))))</f>
        <v/>
      </c>
      <c r="K416" s="24" t="n"/>
      <c r="L416" s="8" t="n"/>
      <c r="M416" s="14" t="n"/>
      <c r="N416" s="25">
        <f>IF($C416="","",IF($E416="Falta","-",MAX(0,MIN(10,8+IFERROR(VALUE(TRIM(MID(SUBSTITUTE(SUBSTITUTE(SUBSTITUTE(UPPER($L416)," ",""),"F",""),";",REPT(" ",30)),1,30))),0)+IFERROR(VALUE(TRIM(MID(SUBSTITUTE(SUBSTITUTE(SUBSTITUTE(UPPER($L416)," ",""),"F",""),";",REPT(" ",30)),31,30))),0)+IFERROR(VALUE(TRIM(MID(SUBSTITUTE(SUBSTITUTE(SUBSTITUTE(UPPER($L416)," ",""),"F",""),";",REPT(" ",30)),61,30))),0)+IFERROR(VALUE(TRIM(MID(SUBSTITUTE(SUBSTITUTE(SUBSTITUTE(UPPER($L416)," ",""),"F",""),";",REPT(" ",30)),91,30))),0)+IFERROR(VALUE(TRIM(MID(SUBSTITUTE(SUBSTITUTE(SUBSTITUTE(UPPER($L416)," ",""),"F",""),";",REPT(" ",30)),121,30))),0)+IFERROR(VALUE(TRIM(MID(SUBSTITUTE(SUBSTITUTE(SUBSTITUTE(UPPER($L416)," ",""),"F",""),";",REPT(" ",30)),151,30))),0)+IFERROR(VALUE(TRIM(MID(SUBSTITUTE(SUBSTITUTE(SUBSTITUTE(UPPER($L416)," ",""),"F",""),";",REPT(" ",30)),181,30))),0)+IFERROR(VALUE(TRIM(MID(SUBSTITUTE(SUBSTITUTE(SUBSTITUTE(UPPER($L416)," ",""),"F",""),";",REPT(" ",30)),211,30))),0)))))</f>
        <v/>
      </c>
      <c r="O416" s="24" t="n"/>
      <c r="P416" s="8" t="n"/>
      <c r="Q416" s="14" t="n"/>
      <c r="R416" s="25">
        <f>IF($C416="","",IF($E416="Falta","-",MAX(0,MIN(10,5+IFERROR(VALUE(TRIM(MID(SUBSTITUTE(SUBSTITUTE(SUBSTITUTE(UPPER($P416)," ",""),"C",""),";",REPT(" ",30)),1,30))),0)+IFERROR(VALUE(TRIM(MID(SUBSTITUTE(SUBSTITUTE(SUBSTITUTE(UPPER($P416)," ",""),"C",""),";",REPT(" ",30)),31,30))),0)+IFERROR(VALUE(TRIM(MID(SUBSTITUTE(SUBSTITUTE(SUBSTITUTE(UPPER($P416)," ",""),"C",""),";",REPT(" ",30)),61,30))),0)+IFERROR(VALUE(TRIM(MID(SUBSTITUTE(SUBSTITUTE(SUBSTITUTE(UPPER($P416)," ",""),"C",""),";",REPT(" ",30)),91,30))),0)+IFERROR(VALUE(TRIM(MID(SUBSTITUTE(SUBSTITUTE(SUBSTITUTE(UPPER($P416)," ",""),"C",""),";",REPT(" ",30)),121,30))),0)+IFERROR(VALUE(TRIM(MID(SUBSTITUTE(SUBSTITUTE(SUBSTITUTE(UPPER($P416)," ",""),"C",""),";",REPT(" ",30)),151,30))),0)+IFERROR(VALUE(TRIM(MID(SUBSTITUTE(SUBSTITUTE(SUBSTITUTE(UPPER($P416)," ",""),"C",""),";",REPT(" ",30)),181,30))),0)+IFERROR(VALUE(TRIM(MID(SUBSTITUTE(SUBSTITUTE(SUBSTITUTE(UPPER($P416)," ",""),"C",""),";",REPT(" ",30)),211,30))),0)))))</f>
        <v/>
      </c>
      <c r="S416" s="24" t="n"/>
      <c r="T416" s="8" t="n"/>
      <c r="U416" s="14" t="n"/>
      <c r="V416" s="25">
        <f>IF($C416="","",IF($E416="Falta","-",MAX(0,MIN(10,5+IFERROR(VALUE(TRIM(MID(SUBSTITUTE(SUBSTITUTE(SUBSTITUTE(UPPER($T416)," ",""),"P",""),";",REPT(" ",30)),1,30))),0)+IFERROR(VALUE(TRIM(MID(SUBSTITUTE(SUBSTITUTE(SUBSTITUTE(UPPER($T416)," ",""),"P",""),";",REPT(" ",30)),31,30))),0)+IFERROR(VALUE(TRIM(MID(SUBSTITUTE(SUBSTITUTE(SUBSTITUTE(UPPER($T416)," ",""),"P",""),";",REPT(" ",30)),61,30))),0)+IFERROR(VALUE(TRIM(MID(SUBSTITUTE(SUBSTITUTE(SUBSTITUTE(UPPER($T416)," ",""),"P",""),";",REPT(" ",30)),91,30))),0)+IFERROR(VALUE(TRIM(MID(SUBSTITUTE(SUBSTITUTE(SUBSTITUTE(UPPER($T416)," ",""),"P",""),";",REPT(" ",30)),121,30))),0)+IFERROR(VALUE(TRIM(MID(SUBSTITUTE(SUBSTITUTE(SUBSTITUTE(UPPER($T416)," ",""),"P",""),";",REPT(" ",30)),151,30))),0)+IFERROR(VALUE(TRIM(MID(SUBSTITUTE(SUBSTITUTE(SUBSTITUTE(UPPER($T416)," ",""),"P",""),";",REPT(" ",30)),181,30))),0)+IFERROR(VALUE(TRIM(MID(SUBSTITUTE(SUBSTITUTE(SUBSTITUTE(UPPER($T416)," ",""),"P",""),";",REPT(" ",30)),211,30))),0)))))</f>
        <v/>
      </c>
      <c r="W416" s="24" t="n"/>
      <c r="X416" s="14" t="n"/>
    </row>
    <row r="417">
      <c r="A417" s="8">
        <f>IF($C417="","",83)</f>
        <v/>
      </c>
      <c r="B417" s="8">
        <f>IF($C417="","","4ª Sessão")</f>
        <v/>
      </c>
      <c r="C417" s="8">
        <f>IF(Preenchimento!$B$92="","",Preenchimento!$B$92)</f>
        <v/>
      </c>
      <c r="D417" s="8">
        <f>IF($C417="","",IF(Preenchimento!$C$92="","-",Preenchimento!$C$92))</f>
        <v/>
      </c>
      <c r="E417" s="8" t="n"/>
      <c r="F417" s="8" t="n"/>
      <c r="G417" s="24" t="n"/>
      <c r="H417" s="8" t="n"/>
      <c r="I417" s="14" t="n"/>
      <c r="J417" s="25">
        <f>IF($C417="","",IF($E417="Falta","-",MAX(0,MIN(10,8+IFERROR(VALUE(TRIM(MID(SUBSTITUTE(SUBSTITUTE(SUBSTITUTE(UPPER($H417)," ",""),"D",""),";",REPT(" ",30)),1,30))),0)+IFERROR(VALUE(TRIM(MID(SUBSTITUTE(SUBSTITUTE(SUBSTITUTE(UPPER($H417)," ",""),"D",""),";",REPT(" ",30)),31,30))),0)+IFERROR(VALUE(TRIM(MID(SUBSTITUTE(SUBSTITUTE(SUBSTITUTE(UPPER($H417)," ",""),"D",""),";",REPT(" ",30)),61,30))),0)+IFERROR(VALUE(TRIM(MID(SUBSTITUTE(SUBSTITUTE(SUBSTITUTE(UPPER($H417)," ",""),"D",""),";",REPT(" ",30)),91,30))),0)+IFERROR(VALUE(TRIM(MID(SUBSTITUTE(SUBSTITUTE(SUBSTITUTE(UPPER($H417)," ",""),"D",""),";",REPT(" ",30)),121,30))),0)+IFERROR(VALUE(TRIM(MID(SUBSTITUTE(SUBSTITUTE(SUBSTITUTE(UPPER($H417)," ",""),"D",""),";",REPT(" ",30)),151,30))),0)+IFERROR(VALUE(TRIM(MID(SUBSTITUTE(SUBSTITUTE(SUBSTITUTE(UPPER($H417)," ",""),"D",""),";",REPT(" ",30)),181,30))),0)+IFERROR(VALUE(TRIM(MID(SUBSTITUTE(SUBSTITUTE(SUBSTITUTE(UPPER($H417)," ",""),"D",""),";",REPT(" ",30)),211,30))),0)))))</f>
        <v/>
      </c>
      <c r="K417" s="24" t="n"/>
      <c r="L417" s="8" t="n"/>
      <c r="M417" s="14" t="n"/>
      <c r="N417" s="25">
        <f>IF($C417="","",IF($E417="Falta","-",MAX(0,MIN(10,8+IFERROR(VALUE(TRIM(MID(SUBSTITUTE(SUBSTITUTE(SUBSTITUTE(UPPER($L417)," ",""),"F",""),";",REPT(" ",30)),1,30))),0)+IFERROR(VALUE(TRIM(MID(SUBSTITUTE(SUBSTITUTE(SUBSTITUTE(UPPER($L417)," ",""),"F",""),";",REPT(" ",30)),31,30))),0)+IFERROR(VALUE(TRIM(MID(SUBSTITUTE(SUBSTITUTE(SUBSTITUTE(UPPER($L417)," ",""),"F",""),";",REPT(" ",30)),61,30))),0)+IFERROR(VALUE(TRIM(MID(SUBSTITUTE(SUBSTITUTE(SUBSTITUTE(UPPER($L417)," ",""),"F",""),";",REPT(" ",30)),91,30))),0)+IFERROR(VALUE(TRIM(MID(SUBSTITUTE(SUBSTITUTE(SUBSTITUTE(UPPER($L417)," ",""),"F",""),";",REPT(" ",30)),121,30))),0)+IFERROR(VALUE(TRIM(MID(SUBSTITUTE(SUBSTITUTE(SUBSTITUTE(UPPER($L417)," ",""),"F",""),";",REPT(" ",30)),151,30))),0)+IFERROR(VALUE(TRIM(MID(SUBSTITUTE(SUBSTITUTE(SUBSTITUTE(UPPER($L417)," ",""),"F",""),";",REPT(" ",30)),181,30))),0)+IFERROR(VALUE(TRIM(MID(SUBSTITUTE(SUBSTITUTE(SUBSTITUTE(UPPER($L417)," ",""),"F",""),";",REPT(" ",30)),211,30))),0)))))</f>
        <v/>
      </c>
      <c r="O417" s="24" t="n"/>
      <c r="P417" s="8" t="n"/>
      <c r="Q417" s="14" t="n"/>
      <c r="R417" s="25">
        <f>IF($C417="","",IF($E417="Falta","-",MAX(0,MIN(10,5+IFERROR(VALUE(TRIM(MID(SUBSTITUTE(SUBSTITUTE(SUBSTITUTE(UPPER($P417)," ",""),"C",""),";",REPT(" ",30)),1,30))),0)+IFERROR(VALUE(TRIM(MID(SUBSTITUTE(SUBSTITUTE(SUBSTITUTE(UPPER($P417)," ",""),"C",""),";",REPT(" ",30)),31,30))),0)+IFERROR(VALUE(TRIM(MID(SUBSTITUTE(SUBSTITUTE(SUBSTITUTE(UPPER($P417)," ",""),"C",""),";",REPT(" ",30)),61,30))),0)+IFERROR(VALUE(TRIM(MID(SUBSTITUTE(SUBSTITUTE(SUBSTITUTE(UPPER($P417)," ",""),"C",""),";",REPT(" ",30)),91,30))),0)+IFERROR(VALUE(TRIM(MID(SUBSTITUTE(SUBSTITUTE(SUBSTITUTE(UPPER($P417)," ",""),"C",""),";",REPT(" ",30)),121,30))),0)+IFERROR(VALUE(TRIM(MID(SUBSTITUTE(SUBSTITUTE(SUBSTITUTE(UPPER($P417)," ",""),"C",""),";",REPT(" ",30)),151,30))),0)+IFERROR(VALUE(TRIM(MID(SUBSTITUTE(SUBSTITUTE(SUBSTITUTE(UPPER($P417)," ",""),"C",""),";",REPT(" ",30)),181,30))),0)+IFERROR(VALUE(TRIM(MID(SUBSTITUTE(SUBSTITUTE(SUBSTITUTE(UPPER($P417)," ",""),"C",""),";",REPT(" ",30)),211,30))),0)))))</f>
        <v/>
      </c>
      <c r="S417" s="24" t="n"/>
      <c r="T417" s="8" t="n"/>
      <c r="U417" s="14" t="n"/>
      <c r="V417" s="25">
        <f>IF($C417="","",IF($E417="Falta","-",MAX(0,MIN(10,5+IFERROR(VALUE(TRIM(MID(SUBSTITUTE(SUBSTITUTE(SUBSTITUTE(UPPER($T417)," ",""),"P",""),";",REPT(" ",30)),1,30))),0)+IFERROR(VALUE(TRIM(MID(SUBSTITUTE(SUBSTITUTE(SUBSTITUTE(UPPER($T417)," ",""),"P",""),";",REPT(" ",30)),31,30))),0)+IFERROR(VALUE(TRIM(MID(SUBSTITUTE(SUBSTITUTE(SUBSTITUTE(UPPER($T417)," ",""),"P",""),";",REPT(" ",30)),61,30))),0)+IFERROR(VALUE(TRIM(MID(SUBSTITUTE(SUBSTITUTE(SUBSTITUTE(UPPER($T417)," ",""),"P",""),";",REPT(" ",30)),91,30))),0)+IFERROR(VALUE(TRIM(MID(SUBSTITUTE(SUBSTITUTE(SUBSTITUTE(UPPER($T417)," ",""),"P",""),";",REPT(" ",30)),121,30))),0)+IFERROR(VALUE(TRIM(MID(SUBSTITUTE(SUBSTITUTE(SUBSTITUTE(UPPER($T417)," ",""),"P",""),";",REPT(" ",30)),151,30))),0)+IFERROR(VALUE(TRIM(MID(SUBSTITUTE(SUBSTITUTE(SUBSTITUTE(UPPER($T417)," ",""),"P",""),";",REPT(" ",30)),181,30))),0)+IFERROR(VALUE(TRIM(MID(SUBSTITUTE(SUBSTITUTE(SUBSTITUTE(UPPER($T417)," ",""),"P",""),";",REPT(" ",30)),211,30))),0)))))</f>
        <v/>
      </c>
      <c r="W417" s="24" t="n"/>
      <c r="X417" s="14" t="n"/>
    </row>
    <row r="418">
      <c r="A418" s="8">
        <f>IF($C418="","",83)</f>
        <v/>
      </c>
      <c r="B418" s="8">
        <f>IF($C418="","","5ª Sessão")</f>
        <v/>
      </c>
      <c r="C418" s="8">
        <f>IF(Preenchimento!$B$92="","",Preenchimento!$B$92)</f>
        <v/>
      </c>
      <c r="D418" s="8">
        <f>IF($C418="","",IF(Preenchimento!$C$92="","-",Preenchimento!$C$92))</f>
        <v/>
      </c>
      <c r="E418" s="8" t="n"/>
      <c r="F418" s="8" t="n"/>
      <c r="G418" s="24" t="n"/>
      <c r="H418" s="8" t="n"/>
      <c r="I418" s="14" t="n"/>
      <c r="J418" s="25">
        <f>IF($C418="","",IF($E418="Falta","-",MAX(0,MIN(10,8+IFERROR(VALUE(TRIM(MID(SUBSTITUTE(SUBSTITUTE(SUBSTITUTE(UPPER($H418)," ",""),"D",""),";",REPT(" ",30)),1,30))),0)+IFERROR(VALUE(TRIM(MID(SUBSTITUTE(SUBSTITUTE(SUBSTITUTE(UPPER($H418)," ",""),"D",""),";",REPT(" ",30)),31,30))),0)+IFERROR(VALUE(TRIM(MID(SUBSTITUTE(SUBSTITUTE(SUBSTITUTE(UPPER($H418)," ",""),"D",""),";",REPT(" ",30)),61,30))),0)+IFERROR(VALUE(TRIM(MID(SUBSTITUTE(SUBSTITUTE(SUBSTITUTE(UPPER($H418)," ",""),"D",""),";",REPT(" ",30)),91,30))),0)+IFERROR(VALUE(TRIM(MID(SUBSTITUTE(SUBSTITUTE(SUBSTITUTE(UPPER($H418)," ",""),"D",""),";",REPT(" ",30)),121,30))),0)+IFERROR(VALUE(TRIM(MID(SUBSTITUTE(SUBSTITUTE(SUBSTITUTE(UPPER($H418)," ",""),"D",""),";",REPT(" ",30)),151,30))),0)+IFERROR(VALUE(TRIM(MID(SUBSTITUTE(SUBSTITUTE(SUBSTITUTE(UPPER($H418)," ",""),"D",""),";",REPT(" ",30)),181,30))),0)+IFERROR(VALUE(TRIM(MID(SUBSTITUTE(SUBSTITUTE(SUBSTITUTE(UPPER($H418)," ",""),"D",""),";",REPT(" ",30)),211,30))),0)))))</f>
        <v/>
      </c>
      <c r="K418" s="24" t="n"/>
      <c r="L418" s="8" t="n"/>
      <c r="M418" s="14" t="n"/>
      <c r="N418" s="25">
        <f>IF($C418="","",IF($E418="Falta","-",MAX(0,MIN(10,8+IFERROR(VALUE(TRIM(MID(SUBSTITUTE(SUBSTITUTE(SUBSTITUTE(UPPER($L418)," ",""),"F",""),";",REPT(" ",30)),1,30))),0)+IFERROR(VALUE(TRIM(MID(SUBSTITUTE(SUBSTITUTE(SUBSTITUTE(UPPER($L418)," ",""),"F",""),";",REPT(" ",30)),31,30))),0)+IFERROR(VALUE(TRIM(MID(SUBSTITUTE(SUBSTITUTE(SUBSTITUTE(UPPER($L418)," ",""),"F",""),";",REPT(" ",30)),61,30))),0)+IFERROR(VALUE(TRIM(MID(SUBSTITUTE(SUBSTITUTE(SUBSTITUTE(UPPER($L418)," ",""),"F",""),";",REPT(" ",30)),91,30))),0)+IFERROR(VALUE(TRIM(MID(SUBSTITUTE(SUBSTITUTE(SUBSTITUTE(UPPER($L418)," ",""),"F",""),";",REPT(" ",30)),121,30))),0)+IFERROR(VALUE(TRIM(MID(SUBSTITUTE(SUBSTITUTE(SUBSTITUTE(UPPER($L418)," ",""),"F",""),";",REPT(" ",30)),151,30))),0)+IFERROR(VALUE(TRIM(MID(SUBSTITUTE(SUBSTITUTE(SUBSTITUTE(UPPER($L418)," ",""),"F",""),";",REPT(" ",30)),181,30))),0)+IFERROR(VALUE(TRIM(MID(SUBSTITUTE(SUBSTITUTE(SUBSTITUTE(UPPER($L418)," ",""),"F",""),";",REPT(" ",30)),211,30))),0)))))</f>
        <v/>
      </c>
      <c r="O418" s="24" t="n"/>
      <c r="P418" s="8" t="n"/>
      <c r="Q418" s="14" t="n"/>
      <c r="R418" s="25">
        <f>IF($C418="","",IF($E418="Falta","-",MAX(0,MIN(10,5+IFERROR(VALUE(TRIM(MID(SUBSTITUTE(SUBSTITUTE(SUBSTITUTE(UPPER($P418)," ",""),"C",""),";",REPT(" ",30)),1,30))),0)+IFERROR(VALUE(TRIM(MID(SUBSTITUTE(SUBSTITUTE(SUBSTITUTE(UPPER($P418)," ",""),"C",""),";",REPT(" ",30)),31,30))),0)+IFERROR(VALUE(TRIM(MID(SUBSTITUTE(SUBSTITUTE(SUBSTITUTE(UPPER($P418)," ",""),"C",""),";",REPT(" ",30)),61,30))),0)+IFERROR(VALUE(TRIM(MID(SUBSTITUTE(SUBSTITUTE(SUBSTITUTE(UPPER($P418)," ",""),"C",""),";",REPT(" ",30)),91,30))),0)+IFERROR(VALUE(TRIM(MID(SUBSTITUTE(SUBSTITUTE(SUBSTITUTE(UPPER($P418)," ",""),"C",""),";",REPT(" ",30)),121,30))),0)+IFERROR(VALUE(TRIM(MID(SUBSTITUTE(SUBSTITUTE(SUBSTITUTE(UPPER($P418)," ",""),"C",""),";",REPT(" ",30)),151,30))),0)+IFERROR(VALUE(TRIM(MID(SUBSTITUTE(SUBSTITUTE(SUBSTITUTE(UPPER($P418)," ",""),"C",""),";",REPT(" ",30)),181,30))),0)+IFERROR(VALUE(TRIM(MID(SUBSTITUTE(SUBSTITUTE(SUBSTITUTE(UPPER($P418)," ",""),"C",""),";",REPT(" ",30)),211,30))),0)))))</f>
        <v/>
      </c>
      <c r="S418" s="24" t="n"/>
      <c r="T418" s="8" t="n"/>
      <c r="U418" s="14" t="n"/>
      <c r="V418" s="25">
        <f>IF($C418="","",IF($E418="Falta","-",MAX(0,MIN(10,5+IFERROR(VALUE(TRIM(MID(SUBSTITUTE(SUBSTITUTE(SUBSTITUTE(UPPER($T418)," ",""),"P",""),";",REPT(" ",30)),1,30))),0)+IFERROR(VALUE(TRIM(MID(SUBSTITUTE(SUBSTITUTE(SUBSTITUTE(UPPER($T418)," ",""),"P",""),";",REPT(" ",30)),31,30))),0)+IFERROR(VALUE(TRIM(MID(SUBSTITUTE(SUBSTITUTE(SUBSTITUTE(UPPER($T418)," ",""),"P",""),";",REPT(" ",30)),61,30))),0)+IFERROR(VALUE(TRIM(MID(SUBSTITUTE(SUBSTITUTE(SUBSTITUTE(UPPER($T418)," ",""),"P",""),";",REPT(" ",30)),91,30))),0)+IFERROR(VALUE(TRIM(MID(SUBSTITUTE(SUBSTITUTE(SUBSTITUTE(UPPER($T418)," ",""),"P",""),";",REPT(" ",30)),121,30))),0)+IFERROR(VALUE(TRIM(MID(SUBSTITUTE(SUBSTITUTE(SUBSTITUTE(UPPER($T418)," ",""),"P",""),";",REPT(" ",30)),151,30))),0)+IFERROR(VALUE(TRIM(MID(SUBSTITUTE(SUBSTITUTE(SUBSTITUTE(UPPER($T418)," ",""),"P",""),";",REPT(" ",30)),181,30))),0)+IFERROR(VALUE(TRIM(MID(SUBSTITUTE(SUBSTITUTE(SUBSTITUTE(UPPER($T418)," ",""),"P",""),";",REPT(" ",30)),211,30))),0)))))</f>
        <v/>
      </c>
      <c r="W418" s="24" t="n"/>
      <c r="X418" s="14" t="n"/>
    </row>
    <row r="419">
      <c r="A419" s="6">
        <f>IF($C419="","",84)</f>
        <v/>
      </c>
      <c r="B419" s="6">
        <f>IF($C419="","","1ª Sessão")</f>
        <v/>
      </c>
      <c r="C419" s="6">
        <f>IF(Preenchimento!$B$93="","",Preenchimento!$B$93)</f>
        <v/>
      </c>
      <c r="D419" s="6">
        <f>IF($C419="","",IF(Preenchimento!$C$93="","-",Preenchimento!$C$93))</f>
        <v/>
      </c>
      <c r="E419" s="6" t="n"/>
      <c r="F419" s="6" t="n"/>
      <c r="G419" s="26" t="n"/>
      <c r="H419" s="6" t="n"/>
      <c r="I419" s="13" t="n"/>
      <c r="J419" s="27">
        <f>IF($C419="","",IF($E419="Falta","-",MAX(0,MIN(10,8+IFERROR(VALUE(TRIM(MID(SUBSTITUTE(SUBSTITUTE(SUBSTITUTE(UPPER($H419)," ",""),"D",""),";",REPT(" ",30)),1,30))),0)+IFERROR(VALUE(TRIM(MID(SUBSTITUTE(SUBSTITUTE(SUBSTITUTE(UPPER($H419)," ",""),"D",""),";",REPT(" ",30)),31,30))),0)+IFERROR(VALUE(TRIM(MID(SUBSTITUTE(SUBSTITUTE(SUBSTITUTE(UPPER($H419)," ",""),"D",""),";",REPT(" ",30)),61,30))),0)+IFERROR(VALUE(TRIM(MID(SUBSTITUTE(SUBSTITUTE(SUBSTITUTE(UPPER($H419)," ",""),"D",""),";",REPT(" ",30)),91,30))),0)+IFERROR(VALUE(TRIM(MID(SUBSTITUTE(SUBSTITUTE(SUBSTITUTE(UPPER($H419)," ",""),"D",""),";",REPT(" ",30)),121,30))),0)+IFERROR(VALUE(TRIM(MID(SUBSTITUTE(SUBSTITUTE(SUBSTITUTE(UPPER($H419)," ",""),"D",""),";",REPT(" ",30)),151,30))),0)+IFERROR(VALUE(TRIM(MID(SUBSTITUTE(SUBSTITUTE(SUBSTITUTE(UPPER($H419)," ",""),"D",""),";",REPT(" ",30)),181,30))),0)+IFERROR(VALUE(TRIM(MID(SUBSTITUTE(SUBSTITUTE(SUBSTITUTE(UPPER($H419)," ",""),"D",""),";",REPT(" ",30)),211,30))),0)))))</f>
        <v/>
      </c>
      <c r="K419" s="26" t="n"/>
      <c r="L419" s="6" t="n"/>
      <c r="M419" s="13" t="n"/>
      <c r="N419" s="27">
        <f>IF($C419="","",IF($E419="Falta","-",MAX(0,MIN(10,8+IFERROR(VALUE(TRIM(MID(SUBSTITUTE(SUBSTITUTE(SUBSTITUTE(UPPER($L419)," ",""),"F",""),";",REPT(" ",30)),1,30))),0)+IFERROR(VALUE(TRIM(MID(SUBSTITUTE(SUBSTITUTE(SUBSTITUTE(UPPER($L419)," ",""),"F",""),";",REPT(" ",30)),31,30))),0)+IFERROR(VALUE(TRIM(MID(SUBSTITUTE(SUBSTITUTE(SUBSTITUTE(UPPER($L419)," ",""),"F",""),";",REPT(" ",30)),61,30))),0)+IFERROR(VALUE(TRIM(MID(SUBSTITUTE(SUBSTITUTE(SUBSTITUTE(UPPER($L419)," ",""),"F",""),";",REPT(" ",30)),91,30))),0)+IFERROR(VALUE(TRIM(MID(SUBSTITUTE(SUBSTITUTE(SUBSTITUTE(UPPER($L419)," ",""),"F",""),";",REPT(" ",30)),121,30))),0)+IFERROR(VALUE(TRIM(MID(SUBSTITUTE(SUBSTITUTE(SUBSTITUTE(UPPER($L419)," ",""),"F",""),";",REPT(" ",30)),151,30))),0)+IFERROR(VALUE(TRIM(MID(SUBSTITUTE(SUBSTITUTE(SUBSTITUTE(UPPER($L419)," ",""),"F",""),";",REPT(" ",30)),181,30))),0)+IFERROR(VALUE(TRIM(MID(SUBSTITUTE(SUBSTITUTE(SUBSTITUTE(UPPER($L419)," ",""),"F",""),";",REPT(" ",30)),211,30))),0)))))</f>
        <v/>
      </c>
      <c r="O419" s="26" t="n"/>
      <c r="P419" s="6" t="n"/>
      <c r="Q419" s="13" t="n"/>
      <c r="R419" s="27">
        <f>IF($C419="","",IF($E419="Falta","-",MAX(0,MIN(10,5+IFERROR(VALUE(TRIM(MID(SUBSTITUTE(SUBSTITUTE(SUBSTITUTE(UPPER($P419)," ",""),"C",""),";",REPT(" ",30)),1,30))),0)+IFERROR(VALUE(TRIM(MID(SUBSTITUTE(SUBSTITUTE(SUBSTITUTE(UPPER($P419)," ",""),"C",""),";",REPT(" ",30)),31,30))),0)+IFERROR(VALUE(TRIM(MID(SUBSTITUTE(SUBSTITUTE(SUBSTITUTE(UPPER($P419)," ",""),"C",""),";",REPT(" ",30)),61,30))),0)+IFERROR(VALUE(TRIM(MID(SUBSTITUTE(SUBSTITUTE(SUBSTITUTE(UPPER($P419)," ",""),"C",""),";",REPT(" ",30)),91,30))),0)+IFERROR(VALUE(TRIM(MID(SUBSTITUTE(SUBSTITUTE(SUBSTITUTE(UPPER($P419)," ",""),"C",""),";",REPT(" ",30)),121,30))),0)+IFERROR(VALUE(TRIM(MID(SUBSTITUTE(SUBSTITUTE(SUBSTITUTE(UPPER($P419)," ",""),"C",""),";",REPT(" ",30)),151,30))),0)+IFERROR(VALUE(TRIM(MID(SUBSTITUTE(SUBSTITUTE(SUBSTITUTE(UPPER($P419)," ",""),"C",""),";",REPT(" ",30)),181,30))),0)+IFERROR(VALUE(TRIM(MID(SUBSTITUTE(SUBSTITUTE(SUBSTITUTE(UPPER($P419)," ",""),"C",""),";",REPT(" ",30)),211,30))),0)))))</f>
        <v/>
      </c>
      <c r="S419" s="26" t="n"/>
      <c r="T419" s="6" t="n"/>
      <c r="U419" s="13" t="n"/>
      <c r="V419" s="27">
        <f>IF($C419="","",IF($E419="Falta","-",MAX(0,MIN(10,5+IFERROR(VALUE(TRIM(MID(SUBSTITUTE(SUBSTITUTE(SUBSTITUTE(UPPER($T419)," ",""),"P",""),";",REPT(" ",30)),1,30))),0)+IFERROR(VALUE(TRIM(MID(SUBSTITUTE(SUBSTITUTE(SUBSTITUTE(UPPER($T419)," ",""),"P",""),";",REPT(" ",30)),31,30))),0)+IFERROR(VALUE(TRIM(MID(SUBSTITUTE(SUBSTITUTE(SUBSTITUTE(UPPER($T419)," ",""),"P",""),";",REPT(" ",30)),61,30))),0)+IFERROR(VALUE(TRIM(MID(SUBSTITUTE(SUBSTITUTE(SUBSTITUTE(UPPER($T419)," ",""),"P",""),";",REPT(" ",30)),91,30))),0)+IFERROR(VALUE(TRIM(MID(SUBSTITUTE(SUBSTITUTE(SUBSTITUTE(UPPER($T419)," ",""),"P",""),";",REPT(" ",30)),121,30))),0)+IFERROR(VALUE(TRIM(MID(SUBSTITUTE(SUBSTITUTE(SUBSTITUTE(UPPER($T419)," ",""),"P",""),";",REPT(" ",30)),151,30))),0)+IFERROR(VALUE(TRIM(MID(SUBSTITUTE(SUBSTITUTE(SUBSTITUTE(UPPER($T419)," ",""),"P",""),";",REPT(" ",30)),181,30))),0)+IFERROR(VALUE(TRIM(MID(SUBSTITUTE(SUBSTITUTE(SUBSTITUTE(UPPER($T419)," ",""),"P",""),";",REPT(" ",30)),211,30))),0)))))</f>
        <v/>
      </c>
      <c r="W419" s="26" t="n"/>
      <c r="X419" s="13" t="n"/>
    </row>
    <row r="420">
      <c r="A420" s="6">
        <f>IF($C420="","",84)</f>
        <v/>
      </c>
      <c r="B420" s="6">
        <f>IF($C420="","","2ª Sessão")</f>
        <v/>
      </c>
      <c r="C420" s="6">
        <f>IF(Preenchimento!$B$93="","",Preenchimento!$B$93)</f>
        <v/>
      </c>
      <c r="D420" s="6">
        <f>IF($C420="","",IF(Preenchimento!$C$93="","-",Preenchimento!$C$93))</f>
        <v/>
      </c>
      <c r="E420" s="6" t="n"/>
      <c r="F420" s="6" t="n"/>
      <c r="G420" s="26" t="n"/>
      <c r="H420" s="6" t="n"/>
      <c r="I420" s="13" t="n"/>
      <c r="J420" s="27">
        <f>IF($C420="","",IF($E420="Falta","-",MAX(0,MIN(10,8+IFERROR(VALUE(TRIM(MID(SUBSTITUTE(SUBSTITUTE(SUBSTITUTE(UPPER($H420)," ",""),"D",""),";",REPT(" ",30)),1,30))),0)+IFERROR(VALUE(TRIM(MID(SUBSTITUTE(SUBSTITUTE(SUBSTITUTE(UPPER($H420)," ",""),"D",""),";",REPT(" ",30)),31,30))),0)+IFERROR(VALUE(TRIM(MID(SUBSTITUTE(SUBSTITUTE(SUBSTITUTE(UPPER($H420)," ",""),"D",""),";",REPT(" ",30)),61,30))),0)+IFERROR(VALUE(TRIM(MID(SUBSTITUTE(SUBSTITUTE(SUBSTITUTE(UPPER($H420)," ",""),"D",""),";",REPT(" ",30)),91,30))),0)+IFERROR(VALUE(TRIM(MID(SUBSTITUTE(SUBSTITUTE(SUBSTITUTE(UPPER($H420)," ",""),"D",""),";",REPT(" ",30)),121,30))),0)+IFERROR(VALUE(TRIM(MID(SUBSTITUTE(SUBSTITUTE(SUBSTITUTE(UPPER($H420)," ",""),"D",""),";",REPT(" ",30)),151,30))),0)+IFERROR(VALUE(TRIM(MID(SUBSTITUTE(SUBSTITUTE(SUBSTITUTE(UPPER($H420)," ",""),"D",""),";",REPT(" ",30)),181,30))),0)+IFERROR(VALUE(TRIM(MID(SUBSTITUTE(SUBSTITUTE(SUBSTITUTE(UPPER($H420)," ",""),"D",""),";",REPT(" ",30)),211,30))),0)))))</f>
        <v/>
      </c>
      <c r="K420" s="26" t="n"/>
      <c r="L420" s="6" t="n"/>
      <c r="M420" s="13" t="n"/>
      <c r="N420" s="27">
        <f>IF($C420="","",IF($E420="Falta","-",MAX(0,MIN(10,8+IFERROR(VALUE(TRIM(MID(SUBSTITUTE(SUBSTITUTE(SUBSTITUTE(UPPER($L420)," ",""),"F",""),";",REPT(" ",30)),1,30))),0)+IFERROR(VALUE(TRIM(MID(SUBSTITUTE(SUBSTITUTE(SUBSTITUTE(UPPER($L420)," ",""),"F",""),";",REPT(" ",30)),31,30))),0)+IFERROR(VALUE(TRIM(MID(SUBSTITUTE(SUBSTITUTE(SUBSTITUTE(UPPER($L420)," ",""),"F",""),";",REPT(" ",30)),61,30))),0)+IFERROR(VALUE(TRIM(MID(SUBSTITUTE(SUBSTITUTE(SUBSTITUTE(UPPER($L420)," ",""),"F",""),";",REPT(" ",30)),91,30))),0)+IFERROR(VALUE(TRIM(MID(SUBSTITUTE(SUBSTITUTE(SUBSTITUTE(UPPER($L420)," ",""),"F",""),";",REPT(" ",30)),121,30))),0)+IFERROR(VALUE(TRIM(MID(SUBSTITUTE(SUBSTITUTE(SUBSTITUTE(UPPER($L420)," ",""),"F",""),";",REPT(" ",30)),151,30))),0)+IFERROR(VALUE(TRIM(MID(SUBSTITUTE(SUBSTITUTE(SUBSTITUTE(UPPER($L420)," ",""),"F",""),";",REPT(" ",30)),181,30))),0)+IFERROR(VALUE(TRIM(MID(SUBSTITUTE(SUBSTITUTE(SUBSTITUTE(UPPER($L420)," ",""),"F",""),";",REPT(" ",30)),211,30))),0)))))</f>
        <v/>
      </c>
      <c r="O420" s="26" t="n"/>
      <c r="P420" s="6" t="n"/>
      <c r="Q420" s="13" t="n"/>
      <c r="R420" s="27">
        <f>IF($C420="","",IF($E420="Falta","-",MAX(0,MIN(10,5+IFERROR(VALUE(TRIM(MID(SUBSTITUTE(SUBSTITUTE(SUBSTITUTE(UPPER($P420)," ",""),"C",""),";",REPT(" ",30)),1,30))),0)+IFERROR(VALUE(TRIM(MID(SUBSTITUTE(SUBSTITUTE(SUBSTITUTE(UPPER($P420)," ",""),"C",""),";",REPT(" ",30)),31,30))),0)+IFERROR(VALUE(TRIM(MID(SUBSTITUTE(SUBSTITUTE(SUBSTITUTE(UPPER($P420)," ",""),"C",""),";",REPT(" ",30)),61,30))),0)+IFERROR(VALUE(TRIM(MID(SUBSTITUTE(SUBSTITUTE(SUBSTITUTE(UPPER($P420)," ",""),"C",""),";",REPT(" ",30)),91,30))),0)+IFERROR(VALUE(TRIM(MID(SUBSTITUTE(SUBSTITUTE(SUBSTITUTE(UPPER($P420)," ",""),"C",""),";",REPT(" ",30)),121,30))),0)+IFERROR(VALUE(TRIM(MID(SUBSTITUTE(SUBSTITUTE(SUBSTITUTE(UPPER($P420)," ",""),"C",""),";",REPT(" ",30)),151,30))),0)+IFERROR(VALUE(TRIM(MID(SUBSTITUTE(SUBSTITUTE(SUBSTITUTE(UPPER($P420)," ",""),"C",""),";",REPT(" ",30)),181,30))),0)+IFERROR(VALUE(TRIM(MID(SUBSTITUTE(SUBSTITUTE(SUBSTITUTE(UPPER($P420)," ",""),"C",""),";",REPT(" ",30)),211,30))),0)))))</f>
        <v/>
      </c>
      <c r="S420" s="26" t="n"/>
      <c r="T420" s="6" t="n"/>
      <c r="U420" s="13" t="n"/>
      <c r="V420" s="27">
        <f>IF($C420="","",IF($E420="Falta","-",MAX(0,MIN(10,5+IFERROR(VALUE(TRIM(MID(SUBSTITUTE(SUBSTITUTE(SUBSTITUTE(UPPER($T420)," ",""),"P",""),";",REPT(" ",30)),1,30))),0)+IFERROR(VALUE(TRIM(MID(SUBSTITUTE(SUBSTITUTE(SUBSTITUTE(UPPER($T420)," ",""),"P",""),";",REPT(" ",30)),31,30))),0)+IFERROR(VALUE(TRIM(MID(SUBSTITUTE(SUBSTITUTE(SUBSTITUTE(UPPER($T420)," ",""),"P",""),";",REPT(" ",30)),61,30))),0)+IFERROR(VALUE(TRIM(MID(SUBSTITUTE(SUBSTITUTE(SUBSTITUTE(UPPER($T420)," ",""),"P",""),";",REPT(" ",30)),91,30))),0)+IFERROR(VALUE(TRIM(MID(SUBSTITUTE(SUBSTITUTE(SUBSTITUTE(UPPER($T420)," ",""),"P",""),";",REPT(" ",30)),121,30))),0)+IFERROR(VALUE(TRIM(MID(SUBSTITUTE(SUBSTITUTE(SUBSTITUTE(UPPER($T420)," ",""),"P",""),";",REPT(" ",30)),151,30))),0)+IFERROR(VALUE(TRIM(MID(SUBSTITUTE(SUBSTITUTE(SUBSTITUTE(UPPER($T420)," ",""),"P",""),";",REPT(" ",30)),181,30))),0)+IFERROR(VALUE(TRIM(MID(SUBSTITUTE(SUBSTITUTE(SUBSTITUTE(UPPER($T420)," ",""),"P",""),";",REPT(" ",30)),211,30))),0)))))</f>
        <v/>
      </c>
      <c r="W420" s="26" t="n"/>
      <c r="X420" s="13" t="n"/>
    </row>
    <row r="421">
      <c r="A421" s="6">
        <f>IF($C421="","",84)</f>
        <v/>
      </c>
      <c r="B421" s="6">
        <f>IF($C421="","","3ª Sessão")</f>
        <v/>
      </c>
      <c r="C421" s="6">
        <f>IF(Preenchimento!$B$93="","",Preenchimento!$B$93)</f>
        <v/>
      </c>
      <c r="D421" s="6">
        <f>IF($C421="","",IF(Preenchimento!$C$93="","-",Preenchimento!$C$93))</f>
        <v/>
      </c>
      <c r="E421" s="6" t="n"/>
      <c r="F421" s="6" t="n"/>
      <c r="G421" s="26" t="n"/>
      <c r="H421" s="6" t="n"/>
      <c r="I421" s="13" t="n"/>
      <c r="J421" s="27">
        <f>IF($C421="","",IF($E421="Falta","-",MAX(0,MIN(10,8+IFERROR(VALUE(TRIM(MID(SUBSTITUTE(SUBSTITUTE(SUBSTITUTE(UPPER($H421)," ",""),"D",""),";",REPT(" ",30)),1,30))),0)+IFERROR(VALUE(TRIM(MID(SUBSTITUTE(SUBSTITUTE(SUBSTITUTE(UPPER($H421)," ",""),"D",""),";",REPT(" ",30)),31,30))),0)+IFERROR(VALUE(TRIM(MID(SUBSTITUTE(SUBSTITUTE(SUBSTITUTE(UPPER($H421)," ",""),"D",""),";",REPT(" ",30)),61,30))),0)+IFERROR(VALUE(TRIM(MID(SUBSTITUTE(SUBSTITUTE(SUBSTITUTE(UPPER($H421)," ",""),"D",""),";",REPT(" ",30)),91,30))),0)+IFERROR(VALUE(TRIM(MID(SUBSTITUTE(SUBSTITUTE(SUBSTITUTE(UPPER($H421)," ",""),"D",""),";",REPT(" ",30)),121,30))),0)+IFERROR(VALUE(TRIM(MID(SUBSTITUTE(SUBSTITUTE(SUBSTITUTE(UPPER($H421)," ",""),"D",""),";",REPT(" ",30)),151,30))),0)+IFERROR(VALUE(TRIM(MID(SUBSTITUTE(SUBSTITUTE(SUBSTITUTE(UPPER($H421)," ",""),"D",""),";",REPT(" ",30)),181,30))),0)+IFERROR(VALUE(TRIM(MID(SUBSTITUTE(SUBSTITUTE(SUBSTITUTE(UPPER($H421)," ",""),"D",""),";",REPT(" ",30)),211,30))),0)))))</f>
        <v/>
      </c>
      <c r="K421" s="26" t="n"/>
      <c r="L421" s="6" t="n"/>
      <c r="M421" s="13" t="n"/>
      <c r="N421" s="27">
        <f>IF($C421="","",IF($E421="Falta","-",MAX(0,MIN(10,8+IFERROR(VALUE(TRIM(MID(SUBSTITUTE(SUBSTITUTE(SUBSTITUTE(UPPER($L421)," ",""),"F",""),";",REPT(" ",30)),1,30))),0)+IFERROR(VALUE(TRIM(MID(SUBSTITUTE(SUBSTITUTE(SUBSTITUTE(UPPER($L421)," ",""),"F",""),";",REPT(" ",30)),31,30))),0)+IFERROR(VALUE(TRIM(MID(SUBSTITUTE(SUBSTITUTE(SUBSTITUTE(UPPER($L421)," ",""),"F",""),";",REPT(" ",30)),61,30))),0)+IFERROR(VALUE(TRIM(MID(SUBSTITUTE(SUBSTITUTE(SUBSTITUTE(UPPER($L421)," ",""),"F",""),";",REPT(" ",30)),91,30))),0)+IFERROR(VALUE(TRIM(MID(SUBSTITUTE(SUBSTITUTE(SUBSTITUTE(UPPER($L421)," ",""),"F",""),";",REPT(" ",30)),121,30))),0)+IFERROR(VALUE(TRIM(MID(SUBSTITUTE(SUBSTITUTE(SUBSTITUTE(UPPER($L421)," ",""),"F",""),";",REPT(" ",30)),151,30))),0)+IFERROR(VALUE(TRIM(MID(SUBSTITUTE(SUBSTITUTE(SUBSTITUTE(UPPER($L421)," ",""),"F",""),";",REPT(" ",30)),181,30))),0)+IFERROR(VALUE(TRIM(MID(SUBSTITUTE(SUBSTITUTE(SUBSTITUTE(UPPER($L421)," ",""),"F",""),";",REPT(" ",30)),211,30))),0)))))</f>
        <v/>
      </c>
      <c r="O421" s="26" t="n"/>
      <c r="P421" s="6" t="n"/>
      <c r="Q421" s="13" t="n"/>
      <c r="R421" s="27">
        <f>IF($C421="","",IF($E421="Falta","-",MAX(0,MIN(10,5+IFERROR(VALUE(TRIM(MID(SUBSTITUTE(SUBSTITUTE(SUBSTITUTE(UPPER($P421)," ",""),"C",""),";",REPT(" ",30)),1,30))),0)+IFERROR(VALUE(TRIM(MID(SUBSTITUTE(SUBSTITUTE(SUBSTITUTE(UPPER($P421)," ",""),"C",""),";",REPT(" ",30)),31,30))),0)+IFERROR(VALUE(TRIM(MID(SUBSTITUTE(SUBSTITUTE(SUBSTITUTE(UPPER($P421)," ",""),"C",""),";",REPT(" ",30)),61,30))),0)+IFERROR(VALUE(TRIM(MID(SUBSTITUTE(SUBSTITUTE(SUBSTITUTE(UPPER($P421)," ",""),"C",""),";",REPT(" ",30)),91,30))),0)+IFERROR(VALUE(TRIM(MID(SUBSTITUTE(SUBSTITUTE(SUBSTITUTE(UPPER($P421)," ",""),"C",""),";",REPT(" ",30)),121,30))),0)+IFERROR(VALUE(TRIM(MID(SUBSTITUTE(SUBSTITUTE(SUBSTITUTE(UPPER($P421)," ",""),"C",""),";",REPT(" ",30)),151,30))),0)+IFERROR(VALUE(TRIM(MID(SUBSTITUTE(SUBSTITUTE(SUBSTITUTE(UPPER($P421)," ",""),"C",""),";",REPT(" ",30)),181,30))),0)+IFERROR(VALUE(TRIM(MID(SUBSTITUTE(SUBSTITUTE(SUBSTITUTE(UPPER($P421)," ",""),"C",""),";",REPT(" ",30)),211,30))),0)))))</f>
        <v/>
      </c>
      <c r="S421" s="26" t="n"/>
      <c r="T421" s="6" t="n"/>
      <c r="U421" s="13" t="n"/>
      <c r="V421" s="27">
        <f>IF($C421="","",IF($E421="Falta","-",MAX(0,MIN(10,5+IFERROR(VALUE(TRIM(MID(SUBSTITUTE(SUBSTITUTE(SUBSTITUTE(UPPER($T421)," ",""),"P",""),";",REPT(" ",30)),1,30))),0)+IFERROR(VALUE(TRIM(MID(SUBSTITUTE(SUBSTITUTE(SUBSTITUTE(UPPER($T421)," ",""),"P",""),";",REPT(" ",30)),31,30))),0)+IFERROR(VALUE(TRIM(MID(SUBSTITUTE(SUBSTITUTE(SUBSTITUTE(UPPER($T421)," ",""),"P",""),";",REPT(" ",30)),61,30))),0)+IFERROR(VALUE(TRIM(MID(SUBSTITUTE(SUBSTITUTE(SUBSTITUTE(UPPER($T421)," ",""),"P",""),";",REPT(" ",30)),91,30))),0)+IFERROR(VALUE(TRIM(MID(SUBSTITUTE(SUBSTITUTE(SUBSTITUTE(UPPER($T421)," ",""),"P",""),";",REPT(" ",30)),121,30))),0)+IFERROR(VALUE(TRIM(MID(SUBSTITUTE(SUBSTITUTE(SUBSTITUTE(UPPER($T421)," ",""),"P",""),";",REPT(" ",30)),151,30))),0)+IFERROR(VALUE(TRIM(MID(SUBSTITUTE(SUBSTITUTE(SUBSTITUTE(UPPER($T421)," ",""),"P",""),";",REPT(" ",30)),181,30))),0)+IFERROR(VALUE(TRIM(MID(SUBSTITUTE(SUBSTITUTE(SUBSTITUTE(UPPER($T421)," ",""),"P",""),";",REPT(" ",30)),211,30))),0)))))</f>
        <v/>
      </c>
      <c r="W421" s="26" t="n"/>
      <c r="X421" s="13" t="n"/>
    </row>
    <row r="422">
      <c r="A422" s="6">
        <f>IF($C422="","",84)</f>
        <v/>
      </c>
      <c r="B422" s="6">
        <f>IF($C422="","","4ª Sessão")</f>
        <v/>
      </c>
      <c r="C422" s="6">
        <f>IF(Preenchimento!$B$93="","",Preenchimento!$B$93)</f>
        <v/>
      </c>
      <c r="D422" s="6">
        <f>IF($C422="","",IF(Preenchimento!$C$93="","-",Preenchimento!$C$93))</f>
        <v/>
      </c>
      <c r="E422" s="6" t="n"/>
      <c r="F422" s="6" t="n"/>
      <c r="G422" s="26" t="n"/>
      <c r="H422" s="6" t="n"/>
      <c r="I422" s="13" t="n"/>
      <c r="J422" s="27">
        <f>IF($C422="","",IF($E422="Falta","-",MAX(0,MIN(10,8+IFERROR(VALUE(TRIM(MID(SUBSTITUTE(SUBSTITUTE(SUBSTITUTE(UPPER($H422)," ",""),"D",""),";",REPT(" ",30)),1,30))),0)+IFERROR(VALUE(TRIM(MID(SUBSTITUTE(SUBSTITUTE(SUBSTITUTE(UPPER($H422)," ",""),"D",""),";",REPT(" ",30)),31,30))),0)+IFERROR(VALUE(TRIM(MID(SUBSTITUTE(SUBSTITUTE(SUBSTITUTE(UPPER($H422)," ",""),"D",""),";",REPT(" ",30)),61,30))),0)+IFERROR(VALUE(TRIM(MID(SUBSTITUTE(SUBSTITUTE(SUBSTITUTE(UPPER($H422)," ",""),"D",""),";",REPT(" ",30)),91,30))),0)+IFERROR(VALUE(TRIM(MID(SUBSTITUTE(SUBSTITUTE(SUBSTITUTE(UPPER($H422)," ",""),"D",""),";",REPT(" ",30)),121,30))),0)+IFERROR(VALUE(TRIM(MID(SUBSTITUTE(SUBSTITUTE(SUBSTITUTE(UPPER($H422)," ",""),"D",""),";",REPT(" ",30)),151,30))),0)+IFERROR(VALUE(TRIM(MID(SUBSTITUTE(SUBSTITUTE(SUBSTITUTE(UPPER($H422)," ",""),"D",""),";",REPT(" ",30)),181,30))),0)+IFERROR(VALUE(TRIM(MID(SUBSTITUTE(SUBSTITUTE(SUBSTITUTE(UPPER($H422)," ",""),"D",""),";",REPT(" ",30)),211,30))),0)))))</f>
        <v/>
      </c>
      <c r="K422" s="26" t="n"/>
      <c r="L422" s="6" t="n"/>
      <c r="M422" s="13" t="n"/>
      <c r="N422" s="27">
        <f>IF($C422="","",IF($E422="Falta","-",MAX(0,MIN(10,8+IFERROR(VALUE(TRIM(MID(SUBSTITUTE(SUBSTITUTE(SUBSTITUTE(UPPER($L422)," ",""),"F",""),";",REPT(" ",30)),1,30))),0)+IFERROR(VALUE(TRIM(MID(SUBSTITUTE(SUBSTITUTE(SUBSTITUTE(UPPER($L422)," ",""),"F",""),";",REPT(" ",30)),31,30))),0)+IFERROR(VALUE(TRIM(MID(SUBSTITUTE(SUBSTITUTE(SUBSTITUTE(UPPER($L422)," ",""),"F",""),";",REPT(" ",30)),61,30))),0)+IFERROR(VALUE(TRIM(MID(SUBSTITUTE(SUBSTITUTE(SUBSTITUTE(UPPER($L422)," ",""),"F",""),";",REPT(" ",30)),91,30))),0)+IFERROR(VALUE(TRIM(MID(SUBSTITUTE(SUBSTITUTE(SUBSTITUTE(UPPER($L422)," ",""),"F",""),";",REPT(" ",30)),121,30))),0)+IFERROR(VALUE(TRIM(MID(SUBSTITUTE(SUBSTITUTE(SUBSTITUTE(UPPER($L422)," ",""),"F",""),";",REPT(" ",30)),151,30))),0)+IFERROR(VALUE(TRIM(MID(SUBSTITUTE(SUBSTITUTE(SUBSTITUTE(UPPER($L422)," ",""),"F",""),";",REPT(" ",30)),181,30))),0)+IFERROR(VALUE(TRIM(MID(SUBSTITUTE(SUBSTITUTE(SUBSTITUTE(UPPER($L422)," ",""),"F",""),";",REPT(" ",30)),211,30))),0)))))</f>
        <v/>
      </c>
      <c r="O422" s="26" t="n"/>
      <c r="P422" s="6" t="n"/>
      <c r="Q422" s="13" t="n"/>
      <c r="R422" s="27">
        <f>IF($C422="","",IF($E422="Falta","-",MAX(0,MIN(10,5+IFERROR(VALUE(TRIM(MID(SUBSTITUTE(SUBSTITUTE(SUBSTITUTE(UPPER($P422)," ",""),"C",""),";",REPT(" ",30)),1,30))),0)+IFERROR(VALUE(TRIM(MID(SUBSTITUTE(SUBSTITUTE(SUBSTITUTE(UPPER($P422)," ",""),"C",""),";",REPT(" ",30)),31,30))),0)+IFERROR(VALUE(TRIM(MID(SUBSTITUTE(SUBSTITUTE(SUBSTITUTE(UPPER($P422)," ",""),"C",""),";",REPT(" ",30)),61,30))),0)+IFERROR(VALUE(TRIM(MID(SUBSTITUTE(SUBSTITUTE(SUBSTITUTE(UPPER($P422)," ",""),"C",""),";",REPT(" ",30)),91,30))),0)+IFERROR(VALUE(TRIM(MID(SUBSTITUTE(SUBSTITUTE(SUBSTITUTE(UPPER($P422)," ",""),"C",""),";",REPT(" ",30)),121,30))),0)+IFERROR(VALUE(TRIM(MID(SUBSTITUTE(SUBSTITUTE(SUBSTITUTE(UPPER($P422)," ",""),"C",""),";",REPT(" ",30)),151,30))),0)+IFERROR(VALUE(TRIM(MID(SUBSTITUTE(SUBSTITUTE(SUBSTITUTE(UPPER($P422)," ",""),"C",""),";",REPT(" ",30)),181,30))),0)+IFERROR(VALUE(TRIM(MID(SUBSTITUTE(SUBSTITUTE(SUBSTITUTE(UPPER($P422)," ",""),"C",""),";",REPT(" ",30)),211,30))),0)))))</f>
        <v/>
      </c>
      <c r="S422" s="26" t="n"/>
      <c r="T422" s="6" t="n"/>
      <c r="U422" s="13" t="n"/>
      <c r="V422" s="27">
        <f>IF($C422="","",IF($E422="Falta","-",MAX(0,MIN(10,5+IFERROR(VALUE(TRIM(MID(SUBSTITUTE(SUBSTITUTE(SUBSTITUTE(UPPER($T422)," ",""),"P",""),";",REPT(" ",30)),1,30))),0)+IFERROR(VALUE(TRIM(MID(SUBSTITUTE(SUBSTITUTE(SUBSTITUTE(UPPER($T422)," ",""),"P",""),";",REPT(" ",30)),31,30))),0)+IFERROR(VALUE(TRIM(MID(SUBSTITUTE(SUBSTITUTE(SUBSTITUTE(UPPER($T422)," ",""),"P",""),";",REPT(" ",30)),61,30))),0)+IFERROR(VALUE(TRIM(MID(SUBSTITUTE(SUBSTITUTE(SUBSTITUTE(UPPER($T422)," ",""),"P",""),";",REPT(" ",30)),91,30))),0)+IFERROR(VALUE(TRIM(MID(SUBSTITUTE(SUBSTITUTE(SUBSTITUTE(UPPER($T422)," ",""),"P",""),";",REPT(" ",30)),121,30))),0)+IFERROR(VALUE(TRIM(MID(SUBSTITUTE(SUBSTITUTE(SUBSTITUTE(UPPER($T422)," ",""),"P",""),";",REPT(" ",30)),151,30))),0)+IFERROR(VALUE(TRIM(MID(SUBSTITUTE(SUBSTITUTE(SUBSTITUTE(UPPER($T422)," ",""),"P",""),";",REPT(" ",30)),181,30))),0)+IFERROR(VALUE(TRIM(MID(SUBSTITUTE(SUBSTITUTE(SUBSTITUTE(UPPER($T422)," ",""),"P",""),";",REPT(" ",30)),211,30))),0)))))</f>
        <v/>
      </c>
      <c r="W422" s="26" t="n"/>
      <c r="X422" s="13" t="n"/>
    </row>
    <row r="423">
      <c r="A423" s="6">
        <f>IF($C423="","",84)</f>
        <v/>
      </c>
      <c r="B423" s="6">
        <f>IF($C423="","","5ª Sessão")</f>
        <v/>
      </c>
      <c r="C423" s="6">
        <f>IF(Preenchimento!$B$93="","",Preenchimento!$B$93)</f>
        <v/>
      </c>
      <c r="D423" s="6">
        <f>IF($C423="","",IF(Preenchimento!$C$93="","-",Preenchimento!$C$93))</f>
        <v/>
      </c>
      <c r="E423" s="6" t="n"/>
      <c r="F423" s="6" t="n"/>
      <c r="G423" s="26" t="n"/>
      <c r="H423" s="6" t="n"/>
      <c r="I423" s="13" t="n"/>
      <c r="J423" s="27">
        <f>IF($C423="","",IF($E423="Falta","-",MAX(0,MIN(10,8+IFERROR(VALUE(TRIM(MID(SUBSTITUTE(SUBSTITUTE(SUBSTITUTE(UPPER($H423)," ",""),"D",""),";",REPT(" ",30)),1,30))),0)+IFERROR(VALUE(TRIM(MID(SUBSTITUTE(SUBSTITUTE(SUBSTITUTE(UPPER($H423)," ",""),"D",""),";",REPT(" ",30)),31,30))),0)+IFERROR(VALUE(TRIM(MID(SUBSTITUTE(SUBSTITUTE(SUBSTITUTE(UPPER($H423)," ",""),"D",""),";",REPT(" ",30)),61,30))),0)+IFERROR(VALUE(TRIM(MID(SUBSTITUTE(SUBSTITUTE(SUBSTITUTE(UPPER($H423)," ",""),"D",""),";",REPT(" ",30)),91,30))),0)+IFERROR(VALUE(TRIM(MID(SUBSTITUTE(SUBSTITUTE(SUBSTITUTE(UPPER($H423)," ",""),"D",""),";",REPT(" ",30)),121,30))),0)+IFERROR(VALUE(TRIM(MID(SUBSTITUTE(SUBSTITUTE(SUBSTITUTE(UPPER($H423)," ",""),"D",""),";",REPT(" ",30)),151,30))),0)+IFERROR(VALUE(TRIM(MID(SUBSTITUTE(SUBSTITUTE(SUBSTITUTE(UPPER($H423)," ",""),"D",""),";",REPT(" ",30)),181,30))),0)+IFERROR(VALUE(TRIM(MID(SUBSTITUTE(SUBSTITUTE(SUBSTITUTE(UPPER($H423)," ",""),"D",""),";",REPT(" ",30)),211,30))),0)))))</f>
        <v/>
      </c>
      <c r="K423" s="26" t="n"/>
      <c r="L423" s="6" t="n"/>
      <c r="M423" s="13" t="n"/>
      <c r="N423" s="27">
        <f>IF($C423="","",IF($E423="Falta","-",MAX(0,MIN(10,8+IFERROR(VALUE(TRIM(MID(SUBSTITUTE(SUBSTITUTE(SUBSTITUTE(UPPER($L423)," ",""),"F",""),";",REPT(" ",30)),1,30))),0)+IFERROR(VALUE(TRIM(MID(SUBSTITUTE(SUBSTITUTE(SUBSTITUTE(UPPER($L423)," ",""),"F",""),";",REPT(" ",30)),31,30))),0)+IFERROR(VALUE(TRIM(MID(SUBSTITUTE(SUBSTITUTE(SUBSTITUTE(UPPER($L423)," ",""),"F",""),";",REPT(" ",30)),61,30))),0)+IFERROR(VALUE(TRIM(MID(SUBSTITUTE(SUBSTITUTE(SUBSTITUTE(UPPER($L423)," ",""),"F",""),";",REPT(" ",30)),91,30))),0)+IFERROR(VALUE(TRIM(MID(SUBSTITUTE(SUBSTITUTE(SUBSTITUTE(UPPER($L423)," ",""),"F",""),";",REPT(" ",30)),121,30))),0)+IFERROR(VALUE(TRIM(MID(SUBSTITUTE(SUBSTITUTE(SUBSTITUTE(UPPER($L423)," ",""),"F",""),";",REPT(" ",30)),151,30))),0)+IFERROR(VALUE(TRIM(MID(SUBSTITUTE(SUBSTITUTE(SUBSTITUTE(UPPER($L423)," ",""),"F",""),";",REPT(" ",30)),181,30))),0)+IFERROR(VALUE(TRIM(MID(SUBSTITUTE(SUBSTITUTE(SUBSTITUTE(UPPER($L423)," ",""),"F",""),";",REPT(" ",30)),211,30))),0)))))</f>
        <v/>
      </c>
      <c r="O423" s="26" t="n"/>
      <c r="P423" s="6" t="n"/>
      <c r="Q423" s="13" t="n"/>
      <c r="R423" s="27">
        <f>IF($C423="","",IF($E423="Falta","-",MAX(0,MIN(10,5+IFERROR(VALUE(TRIM(MID(SUBSTITUTE(SUBSTITUTE(SUBSTITUTE(UPPER($P423)," ",""),"C",""),";",REPT(" ",30)),1,30))),0)+IFERROR(VALUE(TRIM(MID(SUBSTITUTE(SUBSTITUTE(SUBSTITUTE(UPPER($P423)," ",""),"C",""),";",REPT(" ",30)),31,30))),0)+IFERROR(VALUE(TRIM(MID(SUBSTITUTE(SUBSTITUTE(SUBSTITUTE(UPPER($P423)," ",""),"C",""),";",REPT(" ",30)),61,30))),0)+IFERROR(VALUE(TRIM(MID(SUBSTITUTE(SUBSTITUTE(SUBSTITUTE(UPPER($P423)," ",""),"C",""),";",REPT(" ",30)),91,30))),0)+IFERROR(VALUE(TRIM(MID(SUBSTITUTE(SUBSTITUTE(SUBSTITUTE(UPPER($P423)," ",""),"C",""),";",REPT(" ",30)),121,30))),0)+IFERROR(VALUE(TRIM(MID(SUBSTITUTE(SUBSTITUTE(SUBSTITUTE(UPPER($P423)," ",""),"C",""),";",REPT(" ",30)),151,30))),0)+IFERROR(VALUE(TRIM(MID(SUBSTITUTE(SUBSTITUTE(SUBSTITUTE(UPPER($P423)," ",""),"C",""),";",REPT(" ",30)),181,30))),0)+IFERROR(VALUE(TRIM(MID(SUBSTITUTE(SUBSTITUTE(SUBSTITUTE(UPPER($P423)," ",""),"C",""),";",REPT(" ",30)),211,30))),0)))))</f>
        <v/>
      </c>
      <c r="S423" s="26" t="n"/>
      <c r="T423" s="6" t="n"/>
      <c r="U423" s="13" t="n"/>
      <c r="V423" s="27">
        <f>IF($C423="","",IF($E423="Falta","-",MAX(0,MIN(10,5+IFERROR(VALUE(TRIM(MID(SUBSTITUTE(SUBSTITUTE(SUBSTITUTE(UPPER($T423)," ",""),"P",""),";",REPT(" ",30)),1,30))),0)+IFERROR(VALUE(TRIM(MID(SUBSTITUTE(SUBSTITUTE(SUBSTITUTE(UPPER($T423)," ",""),"P",""),";",REPT(" ",30)),31,30))),0)+IFERROR(VALUE(TRIM(MID(SUBSTITUTE(SUBSTITUTE(SUBSTITUTE(UPPER($T423)," ",""),"P",""),";",REPT(" ",30)),61,30))),0)+IFERROR(VALUE(TRIM(MID(SUBSTITUTE(SUBSTITUTE(SUBSTITUTE(UPPER($T423)," ",""),"P",""),";",REPT(" ",30)),91,30))),0)+IFERROR(VALUE(TRIM(MID(SUBSTITUTE(SUBSTITUTE(SUBSTITUTE(UPPER($T423)," ",""),"P",""),";",REPT(" ",30)),121,30))),0)+IFERROR(VALUE(TRIM(MID(SUBSTITUTE(SUBSTITUTE(SUBSTITUTE(UPPER($T423)," ",""),"P",""),";",REPT(" ",30)),151,30))),0)+IFERROR(VALUE(TRIM(MID(SUBSTITUTE(SUBSTITUTE(SUBSTITUTE(UPPER($T423)," ",""),"P",""),";",REPT(" ",30)),181,30))),0)+IFERROR(VALUE(TRIM(MID(SUBSTITUTE(SUBSTITUTE(SUBSTITUTE(UPPER($T423)," ",""),"P",""),";",REPT(" ",30)),211,30))),0)))))</f>
        <v/>
      </c>
      <c r="W423" s="26" t="n"/>
      <c r="X423" s="13" t="n"/>
    </row>
    <row r="424">
      <c r="A424" s="8">
        <f>IF($C424="","",85)</f>
        <v/>
      </c>
      <c r="B424" s="8">
        <f>IF($C424="","","1ª Sessão")</f>
        <v/>
      </c>
      <c r="C424" s="8">
        <f>IF(Preenchimento!$B$94="","",Preenchimento!$B$94)</f>
        <v/>
      </c>
      <c r="D424" s="8">
        <f>IF($C424="","",IF(Preenchimento!$C$94="","-",Preenchimento!$C$94))</f>
        <v/>
      </c>
      <c r="E424" s="8" t="n"/>
      <c r="F424" s="8" t="n"/>
      <c r="G424" s="24" t="n"/>
      <c r="H424" s="8" t="n"/>
      <c r="I424" s="14" t="n"/>
      <c r="J424" s="25">
        <f>IF($C424="","",IF($E424="Falta","-",MAX(0,MIN(10,8+IFERROR(VALUE(TRIM(MID(SUBSTITUTE(SUBSTITUTE(SUBSTITUTE(UPPER($H424)," ",""),"D",""),";",REPT(" ",30)),1,30))),0)+IFERROR(VALUE(TRIM(MID(SUBSTITUTE(SUBSTITUTE(SUBSTITUTE(UPPER($H424)," ",""),"D",""),";",REPT(" ",30)),31,30))),0)+IFERROR(VALUE(TRIM(MID(SUBSTITUTE(SUBSTITUTE(SUBSTITUTE(UPPER($H424)," ",""),"D",""),";",REPT(" ",30)),61,30))),0)+IFERROR(VALUE(TRIM(MID(SUBSTITUTE(SUBSTITUTE(SUBSTITUTE(UPPER($H424)," ",""),"D",""),";",REPT(" ",30)),91,30))),0)+IFERROR(VALUE(TRIM(MID(SUBSTITUTE(SUBSTITUTE(SUBSTITUTE(UPPER($H424)," ",""),"D",""),";",REPT(" ",30)),121,30))),0)+IFERROR(VALUE(TRIM(MID(SUBSTITUTE(SUBSTITUTE(SUBSTITUTE(UPPER($H424)," ",""),"D",""),";",REPT(" ",30)),151,30))),0)+IFERROR(VALUE(TRIM(MID(SUBSTITUTE(SUBSTITUTE(SUBSTITUTE(UPPER($H424)," ",""),"D",""),";",REPT(" ",30)),181,30))),0)+IFERROR(VALUE(TRIM(MID(SUBSTITUTE(SUBSTITUTE(SUBSTITUTE(UPPER($H424)," ",""),"D",""),";",REPT(" ",30)),211,30))),0)))))</f>
        <v/>
      </c>
      <c r="K424" s="24" t="n"/>
      <c r="L424" s="8" t="n"/>
      <c r="M424" s="14" t="n"/>
      <c r="N424" s="25">
        <f>IF($C424="","",IF($E424="Falta","-",MAX(0,MIN(10,8+IFERROR(VALUE(TRIM(MID(SUBSTITUTE(SUBSTITUTE(SUBSTITUTE(UPPER($L424)," ",""),"F",""),";",REPT(" ",30)),1,30))),0)+IFERROR(VALUE(TRIM(MID(SUBSTITUTE(SUBSTITUTE(SUBSTITUTE(UPPER($L424)," ",""),"F",""),";",REPT(" ",30)),31,30))),0)+IFERROR(VALUE(TRIM(MID(SUBSTITUTE(SUBSTITUTE(SUBSTITUTE(UPPER($L424)," ",""),"F",""),";",REPT(" ",30)),61,30))),0)+IFERROR(VALUE(TRIM(MID(SUBSTITUTE(SUBSTITUTE(SUBSTITUTE(UPPER($L424)," ",""),"F",""),";",REPT(" ",30)),91,30))),0)+IFERROR(VALUE(TRIM(MID(SUBSTITUTE(SUBSTITUTE(SUBSTITUTE(UPPER($L424)," ",""),"F",""),";",REPT(" ",30)),121,30))),0)+IFERROR(VALUE(TRIM(MID(SUBSTITUTE(SUBSTITUTE(SUBSTITUTE(UPPER($L424)," ",""),"F",""),";",REPT(" ",30)),151,30))),0)+IFERROR(VALUE(TRIM(MID(SUBSTITUTE(SUBSTITUTE(SUBSTITUTE(UPPER($L424)," ",""),"F",""),";",REPT(" ",30)),181,30))),0)+IFERROR(VALUE(TRIM(MID(SUBSTITUTE(SUBSTITUTE(SUBSTITUTE(UPPER($L424)," ",""),"F",""),";",REPT(" ",30)),211,30))),0)))))</f>
        <v/>
      </c>
      <c r="O424" s="24" t="n"/>
      <c r="P424" s="8" t="n"/>
      <c r="Q424" s="14" t="n"/>
      <c r="R424" s="25">
        <f>IF($C424="","",IF($E424="Falta","-",MAX(0,MIN(10,5+IFERROR(VALUE(TRIM(MID(SUBSTITUTE(SUBSTITUTE(SUBSTITUTE(UPPER($P424)," ",""),"C",""),";",REPT(" ",30)),1,30))),0)+IFERROR(VALUE(TRIM(MID(SUBSTITUTE(SUBSTITUTE(SUBSTITUTE(UPPER($P424)," ",""),"C",""),";",REPT(" ",30)),31,30))),0)+IFERROR(VALUE(TRIM(MID(SUBSTITUTE(SUBSTITUTE(SUBSTITUTE(UPPER($P424)," ",""),"C",""),";",REPT(" ",30)),61,30))),0)+IFERROR(VALUE(TRIM(MID(SUBSTITUTE(SUBSTITUTE(SUBSTITUTE(UPPER($P424)," ",""),"C",""),";",REPT(" ",30)),91,30))),0)+IFERROR(VALUE(TRIM(MID(SUBSTITUTE(SUBSTITUTE(SUBSTITUTE(UPPER($P424)," ",""),"C",""),";",REPT(" ",30)),121,30))),0)+IFERROR(VALUE(TRIM(MID(SUBSTITUTE(SUBSTITUTE(SUBSTITUTE(UPPER($P424)," ",""),"C",""),";",REPT(" ",30)),151,30))),0)+IFERROR(VALUE(TRIM(MID(SUBSTITUTE(SUBSTITUTE(SUBSTITUTE(UPPER($P424)," ",""),"C",""),";",REPT(" ",30)),181,30))),0)+IFERROR(VALUE(TRIM(MID(SUBSTITUTE(SUBSTITUTE(SUBSTITUTE(UPPER($P424)," ",""),"C",""),";",REPT(" ",30)),211,30))),0)))))</f>
        <v/>
      </c>
      <c r="S424" s="24" t="n"/>
      <c r="T424" s="8" t="n"/>
      <c r="U424" s="14" t="n"/>
      <c r="V424" s="25">
        <f>IF($C424="","",IF($E424="Falta","-",MAX(0,MIN(10,5+IFERROR(VALUE(TRIM(MID(SUBSTITUTE(SUBSTITUTE(SUBSTITUTE(UPPER($T424)," ",""),"P",""),";",REPT(" ",30)),1,30))),0)+IFERROR(VALUE(TRIM(MID(SUBSTITUTE(SUBSTITUTE(SUBSTITUTE(UPPER($T424)," ",""),"P",""),";",REPT(" ",30)),31,30))),0)+IFERROR(VALUE(TRIM(MID(SUBSTITUTE(SUBSTITUTE(SUBSTITUTE(UPPER($T424)," ",""),"P",""),";",REPT(" ",30)),61,30))),0)+IFERROR(VALUE(TRIM(MID(SUBSTITUTE(SUBSTITUTE(SUBSTITUTE(UPPER($T424)," ",""),"P",""),";",REPT(" ",30)),91,30))),0)+IFERROR(VALUE(TRIM(MID(SUBSTITUTE(SUBSTITUTE(SUBSTITUTE(UPPER($T424)," ",""),"P",""),";",REPT(" ",30)),121,30))),0)+IFERROR(VALUE(TRIM(MID(SUBSTITUTE(SUBSTITUTE(SUBSTITUTE(UPPER($T424)," ",""),"P",""),";",REPT(" ",30)),151,30))),0)+IFERROR(VALUE(TRIM(MID(SUBSTITUTE(SUBSTITUTE(SUBSTITUTE(UPPER($T424)," ",""),"P",""),";",REPT(" ",30)),181,30))),0)+IFERROR(VALUE(TRIM(MID(SUBSTITUTE(SUBSTITUTE(SUBSTITUTE(UPPER($T424)," ",""),"P",""),";",REPT(" ",30)),211,30))),0)))))</f>
        <v/>
      </c>
      <c r="W424" s="24" t="n"/>
      <c r="X424" s="14" t="n"/>
    </row>
    <row r="425">
      <c r="A425" s="8">
        <f>IF($C425="","",85)</f>
        <v/>
      </c>
      <c r="B425" s="8">
        <f>IF($C425="","","2ª Sessão")</f>
        <v/>
      </c>
      <c r="C425" s="8">
        <f>IF(Preenchimento!$B$94="","",Preenchimento!$B$94)</f>
        <v/>
      </c>
      <c r="D425" s="8">
        <f>IF($C425="","",IF(Preenchimento!$C$94="","-",Preenchimento!$C$94))</f>
        <v/>
      </c>
      <c r="E425" s="8" t="n"/>
      <c r="F425" s="8" t="n"/>
      <c r="G425" s="24" t="n"/>
      <c r="H425" s="8" t="n"/>
      <c r="I425" s="14" t="n"/>
      <c r="J425" s="25">
        <f>IF($C425="","",IF($E425="Falta","-",MAX(0,MIN(10,8+IFERROR(VALUE(TRIM(MID(SUBSTITUTE(SUBSTITUTE(SUBSTITUTE(UPPER($H425)," ",""),"D",""),";",REPT(" ",30)),1,30))),0)+IFERROR(VALUE(TRIM(MID(SUBSTITUTE(SUBSTITUTE(SUBSTITUTE(UPPER($H425)," ",""),"D",""),";",REPT(" ",30)),31,30))),0)+IFERROR(VALUE(TRIM(MID(SUBSTITUTE(SUBSTITUTE(SUBSTITUTE(UPPER($H425)," ",""),"D",""),";",REPT(" ",30)),61,30))),0)+IFERROR(VALUE(TRIM(MID(SUBSTITUTE(SUBSTITUTE(SUBSTITUTE(UPPER($H425)," ",""),"D",""),";",REPT(" ",30)),91,30))),0)+IFERROR(VALUE(TRIM(MID(SUBSTITUTE(SUBSTITUTE(SUBSTITUTE(UPPER($H425)," ",""),"D",""),";",REPT(" ",30)),121,30))),0)+IFERROR(VALUE(TRIM(MID(SUBSTITUTE(SUBSTITUTE(SUBSTITUTE(UPPER($H425)," ",""),"D",""),";",REPT(" ",30)),151,30))),0)+IFERROR(VALUE(TRIM(MID(SUBSTITUTE(SUBSTITUTE(SUBSTITUTE(UPPER($H425)," ",""),"D",""),";",REPT(" ",30)),181,30))),0)+IFERROR(VALUE(TRIM(MID(SUBSTITUTE(SUBSTITUTE(SUBSTITUTE(UPPER($H425)," ",""),"D",""),";",REPT(" ",30)),211,30))),0)))))</f>
        <v/>
      </c>
      <c r="K425" s="24" t="n"/>
      <c r="L425" s="8" t="n"/>
      <c r="M425" s="14" t="n"/>
      <c r="N425" s="25">
        <f>IF($C425="","",IF($E425="Falta","-",MAX(0,MIN(10,8+IFERROR(VALUE(TRIM(MID(SUBSTITUTE(SUBSTITUTE(SUBSTITUTE(UPPER($L425)," ",""),"F",""),";",REPT(" ",30)),1,30))),0)+IFERROR(VALUE(TRIM(MID(SUBSTITUTE(SUBSTITUTE(SUBSTITUTE(UPPER($L425)," ",""),"F",""),";",REPT(" ",30)),31,30))),0)+IFERROR(VALUE(TRIM(MID(SUBSTITUTE(SUBSTITUTE(SUBSTITUTE(UPPER($L425)," ",""),"F",""),";",REPT(" ",30)),61,30))),0)+IFERROR(VALUE(TRIM(MID(SUBSTITUTE(SUBSTITUTE(SUBSTITUTE(UPPER($L425)," ",""),"F",""),";",REPT(" ",30)),91,30))),0)+IFERROR(VALUE(TRIM(MID(SUBSTITUTE(SUBSTITUTE(SUBSTITUTE(UPPER($L425)," ",""),"F",""),";",REPT(" ",30)),121,30))),0)+IFERROR(VALUE(TRIM(MID(SUBSTITUTE(SUBSTITUTE(SUBSTITUTE(UPPER($L425)," ",""),"F",""),";",REPT(" ",30)),151,30))),0)+IFERROR(VALUE(TRIM(MID(SUBSTITUTE(SUBSTITUTE(SUBSTITUTE(UPPER($L425)," ",""),"F",""),";",REPT(" ",30)),181,30))),0)+IFERROR(VALUE(TRIM(MID(SUBSTITUTE(SUBSTITUTE(SUBSTITUTE(UPPER($L425)," ",""),"F",""),";",REPT(" ",30)),211,30))),0)))))</f>
        <v/>
      </c>
      <c r="O425" s="24" t="n"/>
      <c r="P425" s="8" t="n"/>
      <c r="Q425" s="14" t="n"/>
      <c r="R425" s="25">
        <f>IF($C425="","",IF($E425="Falta","-",MAX(0,MIN(10,5+IFERROR(VALUE(TRIM(MID(SUBSTITUTE(SUBSTITUTE(SUBSTITUTE(UPPER($P425)," ",""),"C",""),";",REPT(" ",30)),1,30))),0)+IFERROR(VALUE(TRIM(MID(SUBSTITUTE(SUBSTITUTE(SUBSTITUTE(UPPER($P425)," ",""),"C",""),";",REPT(" ",30)),31,30))),0)+IFERROR(VALUE(TRIM(MID(SUBSTITUTE(SUBSTITUTE(SUBSTITUTE(UPPER($P425)," ",""),"C",""),";",REPT(" ",30)),61,30))),0)+IFERROR(VALUE(TRIM(MID(SUBSTITUTE(SUBSTITUTE(SUBSTITUTE(UPPER($P425)," ",""),"C",""),";",REPT(" ",30)),91,30))),0)+IFERROR(VALUE(TRIM(MID(SUBSTITUTE(SUBSTITUTE(SUBSTITUTE(UPPER($P425)," ",""),"C",""),";",REPT(" ",30)),121,30))),0)+IFERROR(VALUE(TRIM(MID(SUBSTITUTE(SUBSTITUTE(SUBSTITUTE(UPPER($P425)," ",""),"C",""),";",REPT(" ",30)),151,30))),0)+IFERROR(VALUE(TRIM(MID(SUBSTITUTE(SUBSTITUTE(SUBSTITUTE(UPPER($P425)," ",""),"C",""),";",REPT(" ",30)),181,30))),0)+IFERROR(VALUE(TRIM(MID(SUBSTITUTE(SUBSTITUTE(SUBSTITUTE(UPPER($P425)," ",""),"C",""),";",REPT(" ",30)),211,30))),0)))))</f>
        <v/>
      </c>
      <c r="S425" s="24" t="n"/>
      <c r="T425" s="8" t="n"/>
      <c r="U425" s="14" t="n"/>
      <c r="V425" s="25">
        <f>IF($C425="","",IF($E425="Falta","-",MAX(0,MIN(10,5+IFERROR(VALUE(TRIM(MID(SUBSTITUTE(SUBSTITUTE(SUBSTITUTE(UPPER($T425)," ",""),"P",""),";",REPT(" ",30)),1,30))),0)+IFERROR(VALUE(TRIM(MID(SUBSTITUTE(SUBSTITUTE(SUBSTITUTE(UPPER($T425)," ",""),"P",""),";",REPT(" ",30)),31,30))),0)+IFERROR(VALUE(TRIM(MID(SUBSTITUTE(SUBSTITUTE(SUBSTITUTE(UPPER($T425)," ",""),"P",""),";",REPT(" ",30)),61,30))),0)+IFERROR(VALUE(TRIM(MID(SUBSTITUTE(SUBSTITUTE(SUBSTITUTE(UPPER($T425)," ",""),"P",""),";",REPT(" ",30)),91,30))),0)+IFERROR(VALUE(TRIM(MID(SUBSTITUTE(SUBSTITUTE(SUBSTITUTE(UPPER($T425)," ",""),"P",""),";",REPT(" ",30)),121,30))),0)+IFERROR(VALUE(TRIM(MID(SUBSTITUTE(SUBSTITUTE(SUBSTITUTE(UPPER($T425)," ",""),"P",""),";",REPT(" ",30)),151,30))),0)+IFERROR(VALUE(TRIM(MID(SUBSTITUTE(SUBSTITUTE(SUBSTITUTE(UPPER($T425)," ",""),"P",""),";",REPT(" ",30)),181,30))),0)+IFERROR(VALUE(TRIM(MID(SUBSTITUTE(SUBSTITUTE(SUBSTITUTE(UPPER($T425)," ",""),"P",""),";",REPT(" ",30)),211,30))),0)))))</f>
        <v/>
      </c>
      <c r="W425" s="24" t="n"/>
      <c r="X425" s="14" t="n"/>
    </row>
    <row r="426">
      <c r="A426" s="8">
        <f>IF($C426="","",85)</f>
        <v/>
      </c>
      <c r="B426" s="8">
        <f>IF($C426="","","3ª Sessão")</f>
        <v/>
      </c>
      <c r="C426" s="8">
        <f>IF(Preenchimento!$B$94="","",Preenchimento!$B$94)</f>
        <v/>
      </c>
      <c r="D426" s="8">
        <f>IF($C426="","",IF(Preenchimento!$C$94="","-",Preenchimento!$C$94))</f>
        <v/>
      </c>
      <c r="E426" s="8" t="n"/>
      <c r="F426" s="8" t="n"/>
      <c r="G426" s="24" t="n"/>
      <c r="H426" s="8" t="n"/>
      <c r="I426" s="14" t="n"/>
      <c r="J426" s="25">
        <f>IF($C426="","",IF($E426="Falta","-",MAX(0,MIN(10,8+IFERROR(VALUE(TRIM(MID(SUBSTITUTE(SUBSTITUTE(SUBSTITUTE(UPPER($H426)," ",""),"D",""),";",REPT(" ",30)),1,30))),0)+IFERROR(VALUE(TRIM(MID(SUBSTITUTE(SUBSTITUTE(SUBSTITUTE(UPPER($H426)," ",""),"D",""),";",REPT(" ",30)),31,30))),0)+IFERROR(VALUE(TRIM(MID(SUBSTITUTE(SUBSTITUTE(SUBSTITUTE(UPPER($H426)," ",""),"D",""),";",REPT(" ",30)),61,30))),0)+IFERROR(VALUE(TRIM(MID(SUBSTITUTE(SUBSTITUTE(SUBSTITUTE(UPPER($H426)," ",""),"D",""),";",REPT(" ",30)),91,30))),0)+IFERROR(VALUE(TRIM(MID(SUBSTITUTE(SUBSTITUTE(SUBSTITUTE(UPPER($H426)," ",""),"D",""),";",REPT(" ",30)),121,30))),0)+IFERROR(VALUE(TRIM(MID(SUBSTITUTE(SUBSTITUTE(SUBSTITUTE(UPPER($H426)," ",""),"D",""),";",REPT(" ",30)),151,30))),0)+IFERROR(VALUE(TRIM(MID(SUBSTITUTE(SUBSTITUTE(SUBSTITUTE(UPPER($H426)," ",""),"D",""),";",REPT(" ",30)),181,30))),0)+IFERROR(VALUE(TRIM(MID(SUBSTITUTE(SUBSTITUTE(SUBSTITUTE(UPPER($H426)," ",""),"D",""),";",REPT(" ",30)),211,30))),0)))))</f>
        <v/>
      </c>
      <c r="K426" s="24" t="n"/>
      <c r="L426" s="8" t="n"/>
      <c r="M426" s="14" t="n"/>
      <c r="N426" s="25">
        <f>IF($C426="","",IF($E426="Falta","-",MAX(0,MIN(10,8+IFERROR(VALUE(TRIM(MID(SUBSTITUTE(SUBSTITUTE(SUBSTITUTE(UPPER($L426)," ",""),"F",""),";",REPT(" ",30)),1,30))),0)+IFERROR(VALUE(TRIM(MID(SUBSTITUTE(SUBSTITUTE(SUBSTITUTE(UPPER($L426)," ",""),"F",""),";",REPT(" ",30)),31,30))),0)+IFERROR(VALUE(TRIM(MID(SUBSTITUTE(SUBSTITUTE(SUBSTITUTE(UPPER($L426)," ",""),"F",""),";",REPT(" ",30)),61,30))),0)+IFERROR(VALUE(TRIM(MID(SUBSTITUTE(SUBSTITUTE(SUBSTITUTE(UPPER($L426)," ",""),"F",""),";",REPT(" ",30)),91,30))),0)+IFERROR(VALUE(TRIM(MID(SUBSTITUTE(SUBSTITUTE(SUBSTITUTE(UPPER($L426)," ",""),"F",""),";",REPT(" ",30)),121,30))),0)+IFERROR(VALUE(TRIM(MID(SUBSTITUTE(SUBSTITUTE(SUBSTITUTE(UPPER($L426)," ",""),"F",""),";",REPT(" ",30)),151,30))),0)+IFERROR(VALUE(TRIM(MID(SUBSTITUTE(SUBSTITUTE(SUBSTITUTE(UPPER($L426)," ",""),"F",""),";",REPT(" ",30)),181,30))),0)+IFERROR(VALUE(TRIM(MID(SUBSTITUTE(SUBSTITUTE(SUBSTITUTE(UPPER($L426)," ",""),"F",""),";",REPT(" ",30)),211,30))),0)))))</f>
        <v/>
      </c>
      <c r="O426" s="24" t="n"/>
      <c r="P426" s="8" t="n"/>
      <c r="Q426" s="14" t="n"/>
      <c r="R426" s="25">
        <f>IF($C426="","",IF($E426="Falta","-",MAX(0,MIN(10,5+IFERROR(VALUE(TRIM(MID(SUBSTITUTE(SUBSTITUTE(SUBSTITUTE(UPPER($P426)," ",""),"C",""),";",REPT(" ",30)),1,30))),0)+IFERROR(VALUE(TRIM(MID(SUBSTITUTE(SUBSTITUTE(SUBSTITUTE(UPPER($P426)," ",""),"C",""),";",REPT(" ",30)),31,30))),0)+IFERROR(VALUE(TRIM(MID(SUBSTITUTE(SUBSTITUTE(SUBSTITUTE(UPPER($P426)," ",""),"C",""),";",REPT(" ",30)),61,30))),0)+IFERROR(VALUE(TRIM(MID(SUBSTITUTE(SUBSTITUTE(SUBSTITUTE(UPPER($P426)," ",""),"C",""),";",REPT(" ",30)),91,30))),0)+IFERROR(VALUE(TRIM(MID(SUBSTITUTE(SUBSTITUTE(SUBSTITUTE(UPPER($P426)," ",""),"C",""),";",REPT(" ",30)),121,30))),0)+IFERROR(VALUE(TRIM(MID(SUBSTITUTE(SUBSTITUTE(SUBSTITUTE(UPPER($P426)," ",""),"C",""),";",REPT(" ",30)),151,30))),0)+IFERROR(VALUE(TRIM(MID(SUBSTITUTE(SUBSTITUTE(SUBSTITUTE(UPPER($P426)," ",""),"C",""),";",REPT(" ",30)),181,30))),0)+IFERROR(VALUE(TRIM(MID(SUBSTITUTE(SUBSTITUTE(SUBSTITUTE(UPPER($P426)," ",""),"C",""),";",REPT(" ",30)),211,30))),0)))))</f>
        <v/>
      </c>
      <c r="S426" s="24" t="n"/>
      <c r="T426" s="8" t="n"/>
      <c r="U426" s="14" t="n"/>
      <c r="V426" s="25">
        <f>IF($C426="","",IF($E426="Falta","-",MAX(0,MIN(10,5+IFERROR(VALUE(TRIM(MID(SUBSTITUTE(SUBSTITUTE(SUBSTITUTE(UPPER($T426)," ",""),"P",""),";",REPT(" ",30)),1,30))),0)+IFERROR(VALUE(TRIM(MID(SUBSTITUTE(SUBSTITUTE(SUBSTITUTE(UPPER($T426)," ",""),"P",""),";",REPT(" ",30)),31,30))),0)+IFERROR(VALUE(TRIM(MID(SUBSTITUTE(SUBSTITUTE(SUBSTITUTE(UPPER($T426)," ",""),"P",""),";",REPT(" ",30)),61,30))),0)+IFERROR(VALUE(TRIM(MID(SUBSTITUTE(SUBSTITUTE(SUBSTITUTE(UPPER($T426)," ",""),"P",""),";",REPT(" ",30)),91,30))),0)+IFERROR(VALUE(TRIM(MID(SUBSTITUTE(SUBSTITUTE(SUBSTITUTE(UPPER($T426)," ",""),"P",""),";",REPT(" ",30)),121,30))),0)+IFERROR(VALUE(TRIM(MID(SUBSTITUTE(SUBSTITUTE(SUBSTITUTE(UPPER($T426)," ",""),"P",""),";",REPT(" ",30)),151,30))),0)+IFERROR(VALUE(TRIM(MID(SUBSTITUTE(SUBSTITUTE(SUBSTITUTE(UPPER($T426)," ",""),"P",""),";",REPT(" ",30)),181,30))),0)+IFERROR(VALUE(TRIM(MID(SUBSTITUTE(SUBSTITUTE(SUBSTITUTE(UPPER($T426)," ",""),"P",""),";",REPT(" ",30)),211,30))),0)))))</f>
        <v/>
      </c>
      <c r="W426" s="24" t="n"/>
      <c r="X426" s="14" t="n"/>
    </row>
    <row r="427">
      <c r="A427" s="8">
        <f>IF($C427="","",85)</f>
        <v/>
      </c>
      <c r="B427" s="8">
        <f>IF($C427="","","4ª Sessão")</f>
        <v/>
      </c>
      <c r="C427" s="8">
        <f>IF(Preenchimento!$B$94="","",Preenchimento!$B$94)</f>
        <v/>
      </c>
      <c r="D427" s="8">
        <f>IF($C427="","",IF(Preenchimento!$C$94="","-",Preenchimento!$C$94))</f>
        <v/>
      </c>
      <c r="E427" s="8" t="n"/>
      <c r="F427" s="8" t="n"/>
      <c r="G427" s="24" t="n"/>
      <c r="H427" s="8" t="n"/>
      <c r="I427" s="14" t="n"/>
      <c r="J427" s="25">
        <f>IF($C427="","",IF($E427="Falta","-",MAX(0,MIN(10,8+IFERROR(VALUE(TRIM(MID(SUBSTITUTE(SUBSTITUTE(SUBSTITUTE(UPPER($H427)," ",""),"D",""),";",REPT(" ",30)),1,30))),0)+IFERROR(VALUE(TRIM(MID(SUBSTITUTE(SUBSTITUTE(SUBSTITUTE(UPPER($H427)," ",""),"D",""),";",REPT(" ",30)),31,30))),0)+IFERROR(VALUE(TRIM(MID(SUBSTITUTE(SUBSTITUTE(SUBSTITUTE(UPPER($H427)," ",""),"D",""),";",REPT(" ",30)),61,30))),0)+IFERROR(VALUE(TRIM(MID(SUBSTITUTE(SUBSTITUTE(SUBSTITUTE(UPPER($H427)," ",""),"D",""),";",REPT(" ",30)),91,30))),0)+IFERROR(VALUE(TRIM(MID(SUBSTITUTE(SUBSTITUTE(SUBSTITUTE(UPPER($H427)," ",""),"D",""),";",REPT(" ",30)),121,30))),0)+IFERROR(VALUE(TRIM(MID(SUBSTITUTE(SUBSTITUTE(SUBSTITUTE(UPPER($H427)," ",""),"D",""),";",REPT(" ",30)),151,30))),0)+IFERROR(VALUE(TRIM(MID(SUBSTITUTE(SUBSTITUTE(SUBSTITUTE(UPPER($H427)," ",""),"D",""),";",REPT(" ",30)),181,30))),0)+IFERROR(VALUE(TRIM(MID(SUBSTITUTE(SUBSTITUTE(SUBSTITUTE(UPPER($H427)," ",""),"D",""),";",REPT(" ",30)),211,30))),0)))))</f>
        <v/>
      </c>
      <c r="K427" s="24" t="n"/>
      <c r="L427" s="8" t="n"/>
      <c r="M427" s="14" t="n"/>
      <c r="N427" s="25">
        <f>IF($C427="","",IF($E427="Falta","-",MAX(0,MIN(10,8+IFERROR(VALUE(TRIM(MID(SUBSTITUTE(SUBSTITUTE(SUBSTITUTE(UPPER($L427)," ",""),"F",""),";",REPT(" ",30)),1,30))),0)+IFERROR(VALUE(TRIM(MID(SUBSTITUTE(SUBSTITUTE(SUBSTITUTE(UPPER($L427)," ",""),"F",""),";",REPT(" ",30)),31,30))),0)+IFERROR(VALUE(TRIM(MID(SUBSTITUTE(SUBSTITUTE(SUBSTITUTE(UPPER($L427)," ",""),"F",""),";",REPT(" ",30)),61,30))),0)+IFERROR(VALUE(TRIM(MID(SUBSTITUTE(SUBSTITUTE(SUBSTITUTE(UPPER($L427)," ",""),"F",""),";",REPT(" ",30)),91,30))),0)+IFERROR(VALUE(TRIM(MID(SUBSTITUTE(SUBSTITUTE(SUBSTITUTE(UPPER($L427)," ",""),"F",""),";",REPT(" ",30)),121,30))),0)+IFERROR(VALUE(TRIM(MID(SUBSTITUTE(SUBSTITUTE(SUBSTITUTE(UPPER($L427)," ",""),"F",""),";",REPT(" ",30)),151,30))),0)+IFERROR(VALUE(TRIM(MID(SUBSTITUTE(SUBSTITUTE(SUBSTITUTE(UPPER($L427)," ",""),"F",""),";",REPT(" ",30)),181,30))),0)+IFERROR(VALUE(TRIM(MID(SUBSTITUTE(SUBSTITUTE(SUBSTITUTE(UPPER($L427)," ",""),"F",""),";",REPT(" ",30)),211,30))),0)))))</f>
        <v/>
      </c>
      <c r="O427" s="24" t="n"/>
      <c r="P427" s="8" t="n"/>
      <c r="Q427" s="14" t="n"/>
      <c r="R427" s="25">
        <f>IF($C427="","",IF($E427="Falta","-",MAX(0,MIN(10,5+IFERROR(VALUE(TRIM(MID(SUBSTITUTE(SUBSTITUTE(SUBSTITUTE(UPPER($P427)," ",""),"C",""),";",REPT(" ",30)),1,30))),0)+IFERROR(VALUE(TRIM(MID(SUBSTITUTE(SUBSTITUTE(SUBSTITUTE(UPPER($P427)," ",""),"C",""),";",REPT(" ",30)),31,30))),0)+IFERROR(VALUE(TRIM(MID(SUBSTITUTE(SUBSTITUTE(SUBSTITUTE(UPPER($P427)," ",""),"C",""),";",REPT(" ",30)),61,30))),0)+IFERROR(VALUE(TRIM(MID(SUBSTITUTE(SUBSTITUTE(SUBSTITUTE(UPPER($P427)," ",""),"C",""),";",REPT(" ",30)),91,30))),0)+IFERROR(VALUE(TRIM(MID(SUBSTITUTE(SUBSTITUTE(SUBSTITUTE(UPPER($P427)," ",""),"C",""),";",REPT(" ",30)),121,30))),0)+IFERROR(VALUE(TRIM(MID(SUBSTITUTE(SUBSTITUTE(SUBSTITUTE(UPPER($P427)," ",""),"C",""),";",REPT(" ",30)),151,30))),0)+IFERROR(VALUE(TRIM(MID(SUBSTITUTE(SUBSTITUTE(SUBSTITUTE(UPPER($P427)," ",""),"C",""),";",REPT(" ",30)),181,30))),0)+IFERROR(VALUE(TRIM(MID(SUBSTITUTE(SUBSTITUTE(SUBSTITUTE(UPPER($P427)," ",""),"C",""),";",REPT(" ",30)),211,30))),0)))))</f>
        <v/>
      </c>
      <c r="S427" s="24" t="n"/>
      <c r="T427" s="8" t="n"/>
      <c r="U427" s="14" t="n"/>
      <c r="V427" s="25">
        <f>IF($C427="","",IF($E427="Falta","-",MAX(0,MIN(10,5+IFERROR(VALUE(TRIM(MID(SUBSTITUTE(SUBSTITUTE(SUBSTITUTE(UPPER($T427)," ",""),"P",""),";",REPT(" ",30)),1,30))),0)+IFERROR(VALUE(TRIM(MID(SUBSTITUTE(SUBSTITUTE(SUBSTITUTE(UPPER($T427)," ",""),"P",""),";",REPT(" ",30)),31,30))),0)+IFERROR(VALUE(TRIM(MID(SUBSTITUTE(SUBSTITUTE(SUBSTITUTE(UPPER($T427)," ",""),"P",""),";",REPT(" ",30)),61,30))),0)+IFERROR(VALUE(TRIM(MID(SUBSTITUTE(SUBSTITUTE(SUBSTITUTE(UPPER($T427)," ",""),"P",""),";",REPT(" ",30)),91,30))),0)+IFERROR(VALUE(TRIM(MID(SUBSTITUTE(SUBSTITUTE(SUBSTITUTE(UPPER($T427)," ",""),"P",""),";",REPT(" ",30)),121,30))),0)+IFERROR(VALUE(TRIM(MID(SUBSTITUTE(SUBSTITUTE(SUBSTITUTE(UPPER($T427)," ",""),"P",""),";",REPT(" ",30)),151,30))),0)+IFERROR(VALUE(TRIM(MID(SUBSTITUTE(SUBSTITUTE(SUBSTITUTE(UPPER($T427)," ",""),"P",""),";",REPT(" ",30)),181,30))),0)+IFERROR(VALUE(TRIM(MID(SUBSTITUTE(SUBSTITUTE(SUBSTITUTE(UPPER($T427)," ",""),"P",""),";",REPT(" ",30)),211,30))),0)))))</f>
        <v/>
      </c>
      <c r="W427" s="24" t="n"/>
      <c r="X427" s="14" t="n"/>
    </row>
    <row r="428">
      <c r="A428" s="8">
        <f>IF($C428="","",85)</f>
        <v/>
      </c>
      <c r="B428" s="8">
        <f>IF($C428="","","5ª Sessão")</f>
        <v/>
      </c>
      <c r="C428" s="8">
        <f>IF(Preenchimento!$B$94="","",Preenchimento!$B$94)</f>
        <v/>
      </c>
      <c r="D428" s="8">
        <f>IF($C428="","",IF(Preenchimento!$C$94="","-",Preenchimento!$C$94))</f>
        <v/>
      </c>
      <c r="E428" s="8" t="n"/>
      <c r="F428" s="8" t="n"/>
      <c r="G428" s="24" t="n"/>
      <c r="H428" s="8" t="n"/>
      <c r="I428" s="14" t="n"/>
      <c r="J428" s="25">
        <f>IF($C428="","",IF($E428="Falta","-",MAX(0,MIN(10,8+IFERROR(VALUE(TRIM(MID(SUBSTITUTE(SUBSTITUTE(SUBSTITUTE(UPPER($H428)," ",""),"D",""),";",REPT(" ",30)),1,30))),0)+IFERROR(VALUE(TRIM(MID(SUBSTITUTE(SUBSTITUTE(SUBSTITUTE(UPPER($H428)," ",""),"D",""),";",REPT(" ",30)),31,30))),0)+IFERROR(VALUE(TRIM(MID(SUBSTITUTE(SUBSTITUTE(SUBSTITUTE(UPPER($H428)," ",""),"D",""),";",REPT(" ",30)),61,30))),0)+IFERROR(VALUE(TRIM(MID(SUBSTITUTE(SUBSTITUTE(SUBSTITUTE(UPPER($H428)," ",""),"D",""),";",REPT(" ",30)),91,30))),0)+IFERROR(VALUE(TRIM(MID(SUBSTITUTE(SUBSTITUTE(SUBSTITUTE(UPPER($H428)," ",""),"D",""),";",REPT(" ",30)),121,30))),0)+IFERROR(VALUE(TRIM(MID(SUBSTITUTE(SUBSTITUTE(SUBSTITUTE(UPPER($H428)," ",""),"D",""),";",REPT(" ",30)),151,30))),0)+IFERROR(VALUE(TRIM(MID(SUBSTITUTE(SUBSTITUTE(SUBSTITUTE(UPPER($H428)," ",""),"D",""),";",REPT(" ",30)),181,30))),0)+IFERROR(VALUE(TRIM(MID(SUBSTITUTE(SUBSTITUTE(SUBSTITUTE(UPPER($H428)," ",""),"D",""),";",REPT(" ",30)),211,30))),0)))))</f>
        <v/>
      </c>
      <c r="K428" s="24" t="n"/>
      <c r="L428" s="8" t="n"/>
      <c r="M428" s="14" t="n"/>
      <c r="N428" s="25">
        <f>IF($C428="","",IF($E428="Falta","-",MAX(0,MIN(10,8+IFERROR(VALUE(TRIM(MID(SUBSTITUTE(SUBSTITUTE(SUBSTITUTE(UPPER($L428)," ",""),"F",""),";",REPT(" ",30)),1,30))),0)+IFERROR(VALUE(TRIM(MID(SUBSTITUTE(SUBSTITUTE(SUBSTITUTE(UPPER($L428)," ",""),"F",""),";",REPT(" ",30)),31,30))),0)+IFERROR(VALUE(TRIM(MID(SUBSTITUTE(SUBSTITUTE(SUBSTITUTE(UPPER($L428)," ",""),"F",""),";",REPT(" ",30)),61,30))),0)+IFERROR(VALUE(TRIM(MID(SUBSTITUTE(SUBSTITUTE(SUBSTITUTE(UPPER($L428)," ",""),"F",""),";",REPT(" ",30)),91,30))),0)+IFERROR(VALUE(TRIM(MID(SUBSTITUTE(SUBSTITUTE(SUBSTITUTE(UPPER($L428)," ",""),"F",""),";",REPT(" ",30)),121,30))),0)+IFERROR(VALUE(TRIM(MID(SUBSTITUTE(SUBSTITUTE(SUBSTITUTE(UPPER($L428)," ",""),"F",""),";",REPT(" ",30)),151,30))),0)+IFERROR(VALUE(TRIM(MID(SUBSTITUTE(SUBSTITUTE(SUBSTITUTE(UPPER($L428)," ",""),"F",""),";",REPT(" ",30)),181,30))),0)+IFERROR(VALUE(TRIM(MID(SUBSTITUTE(SUBSTITUTE(SUBSTITUTE(UPPER($L428)," ",""),"F",""),";",REPT(" ",30)),211,30))),0)))))</f>
        <v/>
      </c>
      <c r="O428" s="24" t="n"/>
      <c r="P428" s="8" t="n"/>
      <c r="Q428" s="14" t="n"/>
      <c r="R428" s="25">
        <f>IF($C428="","",IF($E428="Falta","-",MAX(0,MIN(10,5+IFERROR(VALUE(TRIM(MID(SUBSTITUTE(SUBSTITUTE(SUBSTITUTE(UPPER($P428)," ",""),"C",""),";",REPT(" ",30)),1,30))),0)+IFERROR(VALUE(TRIM(MID(SUBSTITUTE(SUBSTITUTE(SUBSTITUTE(UPPER($P428)," ",""),"C",""),";",REPT(" ",30)),31,30))),0)+IFERROR(VALUE(TRIM(MID(SUBSTITUTE(SUBSTITUTE(SUBSTITUTE(UPPER($P428)," ",""),"C",""),";",REPT(" ",30)),61,30))),0)+IFERROR(VALUE(TRIM(MID(SUBSTITUTE(SUBSTITUTE(SUBSTITUTE(UPPER($P428)," ",""),"C",""),";",REPT(" ",30)),91,30))),0)+IFERROR(VALUE(TRIM(MID(SUBSTITUTE(SUBSTITUTE(SUBSTITUTE(UPPER($P428)," ",""),"C",""),";",REPT(" ",30)),121,30))),0)+IFERROR(VALUE(TRIM(MID(SUBSTITUTE(SUBSTITUTE(SUBSTITUTE(UPPER($P428)," ",""),"C",""),";",REPT(" ",30)),151,30))),0)+IFERROR(VALUE(TRIM(MID(SUBSTITUTE(SUBSTITUTE(SUBSTITUTE(UPPER($P428)," ",""),"C",""),";",REPT(" ",30)),181,30))),0)+IFERROR(VALUE(TRIM(MID(SUBSTITUTE(SUBSTITUTE(SUBSTITUTE(UPPER($P428)," ",""),"C",""),";",REPT(" ",30)),211,30))),0)))))</f>
        <v/>
      </c>
      <c r="S428" s="24" t="n"/>
      <c r="T428" s="8" t="n"/>
      <c r="U428" s="14" t="n"/>
      <c r="V428" s="25">
        <f>IF($C428="","",IF($E428="Falta","-",MAX(0,MIN(10,5+IFERROR(VALUE(TRIM(MID(SUBSTITUTE(SUBSTITUTE(SUBSTITUTE(UPPER($T428)," ",""),"P",""),";",REPT(" ",30)),1,30))),0)+IFERROR(VALUE(TRIM(MID(SUBSTITUTE(SUBSTITUTE(SUBSTITUTE(UPPER($T428)," ",""),"P",""),";",REPT(" ",30)),31,30))),0)+IFERROR(VALUE(TRIM(MID(SUBSTITUTE(SUBSTITUTE(SUBSTITUTE(UPPER($T428)," ",""),"P",""),";",REPT(" ",30)),61,30))),0)+IFERROR(VALUE(TRIM(MID(SUBSTITUTE(SUBSTITUTE(SUBSTITUTE(UPPER($T428)," ",""),"P",""),";",REPT(" ",30)),91,30))),0)+IFERROR(VALUE(TRIM(MID(SUBSTITUTE(SUBSTITUTE(SUBSTITUTE(UPPER($T428)," ",""),"P",""),";",REPT(" ",30)),121,30))),0)+IFERROR(VALUE(TRIM(MID(SUBSTITUTE(SUBSTITUTE(SUBSTITUTE(UPPER($T428)," ",""),"P",""),";",REPT(" ",30)),151,30))),0)+IFERROR(VALUE(TRIM(MID(SUBSTITUTE(SUBSTITUTE(SUBSTITUTE(UPPER($T428)," ",""),"P",""),";",REPT(" ",30)),181,30))),0)+IFERROR(VALUE(TRIM(MID(SUBSTITUTE(SUBSTITUTE(SUBSTITUTE(UPPER($T428)," ",""),"P",""),";",REPT(" ",30)),211,30))),0)))))</f>
        <v/>
      </c>
      <c r="W428" s="24" t="n"/>
      <c r="X428" s="14" t="n"/>
    </row>
    <row r="429">
      <c r="A429" s="6">
        <f>IF($C429="","",86)</f>
        <v/>
      </c>
      <c r="B429" s="6">
        <f>IF($C429="","","1ª Sessão")</f>
        <v/>
      </c>
      <c r="C429" s="6">
        <f>IF(Preenchimento!$B$95="","",Preenchimento!$B$95)</f>
        <v/>
      </c>
      <c r="D429" s="6">
        <f>IF($C429="","",IF(Preenchimento!$C$95="","-",Preenchimento!$C$95))</f>
        <v/>
      </c>
      <c r="E429" s="6" t="n"/>
      <c r="F429" s="6" t="n"/>
      <c r="G429" s="26" t="n"/>
      <c r="H429" s="6" t="n"/>
      <c r="I429" s="13" t="n"/>
      <c r="J429" s="27">
        <f>IF($C429="","",IF($E429="Falta","-",MAX(0,MIN(10,8+IFERROR(VALUE(TRIM(MID(SUBSTITUTE(SUBSTITUTE(SUBSTITUTE(UPPER($H429)," ",""),"D",""),";",REPT(" ",30)),1,30))),0)+IFERROR(VALUE(TRIM(MID(SUBSTITUTE(SUBSTITUTE(SUBSTITUTE(UPPER($H429)," ",""),"D",""),";",REPT(" ",30)),31,30))),0)+IFERROR(VALUE(TRIM(MID(SUBSTITUTE(SUBSTITUTE(SUBSTITUTE(UPPER($H429)," ",""),"D",""),";",REPT(" ",30)),61,30))),0)+IFERROR(VALUE(TRIM(MID(SUBSTITUTE(SUBSTITUTE(SUBSTITUTE(UPPER($H429)," ",""),"D",""),";",REPT(" ",30)),91,30))),0)+IFERROR(VALUE(TRIM(MID(SUBSTITUTE(SUBSTITUTE(SUBSTITUTE(UPPER($H429)," ",""),"D",""),";",REPT(" ",30)),121,30))),0)+IFERROR(VALUE(TRIM(MID(SUBSTITUTE(SUBSTITUTE(SUBSTITUTE(UPPER($H429)," ",""),"D",""),";",REPT(" ",30)),151,30))),0)+IFERROR(VALUE(TRIM(MID(SUBSTITUTE(SUBSTITUTE(SUBSTITUTE(UPPER($H429)," ",""),"D",""),";",REPT(" ",30)),181,30))),0)+IFERROR(VALUE(TRIM(MID(SUBSTITUTE(SUBSTITUTE(SUBSTITUTE(UPPER($H429)," ",""),"D",""),";",REPT(" ",30)),211,30))),0)))))</f>
        <v/>
      </c>
      <c r="K429" s="26" t="n"/>
      <c r="L429" s="6" t="n"/>
      <c r="M429" s="13" t="n"/>
      <c r="N429" s="27">
        <f>IF($C429="","",IF($E429="Falta","-",MAX(0,MIN(10,8+IFERROR(VALUE(TRIM(MID(SUBSTITUTE(SUBSTITUTE(SUBSTITUTE(UPPER($L429)," ",""),"F",""),";",REPT(" ",30)),1,30))),0)+IFERROR(VALUE(TRIM(MID(SUBSTITUTE(SUBSTITUTE(SUBSTITUTE(UPPER($L429)," ",""),"F",""),";",REPT(" ",30)),31,30))),0)+IFERROR(VALUE(TRIM(MID(SUBSTITUTE(SUBSTITUTE(SUBSTITUTE(UPPER($L429)," ",""),"F",""),";",REPT(" ",30)),61,30))),0)+IFERROR(VALUE(TRIM(MID(SUBSTITUTE(SUBSTITUTE(SUBSTITUTE(UPPER($L429)," ",""),"F",""),";",REPT(" ",30)),91,30))),0)+IFERROR(VALUE(TRIM(MID(SUBSTITUTE(SUBSTITUTE(SUBSTITUTE(UPPER($L429)," ",""),"F",""),";",REPT(" ",30)),121,30))),0)+IFERROR(VALUE(TRIM(MID(SUBSTITUTE(SUBSTITUTE(SUBSTITUTE(UPPER($L429)," ",""),"F",""),";",REPT(" ",30)),151,30))),0)+IFERROR(VALUE(TRIM(MID(SUBSTITUTE(SUBSTITUTE(SUBSTITUTE(UPPER($L429)," ",""),"F",""),";",REPT(" ",30)),181,30))),0)+IFERROR(VALUE(TRIM(MID(SUBSTITUTE(SUBSTITUTE(SUBSTITUTE(UPPER($L429)," ",""),"F",""),";",REPT(" ",30)),211,30))),0)))))</f>
        <v/>
      </c>
      <c r="O429" s="26" t="n"/>
      <c r="P429" s="6" t="n"/>
      <c r="Q429" s="13" t="n"/>
      <c r="R429" s="27">
        <f>IF($C429="","",IF($E429="Falta","-",MAX(0,MIN(10,5+IFERROR(VALUE(TRIM(MID(SUBSTITUTE(SUBSTITUTE(SUBSTITUTE(UPPER($P429)," ",""),"C",""),";",REPT(" ",30)),1,30))),0)+IFERROR(VALUE(TRIM(MID(SUBSTITUTE(SUBSTITUTE(SUBSTITUTE(UPPER($P429)," ",""),"C",""),";",REPT(" ",30)),31,30))),0)+IFERROR(VALUE(TRIM(MID(SUBSTITUTE(SUBSTITUTE(SUBSTITUTE(UPPER($P429)," ",""),"C",""),";",REPT(" ",30)),61,30))),0)+IFERROR(VALUE(TRIM(MID(SUBSTITUTE(SUBSTITUTE(SUBSTITUTE(UPPER($P429)," ",""),"C",""),";",REPT(" ",30)),91,30))),0)+IFERROR(VALUE(TRIM(MID(SUBSTITUTE(SUBSTITUTE(SUBSTITUTE(UPPER($P429)," ",""),"C",""),";",REPT(" ",30)),121,30))),0)+IFERROR(VALUE(TRIM(MID(SUBSTITUTE(SUBSTITUTE(SUBSTITUTE(UPPER($P429)," ",""),"C",""),";",REPT(" ",30)),151,30))),0)+IFERROR(VALUE(TRIM(MID(SUBSTITUTE(SUBSTITUTE(SUBSTITUTE(UPPER($P429)," ",""),"C",""),";",REPT(" ",30)),181,30))),0)+IFERROR(VALUE(TRIM(MID(SUBSTITUTE(SUBSTITUTE(SUBSTITUTE(UPPER($P429)," ",""),"C",""),";",REPT(" ",30)),211,30))),0)))))</f>
        <v/>
      </c>
      <c r="S429" s="26" t="n"/>
      <c r="T429" s="6" t="n"/>
      <c r="U429" s="13" t="n"/>
      <c r="V429" s="27">
        <f>IF($C429="","",IF($E429="Falta","-",MAX(0,MIN(10,5+IFERROR(VALUE(TRIM(MID(SUBSTITUTE(SUBSTITUTE(SUBSTITUTE(UPPER($T429)," ",""),"P",""),";",REPT(" ",30)),1,30))),0)+IFERROR(VALUE(TRIM(MID(SUBSTITUTE(SUBSTITUTE(SUBSTITUTE(UPPER($T429)," ",""),"P",""),";",REPT(" ",30)),31,30))),0)+IFERROR(VALUE(TRIM(MID(SUBSTITUTE(SUBSTITUTE(SUBSTITUTE(UPPER($T429)," ",""),"P",""),";",REPT(" ",30)),61,30))),0)+IFERROR(VALUE(TRIM(MID(SUBSTITUTE(SUBSTITUTE(SUBSTITUTE(UPPER($T429)," ",""),"P",""),";",REPT(" ",30)),91,30))),0)+IFERROR(VALUE(TRIM(MID(SUBSTITUTE(SUBSTITUTE(SUBSTITUTE(UPPER($T429)," ",""),"P",""),";",REPT(" ",30)),121,30))),0)+IFERROR(VALUE(TRIM(MID(SUBSTITUTE(SUBSTITUTE(SUBSTITUTE(UPPER($T429)," ",""),"P",""),";",REPT(" ",30)),151,30))),0)+IFERROR(VALUE(TRIM(MID(SUBSTITUTE(SUBSTITUTE(SUBSTITUTE(UPPER($T429)," ",""),"P",""),";",REPT(" ",30)),181,30))),0)+IFERROR(VALUE(TRIM(MID(SUBSTITUTE(SUBSTITUTE(SUBSTITUTE(UPPER($T429)," ",""),"P",""),";",REPT(" ",30)),211,30))),0)))))</f>
        <v/>
      </c>
      <c r="W429" s="26" t="n"/>
      <c r="X429" s="13" t="n"/>
    </row>
    <row r="430">
      <c r="A430" s="6">
        <f>IF($C430="","",86)</f>
        <v/>
      </c>
      <c r="B430" s="6">
        <f>IF($C430="","","2ª Sessão")</f>
        <v/>
      </c>
      <c r="C430" s="6">
        <f>IF(Preenchimento!$B$95="","",Preenchimento!$B$95)</f>
        <v/>
      </c>
      <c r="D430" s="6">
        <f>IF($C430="","",IF(Preenchimento!$C$95="","-",Preenchimento!$C$95))</f>
        <v/>
      </c>
      <c r="E430" s="6" t="n"/>
      <c r="F430" s="6" t="n"/>
      <c r="G430" s="26" t="n"/>
      <c r="H430" s="6" t="n"/>
      <c r="I430" s="13" t="n"/>
      <c r="J430" s="27">
        <f>IF($C430="","",IF($E430="Falta","-",MAX(0,MIN(10,8+IFERROR(VALUE(TRIM(MID(SUBSTITUTE(SUBSTITUTE(SUBSTITUTE(UPPER($H430)," ",""),"D",""),";",REPT(" ",30)),1,30))),0)+IFERROR(VALUE(TRIM(MID(SUBSTITUTE(SUBSTITUTE(SUBSTITUTE(UPPER($H430)," ",""),"D",""),";",REPT(" ",30)),31,30))),0)+IFERROR(VALUE(TRIM(MID(SUBSTITUTE(SUBSTITUTE(SUBSTITUTE(UPPER($H430)," ",""),"D",""),";",REPT(" ",30)),61,30))),0)+IFERROR(VALUE(TRIM(MID(SUBSTITUTE(SUBSTITUTE(SUBSTITUTE(UPPER($H430)," ",""),"D",""),";",REPT(" ",30)),91,30))),0)+IFERROR(VALUE(TRIM(MID(SUBSTITUTE(SUBSTITUTE(SUBSTITUTE(UPPER($H430)," ",""),"D",""),";",REPT(" ",30)),121,30))),0)+IFERROR(VALUE(TRIM(MID(SUBSTITUTE(SUBSTITUTE(SUBSTITUTE(UPPER($H430)," ",""),"D",""),";",REPT(" ",30)),151,30))),0)+IFERROR(VALUE(TRIM(MID(SUBSTITUTE(SUBSTITUTE(SUBSTITUTE(UPPER($H430)," ",""),"D",""),";",REPT(" ",30)),181,30))),0)+IFERROR(VALUE(TRIM(MID(SUBSTITUTE(SUBSTITUTE(SUBSTITUTE(UPPER($H430)," ",""),"D",""),";",REPT(" ",30)),211,30))),0)))))</f>
        <v/>
      </c>
      <c r="K430" s="26" t="n"/>
      <c r="L430" s="6" t="n"/>
      <c r="M430" s="13" t="n"/>
      <c r="N430" s="27">
        <f>IF($C430="","",IF($E430="Falta","-",MAX(0,MIN(10,8+IFERROR(VALUE(TRIM(MID(SUBSTITUTE(SUBSTITUTE(SUBSTITUTE(UPPER($L430)," ",""),"F",""),";",REPT(" ",30)),1,30))),0)+IFERROR(VALUE(TRIM(MID(SUBSTITUTE(SUBSTITUTE(SUBSTITUTE(UPPER($L430)," ",""),"F",""),";",REPT(" ",30)),31,30))),0)+IFERROR(VALUE(TRIM(MID(SUBSTITUTE(SUBSTITUTE(SUBSTITUTE(UPPER($L430)," ",""),"F",""),";",REPT(" ",30)),61,30))),0)+IFERROR(VALUE(TRIM(MID(SUBSTITUTE(SUBSTITUTE(SUBSTITUTE(UPPER($L430)," ",""),"F",""),";",REPT(" ",30)),91,30))),0)+IFERROR(VALUE(TRIM(MID(SUBSTITUTE(SUBSTITUTE(SUBSTITUTE(UPPER($L430)," ",""),"F",""),";",REPT(" ",30)),121,30))),0)+IFERROR(VALUE(TRIM(MID(SUBSTITUTE(SUBSTITUTE(SUBSTITUTE(UPPER($L430)," ",""),"F",""),";",REPT(" ",30)),151,30))),0)+IFERROR(VALUE(TRIM(MID(SUBSTITUTE(SUBSTITUTE(SUBSTITUTE(UPPER($L430)," ",""),"F",""),";",REPT(" ",30)),181,30))),0)+IFERROR(VALUE(TRIM(MID(SUBSTITUTE(SUBSTITUTE(SUBSTITUTE(UPPER($L430)," ",""),"F",""),";",REPT(" ",30)),211,30))),0)))))</f>
        <v/>
      </c>
      <c r="O430" s="26" t="n"/>
      <c r="P430" s="6" t="n"/>
      <c r="Q430" s="13" t="n"/>
      <c r="R430" s="27">
        <f>IF($C430="","",IF($E430="Falta","-",MAX(0,MIN(10,5+IFERROR(VALUE(TRIM(MID(SUBSTITUTE(SUBSTITUTE(SUBSTITUTE(UPPER($P430)," ",""),"C",""),";",REPT(" ",30)),1,30))),0)+IFERROR(VALUE(TRIM(MID(SUBSTITUTE(SUBSTITUTE(SUBSTITUTE(UPPER($P430)," ",""),"C",""),";",REPT(" ",30)),31,30))),0)+IFERROR(VALUE(TRIM(MID(SUBSTITUTE(SUBSTITUTE(SUBSTITUTE(UPPER($P430)," ",""),"C",""),";",REPT(" ",30)),61,30))),0)+IFERROR(VALUE(TRIM(MID(SUBSTITUTE(SUBSTITUTE(SUBSTITUTE(UPPER($P430)," ",""),"C",""),";",REPT(" ",30)),91,30))),0)+IFERROR(VALUE(TRIM(MID(SUBSTITUTE(SUBSTITUTE(SUBSTITUTE(UPPER($P430)," ",""),"C",""),";",REPT(" ",30)),121,30))),0)+IFERROR(VALUE(TRIM(MID(SUBSTITUTE(SUBSTITUTE(SUBSTITUTE(UPPER($P430)," ",""),"C",""),";",REPT(" ",30)),151,30))),0)+IFERROR(VALUE(TRIM(MID(SUBSTITUTE(SUBSTITUTE(SUBSTITUTE(UPPER($P430)," ",""),"C",""),";",REPT(" ",30)),181,30))),0)+IFERROR(VALUE(TRIM(MID(SUBSTITUTE(SUBSTITUTE(SUBSTITUTE(UPPER($P430)," ",""),"C",""),";",REPT(" ",30)),211,30))),0)))))</f>
        <v/>
      </c>
      <c r="S430" s="26" t="n"/>
      <c r="T430" s="6" t="n"/>
      <c r="U430" s="13" t="n"/>
      <c r="V430" s="27">
        <f>IF($C430="","",IF($E430="Falta","-",MAX(0,MIN(10,5+IFERROR(VALUE(TRIM(MID(SUBSTITUTE(SUBSTITUTE(SUBSTITUTE(UPPER($T430)," ",""),"P",""),";",REPT(" ",30)),1,30))),0)+IFERROR(VALUE(TRIM(MID(SUBSTITUTE(SUBSTITUTE(SUBSTITUTE(UPPER($T430)," ",""),"P",""),";",REPT(" ",30)),31,30))),0)+IFERROR(VALUE(TRIM(MID(SUBSTITUTE(SUBSTITUTE(SUBSTITUTE(UPPER($T430)," ",""),"P",""),";",REPT(" ",30)),61,30))),0)+IFERROR(VALUE(TRIM(MID(SUBSTITUTE(SUBSTITUTE(SUBSTITUTE(UPPER($T430)," ",""),"P",""),";",REPT(" ",30)),91,30))),0)+IFERROR(VALUE(TRIM(MID(SUBSTITUTE(SUBSTITUTE(SUBSTITUTE(UPPER($T430)," ",""),"P",""),";",REPT(" ",30)),121,30))),0)+IFERROR(VALUE(TRIM(MID(SUBSTITUTE(SUBSTITUTE(SUBSTITUTE(UPPER($T430)," ",""),"P",""),";",REPT(" ",30)),151,30))),0)+IFERROR(VALUE(TRIM(MID(SUBSTITUTE(SUBSTITUTE(SUBSTITUTE(UPPER($T430)," ",""),"P",""),";",REPT(" ",30)),181,30))),0)+IFERROR(VALUE(TRIM(MID(SUBSTITUTE(SUBSTITUTE(SUBSTITUTE(UPPER($T430)," ",""),"P",""),";",REPT(" ",30)),211,30))),0)))))</f>
        <v/>
      </c>
      <c r="W430" s="26" t="n"/>
      <c r="X430" s="13" t="n"/>
    </row>
    <row r="431">
      <c r="A431" s="6">
        <f>IF($C431="","",86)</f>
        <v/>
      </c>
      <c r="B431" s="6">
        <f>IF($C431="","","3ª Sessão")</f>
        <v/>
      </c>
      <c r="C431" s="6">
        <f>IF(Preenchimento!$B$95="","",Preenchimento!$B$95)</f>
        <v/>
      </c>
      <c r="D431" s="6">
        <f>IF($C431="","",IF(Preenchimento!$C$95="","-",Preenchimento!$C$95))</f>
        <v/>
      </c>
      <c r="E431" s="6" t="n"/>
      <c r="F431" s="6" t="n"/>
      <c r="G431" s="26" t="n"/>
      <c r="H431" s="6" t="n"/>
      <c r="I431" s="13" t="n"/>
      <c r="J431" s="27">
        <f>IF($C431="","",IF($E431="Falta","-",MAX(0,MIN(10,8+IFERROR(VALUE(TRIM(MID(SUBSTITUTE(SUBSTITUTE(SUBSTITUTE(UPPER($H431)," ",""),"D",""),";",REPT(" ",30)),1,30))),0)+IFERROR(VALUE(TRIM(MID(SUBSTITUTE(SUBSTITUTE(SUBSTITUTE(UPPER($H431)," ",""),"D",""),";",REPT(" ",30)),31,30))),0)+IFERROR(VALUE(TRIM(MID(SUBSTITUTE(SUBSTITUTE(SUBSTITUTE(UPPER($H431)," ",""),"D",""),";",REPT(" ",30)),61,30))),0)+IFERROR(VALUE(TRIM(MID(SUBSTITUTE(SUBSTITUTE(SUBSTITUTE(UPPER($H431)," ",""),"D",""),";",REPT(" ",30)),91,30))),0)+IFERROR(VALUE(TRIM(MID(SUBSTITUTE(SUBSTITUTE(SUBSTITUTE(UPPER($H431)," ",""),"D",""),";",REPT(" ",30)),121,30))),0)+IFERROR(VALUE(TRIM(MID(SUBSTITUTE(SUBSTITUTE(SUBSTITUTE(UPPER($H431)," ",""),"D",""),";",REPT(" ",30)),151,30))),0)+IFERROR(VALUE(TRIM(MID(SUBSTITUTE(SUBSTITUTE(SUBSTITUTE(UPPER($H431)," ",""),"D",""),";",REPT(" ",30)),181,30))),0)+IFERROR(VALUE(TRIM(MID(SUBSTITUTE(SUBSTITUTE(SUBSTITUTE(UPPER($H431)," ",""),"D",""),";",REPT(" ",30)),211,30))),0)))))</f>
        <v/>
      </c>
      <c r="K431" s="26" t="n"/>
      <c r="L431" s="6" t="n"/>
      <c r="M431" s="13" t="n"/>
      <c r="N431" s="27">
        <f>IF($C431="","",IF($E431="Falta","-",MAX(0,MIN(10,8+IFERROR(VALUE(TRIM(MID(SUBSTITUTE(SUBSTITUTE(SUBSTITUTE(UPPER($L431)," ",""),"F",""),";",REPT(" ",30)),1,30))),0)+IFERROR(VALUE(TRIM(MID(SUBSTITUTE(SUBSTITUTE(SUBSTITUTE(UPPER($L431)," ",""),"F",""),";",REPT(" ",30)),31,30))),0)+IFERROR(VALUE(TRIM(MID(SUBSTITUTE(SUBSTITUTE(SUBSTITUTE(UPPER($L431)," ",""),"F",""),";",REPT(" ",30)),61,30))),0)+IFERROR(VALUE(TRIM(MID(SUBSTITUTE(SUBSTITUTE(SUBSTITUTE(UPPER($L431)," ",""),"F",""),";",REPT(" ",30)),91,30))),0)+IFERROR(VALUE(TRIM(MID(SUBSTITUTE(SUBSTITUTE(SUBSTITUTE(UPPER($L431)," ",""),"F",""),";",REPT(" ",30)),121,30))),0)+IFERROR(VALUE(TRIM(MID(SUBSTITUTE(SUBSTITUTE(SUBSTITUTE(UPPER($L431)," ",""),"F",""),";",REPT(" ",30)),151,30))),0)+IFERROR(VALUE(TRIM(MID(SUBSTITUTE(SUBSTITUTE(SUBSTITUTE(UPPER($L431)," ",""),"F",""),";",REPT(" ",30)),181,30))),0)+IFERROR(VALUE(TRIM(MID(SUBSTITUTE(SUBSTITUTE(SUBSTITUTE(UPPER($L431)," ",""),"F",""),";",REPT(" ",30)),211,30))),0)))))</f>
        <v/>
      </c>
      <c r="O431" s="26" t="n"/>
      <c r="P431" s="6" t="n"/>
      <c r="Q431" s="13" t="n"/>
      <c r="R431" s="27">
        <f>IF($C431="","",IF($E431="Falta","-",MAX(0,MIN(10,5+IFERROR(VALUE(TRIM(MID(SUBSTITUTE(SUBSTITUTE(SUBSTITUTE(UPPER($P431)," ",""),"C",""),";",REPT(" ",30)),1,30))),0)+IFERROR(VALUE(TRIM(MID(SUBSTITUTE(SUBSTITUTE(SUBSTITUTE(UPPER($P431)," ",""),"C",""),";",REPT(" ",30)),31,30))),0)+IFERROR(VALUE(TRIM(MID(SUBSTITUTE(SUBSTITUTE(SUBSTITUTE(UPPER($P431)," ",""),"C",""),";",REPT(" ",30)),61,30))),0)+IFERROR(VALUE(TRIM(MID(SUBSTITUTE(SUBSTITUTE(SUBSTITUTE(UPPER($P431)," ",""),"C",""),";",REPT(" ",30)),91,30))),0)+IFERROR(VALUE(TRIM(MID(SUBSTITUTE(SUBSTITUTE(SUBSTITUTE(UPPER($P431)," ",""),"C",""),";",REPT(" ",30)),121,30))),0)+IFERROR(VALUE(TRIM(MID(SUBSTITUTE(SUBSTITUTE(SUBSTITUTE(UPPER($P431)," ",""),"C",""),";",REPT(" ",30)),151,30))),0)+IFERROR(VALUE(TRIM(MID(SUBSTITUTE(SUBSTITUTE(SUBSTITUTE(UPPER($P431)," ",""),"C",""),";",REPT(" ",30)),181,30))),0)+IFERROR(VALUE(TRIM(MID(SUBSTITUTE(SUBSTITUTE(SUBSTITUTE(UPPER($P431)," ",""),"C",""),";",REPT(" ",30)),211,30))),0)))))</f>
        <v/>
      </c>
      <c r="S431" s="26" t="n"/>
      <c r="T431" s="6" t="n"/>
      <c r="U431" s="13" t="n"/>
      <c r="V431" s="27">
        <f>IF($C431="","",IF($E431="Falta","-",MAX(0,MIN(10,5+IFERROR(VALUE(TRIM(MID(SUBSTITUTE(SUBSTITUTE(SUBSTITUTE(UPPER($T431)," ",""),"P",""),";",REPT(" ",30)),1,30))),0)+IFERROR(VALUE(TRIM(MID(SUBSTITUTE(SUBSTITUTE(SUBSTITUTE(UPPER($T431)," ",""),"P",""),";",REPT(" ",30)),31,30))),0)+IFERROR(VALUE(TRIM(MID(SUBSTITUTE(SUBSTITUTE(SUBSTITUTE(UPPER($T431)," ",""),"P",""),";",REPT(" ",30)),61,30))),0)+IFERROR(VALUE(TRIM(MID(SUBSTITUTE(SUBSTITUTE(SUBSTITUTE(UPPER($T431)," ",""),"P",""),";",REPT(" ",30)),91,30))),0)+IFERROR(VALUE(TRIM(MID(SUBSTITUTE(SUBSTITUTE(SUBSTITUTE(UPPER($T431)," ",""),"P",""),";",REPT(" ",30)),121,30))),0)+IFERROR(VALUE(TRIM(MID(SUBSTITUTE(SUBSTITUTE(SUBSTITUTE(UPPER($T431)," ",""),"P",""),";",REPT(" ",30)),151,30))),0)+IFERROR(VALUE(TRIM(MID(SUBSTITUTE(SUBSTITUTE(SUBSTITUTE(UPPER($T431)," ",""),"P",""),";",REPT(" ",30)),181,30))),0)+IFERROR(VALUE(TRIM(MID(SUBSTITUTE(SUBSTITUTE(SUBSTITUTE(UPPER($T431)," ",""),"P",""),";",REPT(" ",30)),211,30))),0)))))</f>
        <v/>
      </c>
      <c r="W431" s="26" t="n"/>
      <c r="X431" s="13" t="n"/>
    </row>
    <row r="432">
      <c r="A432" s="6">
        <f>IF($C432="","",86)</f>
        <v/>
      </c>
      <c r="B432" s="6">
        <f>IF($C432="","","4ª Sessão")</f>
        <v/>
      </c>
      <c r="C432" s="6">
        <f>IF(Preenchimento!$B$95="","",Preenchimento!$B$95)</f>
        <v/>
      </c>
      <c r="D432" s="6">
        <f>IF($C432="","",IF(Preenchimento!$C$95="","-",Preenchimento!$C$95))</f>
        <v/>
      </c>
      <c r="E432" s="6" t="n"/>
      <c r="F432" s="6" t="n"/>
      <c r="G432" s="26" t="n"/>
      <c r="H432" s="6" t="n"/>
      <c r="I432" s="13" t="n"/>
      <c r="J432" s="27">
        <f>IF($C432="","",IF($E432="Falta","-",MAX(0,MIN(10,8+IFERROR(VALUE(TRIM(MID(SUBSTITUTE(SUBSTITUTE(SUBSTITUTE(UPPER($H432)," ",""),"D",""),";",REPT(" ",30)),1,30))),0)+IFERROR(VALUE(TRIM(MID(SUBSTITUTE(SUBSTITUTE(SUBSTITUTE(UPPER($H432)," ",""),"D",""),";",REPT(" ",30)),31,30))),0)+IFERROR(VALUE(TRIM(MID(SUBSTITUTE(SUBSTITUTE(SUBSTITUTE(UPPER($H432)," ",""),"D",""),";",REPT(" ",30)),61,30))),0)+IFERROR(VALUE(TRIM(MID(SUBSTITUTE(SUBSTITUTE(SUBSTITUTE(UPPER($H432)," ",""),"D",""),";",REPT(" ",30)),91,30))),0)+IFERROR(VALUE(TRIM(MID(SUBSTITUTE(SUBSTITUTE(SUBSTITUTE(UPPER($H432)," ",""),"D",""),";",REPT(" ",30)),121,30))),0)+IFERROR(VALUE(TRIM(MID(SUBSTITUTE(SUBSTITUTE(SUBSTITUTE(UPPER($H432)," ",""),"D",""),";",REPT(" ",30)),151,30))),0)+IFERROR(VALUE(TRIM(MID(SUBSTITUTE(SUBSTITUTE(SUBSTITUTE(UPPER($H432)," ",""),"D",""),";",REPT(" ",30)),181,30))),0)+IFERROR(VALUE(TRIM(MID(SUBSTITUTE(SUBSTITUTE(SUBSTITUTE(UPPER($H432)," ",""),"D",""),";",REPT(" ",30)),211,30))),0)))))</f>
        <v/>
      </c>
      <c r="K432" s="26" t="n"/>
      <c r="L432" s="6" t="n"/>
      <c r="M432" s="13" t="n"/>
      <c r="N432" s="27">
        <f>IF($C432="","",IF($E432="Falta","-",MAX(0,MIN(10,8+IFERROR(VALUE(TRIM(MID(SUBSTITUTE(SUBSTITUTE(SUBSTITUTE(UPPER($L432)," ",""),"F",""),";",REPT(" ",30)),1,30))),0)+IFERROR(VALUE(TRIM(MID(SUBSTITUTE(SUBSTITUTE(SUBSTITUTE(UPPER($L432)," ",""),"F",""),";",REPT(" ",30)),31,30))),0)+IFERROR(VALUE(TRIM(MID(SUBSTITUTE(SUBSTITUTE(SUBSTITUTE(UPPER($L432)," ",""),"F",""),";",REPT(" ",30)),61,30))),0)+IFERROR(VALUE(TRIM(MID(SUBSTITUTE(SUBSTITUTE(SUBSTITUTE(UPPER($L432)," ",""),"F",""),";",REPT(" ",30)),91,30))),0)+IFERROR(VALUE(TRIM(MID(SUBSTITUTE(SUBSTITUTE(SUBSTITUTE(UPPER($L432)," ",""),"F",""),";",REPT(" ",30)),121,30))),0)+IFERROR(VALUE(TRIM(MID(SUBSTITUTE(SUBSTITUTE(SUBSTITUTE(UPPER($L432)," ",""),"F",""),";",REPT(" ",30)),151,30))),0)+IFERROR(VALUE(TRIM(MID(SUBSTITUTE(SUBSTITUTE(SUBSTITUTE(UPPER($L432)," ",""),"F",""),";",REPT(" ",30)),181,30))),0)+IFERROR(VALUE(TRIM(MID(SUBSTITUTE(SUBSTITUTE(SUBSTITUTE(UPPER($L432)," ",""),"F",""),";",REPT(" ",30)),211,30))),0)))))</f>
        <v/>
      </c>
      <c r="O432" s="26" t="n"/>
      <c r="P432" s="6" t="n"/>
      <c r="Q432" s="13" t="n"/>
      <c r="R432" s="27">
        <f>IF($C432="","",IF($E432="Falta","-",MAX(0,MIN(10,5+IFERROR(VALUE(TRIM(MID(SUBSTITUTE(SUBSTITUTE(SUBSTITUTE(UPPER($P432)," ",""),"C",""),";",REPT(" ",30)),1,30))),0)+IFERROR(VALUE(TRIM(MID(SUBSTITUTE(SUBSTITUTE(SUBSTITUTE(UPPER($P432)," ",""),"C",""),";",REPT(" ",30)),31,30))),0)+IFERROR(VALUE(TRIM(MID(SUBSTITUTE(SUBSTITUTE(SUBSTITUTE(UPPER($P432)," ",""),"C",""),";",REPT(" ",30)),61,30))),0)+IFERROR(VALUE(TRIM(MID(SUBSTITUTE(SUBSTITUTE(SUBSTITUTE(UPPER($P432)," ",""),"C",""),";",REPT(" ",30)),91,30))),0)+IFERROR(VALUE(TRIM(MID(SUBSTITUTE(SUBSTITUTE(SUBSTITUTE(UPPER($P432)," ",""),"C",""),";",REPT(" ",30)),121,30))),0)+IFERROR(VALUE(TRIM(MID(SUBSTITUTE(SUBSTITUTE(SUBSTITUTE(UPPER($P432)," ",""),"C",""),";",REPT(" ",30)),151,30))),0)+IFERROR(VALUE(TRIM(MID(SUBSTITUTE(SUBSTITUTE(SUBSTITUTE(UPPER($P432)," ",""),"C",""),";",REPT(" ",30)),181,30))),0)+IFERROR(VALUE(TRIM(MID(SUBSTITUTE(SUBSTITUTE(SUBSTITUTE(UPPER($P432)," ",""),"C",""),";",REPT(" ",30)),211,30))),0)))))</f>
        <v/>
      </c>
      <c r="S432" s="26" t="n"/>
      <c r="T432" s="6" t="n"/>
      <c r="U432" s="13" t="n"/>
      <c r="V432" s="27">
        <f>IF($C432="","",IF($E432="Falta","-",MAX(0,MIN(10,5+IFERROR(VALUE(TRIM(MID(SUBSTITUTE(SUBSTITUTE(SUBSTITUTE(UPPER($T432)," ",""),"P",""),";",REPT(" ",30)),1,30))),0)+IFERROR(VALUE(TRIM(MID(SUBSTITUTE(SUBSTITUTE(SUBSTITUTE(UPPER($T432)," ",""),"P",""),";",REPT(" ",30)),31,30))),0)+IFERROR(VALUE(TRIM(MID(SUBSTITUTE(SUBSTITUTE(SUBSTITUTE(UPPER($T432)," ",""),"P",""),";",REPT(" ",30)),61,30))),0)+IFERROR(VALUE(TRIM(MID(SUBSTITUTE(SUBSTITUTE(SUBSTITUTE(UPPER($T432)," ",""),"P",""),";",REPT(" ",30)),91,30))),0)+IFERROR(VALUE(TRIM(MID(SUBSTITUTE(SUBSTITUTE(SUBSTITUTE(UPPER($T432)," ",""),"P",""),";",REPT(" ",30)),121,30))),0)+IFERROR(VALUE(TRIM(MID(SUBSTITUTE(SUBSTITUTE(SUBSTITUTE(UPPER($T432)," ",""),"P",""),";",REPT(" ",30)),151,30))),0)+IFERROR(VALUE(TRIM(MID(SUBSTITUTE(SUBSTITUTE(SUBSTITUTE(UPPER($T432)," ",""),"P",""),";",REPT(" ",30)),181,30))),0)+IFERROR(VALUE(TRIM(MID(SUBSTITUTE(SUBSTITUTE(SUBSTITUTE(UPPER($T432)," ",""),"P",""),";",REPT(" ",30)),211,30))),0)))))</f>
        <v/>
      </c>
      <c r="W432" s="26" t="n"/>
      <c r="X432" s="13" t="n"/>
    </row>
    <row r="433">
      <c r="A433" s="6">
        <f>IF($C433="","",86)</f>
        <v/>
      </c>
      <c r="B433" s="6">
        <f>IF($C433="","","5ª Sessão")</f>
        <v/>
      </c>
      <c r="C433" s="6">
        <f>IF(Preenchimento!$B$95="","",Preenchimento!$B$95)</f>
        <v/>
      </c>
      <c r="D433" s="6">
        <f>IF($C433="","",IF(Preenchimento!$C$95="","-",Preenchimento!$C$95))</f>
        <v/>
      </c>
      <c r="E433" s="6" t="n"/>
      <c r="F433" s="6" t="n"/>
      <c r="G433" s="26" t="n"/>
      <c r="H433" s="6" t="n"/>
      <c r="I433" s="13" t="n"/>
      <c r="J433" s="27">
        <f>IF($C433="","",IF($E433="Falta","-",MAX(0,MIN(10,8+IFERROR(VALUE(TRIM(MID(SUBSTITUTE(SUBSTITUTE(SUBSTITUTE(UPPER($H433)," ",""),"D",""),";",REPT(" ",30)),1,30))),0)+IFERROR(VALUE(TRIM(MID(SUBSTITUTE(SUBSTITUTE(SUBSTITUTE(UPPER($H433)," ",""),"D",""),";",REPT(" ",30)),31,30))),0)+IFERROR(VALUE(TRIM(MID(SUBSTITUTE(SUBSTITUTE(SUBSTITUTE(UPPER($H433)," ",""),"D",""),";",REPT(" ",30)),61,30))),0)+IFERROR(VALUE(TRIM(MID(SUBSTITUTE(SUBSTITUTE(SUBSTITUTE(UPPER($H433)," ",""),"D",""),";",REPT(" ",30)),91,30))),0)+IFERROR(VALUE(TRIM(MID(SUBSTITUTE(SUBSTITUTE(SUBSTITUTE(UPPER($H433)," ",""),"D",""),";",REPT(" ",30)),121,30))),0)+IFERROR(VALUE(TRIM(MID(SUBSTITUTE(SUBSTITUTE(SUBSTITUTE(UPPER($H433)," ",""),"D",""),";",REPT(" ",30)),151,30))),0)+IFERROR(VALUE(TRIM(MID(SUBSTITUTE(SUBSTITUTE(SUBSTITUTE(UPPER($H433)," ",""),"D",""),";",REPT(" ",30)),181,30))),0)+IFERROR(VALUE(TRIM(MID(SUBSTITUTE(SUBSTITUTE(SUBSTITUTE(UPPER($H433)," ",""),"D",""),";",REPT(" ",30)),211,30))),0)))))</f>
        <v/>
      </c>
      <c r="K433" s="26" t="n"/>
      <c r="L433" s="6" t="n"/>
      <c r="M433" s="13" t="n"/>
      <c r="N433" s="27">
        <f>IF($C433="","",IF($E433="Falta","-",MAX(0,MIN(10,8+IFERROR(VALUE(TRIM(MID(SUBSTITUTE(SUBSTITUTE(SUBSTITUTE(UPPER($L433)," ",""),"F",""),";",REPT(" ",30)),1,30))),0)+IFERROR(VALUE(TRIM(MID(SUBSTITUTE(SUBSTITUTE(SUBSTITUTE(UPPER($L433)," ",""),"F",""),";",REPT(" ",30)),31,30))),0)+IFERROR(VALUE(TRIM(MID(SUBSTITUTE(SUBSTITUTE(SUBSTITUTE(UPPER($L433)," ",""),"F",""),";",REPT(" ",30)),61,30))),0)+IFERROR(VALUE(TRIM(MID(SUBSTITUTE(SUBSTITUTE(SUBSTITUTE(UPPER($L433)," ",""),"F",""),";",REPT(" ",30)),91,30))),0)+IFERROR(VALUE(TRIM(MID(SUBSTITUTE(SUBSTITUTE(SUBSTITUTE(UPPER($L433)," ",""),"F",""),";",REPT(" ",30)),121,30))),0)+IFERROR(VALUE(TRIM(MID(SUBSTITUTE(SUBSTITUTE(SUBSTITUTE(UPPER($L433)," ",""),"F",""),";",REPT(" ",30)),151,30))),0)+IFERROR(VALUE(TRIM(MID(SUBSTITUTE(SUBSTITUTE(SUBSTITUTE(UPPER($L433)," ",""),"F",""),";",REPT(" ",30)),181,30))),0)+IFERROR(VALUE(TRIM(MID(SUBSTITUTE(SUBSTITUTE(SUBSTITUTE(UPPER($L433)," ",""),"F",""),";",REPT(" ",30)),211,30))),0)))))</f>
        <v/>
      </c>
      <c r="O433" s="26" t="n"/>
      <c r="P433" s="6" t="n"/>
      <c r="Q433" s="13" t="n"/>
      <c r="R433" s="27">
        <f>IF($C433="","",IF($E433="Falta","-",MAX(0,MIN(10,5+IFERROR(VALUE(TRIM(MID(SUBSTITUTE(SUBSTITUTE(SUBSTITUTE(UPPER($P433)," ",""),"C",""),";",REPT(" ",30)),1,30))),0)+IFERROR(VALUE(TRIM(MID(SUBSTITUTE(SUBSTITUTE(SUBSTITUTE(UPPER($P433)," ",""),"C",""),";",REPT(" ",30)),31,30))),0)+IFERROR(VALUE(TRIM(MID(SUBSTITUTE(SUBSTITUTE(SUBSTITUTE(UPPER($P433)," ",""),"C",""),";",REPT(" ",30)),61,30))),0)+IFERROR(VALUE(TRIM(MID(SUBSTITUTE(SUBSTITUTE(SUBSTITUTE(UPPER($P433)," ",""),"C",""),";",REPT(" ",30)),91,30))),0)+IFERROR(VALUE(TRIM(MID(SUBSTITUTE(SUBSTITUTE(SUBSTITUTE(UPPER($P433)," ",""),"C",""),";",REPT(" ",30)),121,30))),0)+IFERROR(VALUE(TRIM(MID(SUBSTITUTE(SUBSTITUTE(SUBSTITUTE(UPPER($P433)," ",""),"C",""),";",REPT(" ",30)),151,30))),0)+IFERROR(VALUE(TRIM(MID(SUBSTITUTE(SUBSTITUTE(SUBSTITUTE(UPPER($P433)," ",""),"C",""),";",REPT(" ",30)),181,30))),0)+IFERROR(VALUE(TRIM(MID(SUBSTITUTE(SUBSTITUTE(SUBSTITUTE(UPPER($P433)," ",""),"C",""),";",REPT(" ",30)),211,30))),0)))))</f>
        <v/>
      </c>
      <c r="S433" s="26" t="n"/>
      <c r="T433" s="6" t="n"/>
      <c r="U433" s="13" t="n"/>
      <c r="V433" s="27">
        <f>IF($C433="","",IF($E433="Falta","-",MAX(0,MIN(10,5+IFERROR(VALUE(TRIM(MID(SUBSTITUTE(SUBSTITUTE(SUBSTITUTE(UPPER($T433)," ",""),"P",""),";",REPT(" ",30)),1,30))),0)+IFERROR(VALUE(TRIM(MID(SUBSTITUTE(SUBSTITUTE(SUBSTITUTE(UPPER($T433)," ",""),"P",""),";",REPT(" ",30)),31,30))),0)+IFERROR(VALUE(TRIM(MID(SUBSTITUTE(SUBSTITUTE(SUBSTITUTE(UPPER($T433)," ",""),"P",""),";",REPT(" ",30)),61,30))),0)+IFERROR(VALUE(TRIM(MID(SUBSTITUTE(SUBSTITUTE(SUBSTITUTE(UPPER($T433)," ",""),"P",""),";",REPT(" ",30)),91,30))),0)+IFERROR(VALUE(TRIM(MID(SUBSTITUTE(SUBSTITUTE(SUBSTITUTE(UPPER($T433)," ",""),"P",""),";",REPT(" ",30)),121,30))),0)+IFERROR(VALUE(TRIM(MID(SUBSTITUTE(SUBSTITUTE(SUBSTITUTE(UPPER($T433)," ",""),"P",""),";",REPT(" ",30)),151,30))),0)+IFERROR(VALUE(TRIM(MID(SUBSTITUTE(SUBSTITUTE(SUBSTITUTE(UPPER($T433)," ",""),"P",""),";",REPT(" ",30)),181,30))),0)+IFERROR(VALUE(TRIM(MID(SUBSTITUTE(SUBSTITUTE(SUBSTITUTE(UPPER($T433)," ",""),"P",""),";",REPT(" ",30)),211,30))),0)))))</f>
        <v/>
      </c>
      <c r="W433" s="26" t="n"/>
      <c r="X433" s="13" t="n"/>
    </row>
    <row r="434">
      <c r="A434" s="8">
        <f>IF($C434="","",87)</f>
        <v/>
      </c>
      <c r="B434" s="8">
        <f>IF($C434="","","1ª Sessão")</f>
        <v/>
      </c>
      <c r="C434" s="8">
        <f>IF(Preenchimento!$B$96="","",Preenchimento!$B$96)</f>
        <v/>
      </c>
      <c r="D434" s="8">
        <f>IF($C434="","",IF(Preenchimento!$C$96="","-",Preenchimento!$C$96))</f>
        <v/>
      </c>
      <c r="E434" s="8" t="n"/>
      <c r="F434" s="8" t="n"/>
      <c r="G434" s="24" t="n"/>
      <c r="H434" s="8" t="n"/>
      <c r="I434" s="14" t="n"/>
      <c r="J434" s="25">
        <f>IF($C434="","",IF($E434="Falta","-",MAX(0,MIN(10,8+IFERROR(VALUE(TRIM(MID(SUBSTITUTE(SUBSTITUTE(SUBSTITUTE(UPPER($H434)," ",""),"D",""),";",REPT(" ",30)),1,30))),0)+IFERROR(VALUE(TRIM(MID(SUBSTITUTE(SUBSTITUTE(SUBSTITUTE(UPPER($H434)," ",""),"D",""),";",REPT(" ",30)),31,30))),0)+IFERROR(VALUE(TRIM(MID(SUBSTITUTE(SUBSTITUTE(SUBSTITUTE(UPPER($H434)," ",""),"D",""),";",REPT(" ",30)),61,30))),0)+IFERROR(VALUE(TRIM(MID(SUBSTITUTE(SUBSTITUTE(SUBSTITUTE(UPPER($H434)," ",""),"D",""),";",REPT(" ",30)),91,30))),0)+IFERROR(VALUE(TRIM(MID(SUBSTITUTE(SUBSTITUTE(SUBSTITUTE(UPPER($H434)," ",""),"D",""),";",REPT(" ",30)),121,30))),0)+IFERROR(VALUE(TRIM(MID(SUBSTITUTE(SUBSTITUTE(SUBSTITUTE(UPPER($H434)," ",""),"D",""),";",REPT(" ",30)),151,30))),0)+IFERROR(VALUE(TRIM(MID(SUBSTITUTE(SUBSTITUTE(SUBSTITUTE(UPPER($H434)," ",""),"D",""),";",REPT(" ",30)),181,30))),0)+IFERROR(VALUE(TRIM(MID(SUBSTITUTE(SUBSTITUTE(SUBSTITUTE(UPPER($H434)," ",""),"D",""),";",REPT(" ",30)),211,30))),0)))))</f>
        <v/>
      </c>
      <c r="K434" s="24" t="n"/>
      <c r="L434" s="8" t="n"/>
      <c r="M434" s="14" t="n"/>
      <c r="N434" s="25">
        <f>IF($C434="","",IF($E434="Falta","-",MAX(0,MIN(10,8+IFERROR(VALUE(TRIM(MID(SUBSTITUTE(SUBSTITUTE(SUBSTITUTE(UPPER($L434)," ",""),"F",""),";",REPT(" ",30)),1,30))),0)+IFERROR(VALUE(TRIM(MID(SUBSTITUTE(SUBSTITUTE(SUBSTITUTE(UPPER($L434)," ",""),"F",""),";",REPT(" ",30)),31,30))),0)+IFERROR(VALUE(TRIM(MID(SUBSTITUTE(SUBSTITUTE(SUBSTITUTE(UPPER($L434)," ",""),"F",""),";",REPT(" ",30)),61,30))),0)+IFERROR(VALUE(TRIM(MID(SUBSTITUTE(SUBSTITUTE(SUBSTITUTE(UPPER($L434)," ",""),"F",""),";",REPT(" ",30)),91,30))),0)+IFERROR(VALUE(TRIM(MID(SUBSTITUTE(SUBSTITUTE(SUBSTITUTE(UPPER($L434)," ",""),"F",""),";",REPT(" ",30)),121,30))),0)+IFERROR(VALUE(TRIM(MID(SUBSTITUTE(SUBSTITUTE(SUBSTITUTE(UPPER($L434)," ",""),"F",""),";",REPT(" ",30)),151,30))),0)+IFERROR(VALUE(TRIM(MID(SUBSTITUTE(SUBSTITUTE(SUBSTITUTE(UPPER($L434)," ",""),"F",""),";",REPT(" ",30)),181,30))),0)+IFERROR(VALUE(TRIM(MID(SUBSTITUTE(SUBSTITUTE(SUBSTITUTE(UPPER($L434)," ",""),"F",""),";",REPT(" ",30)),211,30))),0)))))</f>
        <v/>
      </c>
      <c r="O434" s="24" t="n"/>
      <c r="P434" s="8" t="n"/>
      <c r="Q434" s="14" t="n"/>
      <c r="R434" s="25">
        <f>IF($C434="","",IF($E434="Falta","-",MAX(0,MIN(10,5+IFERROR(VALUE(TRIM(MID(SUBSTITUTE(SUBSTITUTE(SUBSTITUTE(UPPER($P434)," ",""),"C",""),";",REPT(" ",30)),1,30))),0)+IFERROR(VALUE(TRIM(MID(SUBSTITUTE(SUBSTITUTE(SUBSTITUTE(UPPER($P434)," ",""),"C",""),";",REPT(" ",30)),31,30))),0)+IFERROR(VALUE(TRIM(MID(SUBSTITUTE(SUBSTITUTE(SUBSTITUTE(UPPER($P434)," ",""),"C",""),";",REPT(" ",30)),61,30))),0)+IFERROR(VALUE(TRIM(MID(SUBSTITUTE(SUBSTITUTE(SUBSTITUTE(UPPER($P434)," ",""),"C",""),";",REPT(" ",30)),91,30))),0)+IFERROR(VALUE(TRIM(MID(SUBSTITUTE(SUBSTITUTE(SUBSTITUTE(UPPER($P434)," ",""),"C",""),";",REPT(" ",30)),121,30))),0)+IFERROR(VALUE(TRIM(MID(SUBSTITUTE(SUBSTITUTE(SUBSTITUTE(UPPER($P434)," ",""),"C",""),";",REPT(" ",30)),151,30))),0)+IFERROR(VALUE(TRIM(MID(SUBSTITUTE(SUBSTITUTE(SUBSTITUTE(UPPER($P434)," ",""),"C",""),";",REPT(" ",30)),181,30))),0)+IFERROR(VALUE(TRIM(MID(SUBSTITUTE(SUBSTITUTE(SUBSTITUTE(UPPER($P434)," ",""),"C",""),";",REPT(" ",30)),211,30))),0)))))</f>
        <v/>
      </c>
      <c r="S434" s="24" t="n"/>
      <c r="T434" s="8" t="n"/>
      <c r="U434" s="14" t="n"/>
      <c r="V434" s="25">
        <f>IF($C434="","",IF($E434="Falta","-",MAX(0,MIN(10,5+IFERROR(VALUE(TRIM(MID(SUBSTITUTE(SUBSTITUTE(SUBSTITUTE(UPPER($T434)," ",""),"P",""),";",REPT(" ",30)),1,30))),0)+IFERROR(VALUE(TRIM(MID(SUBSTITUTE(SUBSTITUTE(SUBSTITUTE(UPPER($T434)," ",""),"P",""),";",REPT(" ",30)),31,30))),0)+IFERROR(VALUE(TRIM(MID(SUBSTITUTE(SUBSTITUTE(SUBSTITUTE(UPPER($T434)," ",""),"P",""),";",REPT(" ",30)),61,30))),0)+IFERROR(VALUE(TRIM(MID(SUBSTITUTE(SUBSTITUTE(SUBSTITUTE(UPPER($T434)," ",""),"P",""),";",REPT(" ",30)),91,30))),0)+IFERROR(VALUE(TRIM(MID(SUBSTITUTE(SUBSTITUTE(SUBSTITUTE(UPPER($T434)," ",""),"P",""),";",REPT(" ",30)),121,30))),0)+IFERROR(VALUE(TRIM(MID(SUBSTITUTE(SUBSTITUTE(SUBSTITUTE(UPPER($T434)," ",""),"P",""),";",REPT(" ",30)),151,30))),0)+IFERROR(VALUE(TRIM(MID(SUBSTITUTE(SUBSTITUTE(SUBSTITUTE(UPPER($T434)," ",""),"P",""),";",REPT(" ",30)),181,30))),0)+IFERROR(VALUE(TRIM(MID(SUBSTITUTE(SUBSTITUTE(SUBSTITUTE(UPPER($T434)," ",""),"P",""),";",REPT(" ",30)),211,30))),0)))))</f>
        <v/>
      </c>
      <c r="W434" s="24" t="n"/>
      <c r="X434" s="14" t="n"/>
    </row>
    <row r="435">
      <c r="A435" s="8">
        <f>IF($C435="","",87)</f>
        <v/>
      </c>
      <c r="B435" s="8">
        <f>IF($C435="","","2ª Sessão")</f>
        <v/>
      </c>
      <c r="C435" s="8">
        <f>IF(Preenchimento!$B$96="","",Preenchimento!$B$96)</f>
        <v/>
      </c>
      <c r="D435" s="8">
        <f>IF($C435="","",IF(Preenchimento!$C$96="","-",Preenchimento!$C$96))</f>
        <v/>
      </c>
      <c r="E435" s="8" t="n"/>
      <c r="F435" s="8" t="n"/>
      <c r="G435" s="24" t="n"/>
      <c r="H435" s="8" t="n"/>
      <c r="I435" s="14" t="n"/>
      <c r="J435" s="25">
        <f>IF($C435="","",IF($E435="Falta","-",MAX(0,MIN(10,8+IFERROR(VALUE(TRIM(MID(SUBSTITUTE(SUBSTITUTE(SUBSTITUTE(UPPER($H435)," ",""),"D",""),";",REPT(" ",30)),1,30))),0)+IFERROR(VALUE(TRIM(MID(SUBSTITUTE(SUBSTITUTE(SUBSTITUTE(UPPER($H435)," ",""),"D",""),";",REPT(" ",30)),31,30))),0)+IFERROR(VALUE(TRIM(MID(SUBSTITUTE(SUBSTITUTE(SUBSTITUTE(UPPER($H435)," ",""),"D",""),";",REPT(" ",30)),61,30))),0)+IFERROR(VALUE(TRIM(MID(SUBSTITUTE(SUBSTITUTE(SUBSTITUTE(UPPER($H435)," ",""),"D",""),";",REPT(" ",30)),91,30))),0)+IFERROR(VALUE(TRIM(MID(SUBSTITUTE(SUBSTITUTE(SUBSTITUTE(UPPER($H435)," ",""),"D",""),";",REPT(" ",30)),121,30))),0)+IFERROR(VALUE(TRIM(MID(SUBSTITUTE(SUBSTITUTE(SUBSTITUTE(UPPER($H435)," ",""),"D",""),";",REPT(" ",30)),151,30))),0)+IFERROR(VALUE(TRIM(MID(SUBSTITUTE(SUBSTITUTE(SUBSTITUTE(UPPER($H435)," ",""),"D",""),";",REPT(" ",30)),181,30))),0)+IFERROR(VALUE(TRIM(MID(SUBSTITUTE(SUBSTITUTE(SUBSTITUTE(UPPER($H435)," ",""),"D",""),";",REPT(" ",30)),211,30))),0)))))</f>
        <v/>
      </c>
      <c r="K435" s="24" t="n"/>
      <c r="L435" s="8" t="n"/>
      <c r="M435" s="14" t="n"/>
      <c r="N435" s="25">
        <f>IF($C435="","",IF($E435="Falta","-",MAX(0,MIN(10,8+IFERROR(VALUE(TRIM(MID(SUBSTITUTE(SUBSTITUTE(SUBSTITUTE(UPPER($L435)," ",""),"F",""),";",REPT(" ",30)),1,30))),0)+IFERROR(VALUE(TRIM(MID(SUBSTITUTE(SUBSTITUTE(SUBSTITUTE(UPPER($L435)," ",""),"F",""),";",REPT(" ",30)),31,30))),0)+IFERROR(VALUE(TRIM(MID(SUBSTITUTE(SUBSTITUTE(SUBSTITUTE(UPPER($L435)," ",""),"F",""),";",REPT(" ",30)),61,30))),0)+IFERROR(VALUE(TRIM(MID(SUBSTITUTE(SUBSTITUTE(SUBSTITUTE(UPPER($L435)," ",""),"F",""),";",REPT(" ",30)),91,30))),0)+IFERROR(VALUE(TRIM(MID(SUBSTITUTE(SUBSTITUTE(SUBSTITUTE(UPPER($L435)," ",""),"F",""),";",REPT(" ",30)),121,30))),0)+IFERROR(VALUE(TRIM(MID(SUBSTITUTE(SUBSTITUTE(SUBSTITUTE(UPPER($L435)," ",""),"F",""),";",REPT(" ",30)),151,30))),0)+IFERROR(VALUE(TRIM(MID(SUBSTITUTE(SUBSTITUTE(SUBSTITUTE(UPPER($L435)," ",""),"F",""),";",REPT(" ",30)),181,30))),0)+IFERROR(VALUE(TRIM(MID(SUBSTITUTE(SUBSTITUTE(SUBSTITUTE(UPPER($L435)," ",""),"F",""),";",REPT(" ",30)),211,30))),0)))))</f>
        <v/>
      </c>
      <c r="O435" s="24" t="n"/>
      <c r="P435" s="8" t="n"/>
      <c r="Q435" s="14" t="n"/>
      <c r="R435" s="25">
        <f>IF($C435="","",IF($E435="Falta","-",MAX(0,MIN(10,5+IFERROR(VALUE(TRIM(MID(SUBSTITUTE(SUBSTITUTE(SUBSTITUTE(UPPER($P435)," ",""),"C",""),";",REPT(" ",30)),1,30))),0)+IFERROR(VALUE(TRIM(MID(SUBSTITUTE(SUBSTITUTE(SUBSTITUTE(UPPER($P435)," ",""),"C",""),";",REPT(" ",30)),31,30))),0)+IFERROR(VALUE(TRIM(MID(SUBSTITUTE(SUBSTITUTE(SUBSTITUTE(UPPER($P435)," ",""),"C",""),";",REPT(" ",30)),61,30))),0)+IFERROR(VALUE(TRIM(MID(SUBSTITUTE(SUBSTITUTE(SUBSTITUTE(UPPER($P435)," ",""),"C",""),";",REPT(" ",30)),91,30))),0)+IFERROR(VALUE(TRIM(MID(SUBSTITUTE(SUBSTITUTE(SUBSTITUTE(UPPER($P435)," ",""),"C",""),";",REPT(" ",30)),121,30))),0)+IFERROR(VALUE(TRIM(MID(SUBSTITUTE(SUBSTITUTE(SUBSTITUTE(UPPER($P435)," ",""),"C",""),";",REPT(" ",30)),151,30))),0)+IFERROR(VALUE(TRIM(MID(SUBSTITUTE(SUBSTITUTE(SUBSTITUTE(UPPER($P435)," ",""),"C",""),";",REPT(" ",30)),181,30))),0)+IFERROR(VALUE(TRIM(MID(SUBSTITUTE(SUBSTITUTE(SUBSTITUTE(UPPER($P435)," ",""),"C",""),";",REPT(" ",30)),211,30))),0)))))</f>
        <v/>
      </c>
      <c r="S435" s="24" t="n"/>
      <c r="T435" s="8" t="n"/>
      <c r="U435" s="14" t="n"/>
      <c r="V435" s="25">
        <f>IF($C435="","",IF($E435="Falta","-",MAX(0,MIN(10,5+IFERROR(VALUE(TRIM(MID(SUBSTITUTE(SUBSTITUTE(SUBSTITUTE(UPPER($T435)," ",""),"P",""),";",REPT(" ",30)),1,30))),0)+IFERROR(VALUE(TRIM(MID(SUBSTITUTE(SUBSTITUTE(SUBSTITUTE(UPPER($T435)," ",""),"P",""),";",REPT(" ",30)),31,30))),0)+IFERROR(VALUE(TRIM(MID(SUBSTITUTE(SUBSTITUTE(SUBSTITUTE(UPPER($T435)," ",""),"P",""),";",REPT(" ",30)),61,30))),0)+IFERROR(VALUE(TRIM(MID(SUBSTITUTE(SUBSTITUTE(SUBSTITUTE(UPPER($T435)," ",""),"P",""),";",REPT(" ",30)),91,30))),0)+IFERROR(VALUE(TRIM(MID(SUBSTITUTE(SUBSTITUTE(SUBSTITUTE(UPPER($T435)," ",""),"P",""),";",REPT(" ",30)),121,30))),0)+IFERROR(VALUE(TRIM(MID(SUBSTITUTE(SUBSTITUTE(SUBSTITUTE(UPPER($T435)," ",""),"P",""),";",REPT(" ",30)),151,30))),0)+IFERROR(VALUE(TRIM(MID(SUBSTITUTE(SUBSTITUTE(SUBSTITUTE(UPPER($T435)," ",""),"P",""),";",REPT(" ",30)),181,30))),0)+IFERROR(VALUE(TRIM(MID(SUBSTITUTE(SUBSTITUTE(SUBSTITUTE(UPPER($T435)," ",""),"P",""),";",REPT(" ",30)),211,30))),0)))))</f>
        <v/>
      </c>
      <c r="W435" s="24" t="n"/>
      <c r="X435" s="14" t="n"/>
    </row>
    <row r="436">
      <c r="A436" s="8">
        <f>IF($C436="","",87)</f>
        <v/>
      </c>
      <c r="B436" s="8">
        <f>IF($C436="","","3ª Sessão")</f>
        <v/>
      </c>
      <c r="C436" s="8">
        <f>IF(Preenchimento!$B$96="","",Preenchimento!$B$96)</f>
        <v/>
      </c>
      <c r="D436" s="8">
        <f>IF($C436="","",IF(Preenchimento!$C$96="","-",Preenchimento!$C$96))</f>
        <v/>
      </c>
      <c r="E436" s="8" t="n"/>
      <c r="F436" s="8" t="n"/>
      <c r="G436" s="24" t="n"/>
      <c r="H436" s="8" t="n"/>
      <c r="I436" s="14" t="n"/>
      <c r="J436" s="25">
        <f>IF($C436="","",IF($E436="Falta","-",MAX(0,MIN(10,8+IFERROR(VALUE(TRIM(MID(SUBSTITUTE(SUBSTITUTE(SUBSTITUTE(UPPER($H436)," ",""),"D",""),";",REPT(" ",30)),1,30))),0)+IFERROR(VALUE(TRIM(MID(SUBSTITUTE(SUBSTITUTE(SUBSTITUTE(UPPER($H436)," ",""),"D",""),";",REPT(" ",30)),31,30))),0)+IFERROR(VALUE(TRIM(MID(SUBSTITUTE(SUBSTITUTE(SUBSTITUTE(UPPER($H436)," ",""),"D",""),";",REPT(" ",30)),61,30))),0)+IFERROR(VALUE(TRIM(MID(SUBSTITUTE(SUBSTITUTE(SUBSTITUTE(UPPER($H436)," ",""),"D",""),";",REPT(" ",30)),91,30))),0)+IFERROR(VALUE(TRIM(MID(SUBSTITUTE(SUBSTITUTE(SUBSTITUTE(UPPER($H436)," ",""),"D",""),";",REPT(" ",30)),121,30))),0)+IFERROR(VALUE(TRIM(MID(SUBSTITUTE(SUBSTITUTE(SUBSTITUTE(UPPER($H436)," ",""),"D",""),";",REPT(" ",30)),151,30))),0)+IFERROR(VALUE(TRIM(MID(SUBSTITUTE(SUBSTITUTE(SUBSTITUTE(UPPER($H436)," ",""),"D",""),";",REPT(" ",30)),181,30))),0)+IFERROR(VALUE(TRIM(MID(SUBSTITUTE(SUBSTITUTE(SUBSTITUTE(UPPER($H436)," ",""),"D",""),";",REPT(" ",30)),211,30))),0)))))</f>
        <v/>
      </c>
      <c r="K436" s="24" t="n"/>
      <c r="L436" s="8" t="n"/>
      <c r="M436" s="14" t="n"/>
      <c r="N436" s="25">
        <f>IF($C436="","",IF($E436="Falta","-",MAX(0,MIN(10,8+IFERROR(VALUE(TRIM(MID(SUBSTITUTE(SUBSTITUTE(SUBSTITUTE(UPPER($L436)," ",""),"F",""),";",REPT(" ",30)),1,30))),0)+IFERROR(VALUE(TRIM(MID(SUBSTITUTE(SUBSTITUTE(SUBSTITUTE(UPPER($L436)," ",""),"F",""),";",REPT(" ",30)),31,30))),0)+IFERROR(VALUE(TRIM(MID(SUBSTITUTE(SUBSTITUTE(SUBSTITUTE(UPPER($L436)," ",""),"F",""),";",REPT(" ",30)),61,30))),0)+IFERROR(VALUE(TRIM(MID(SUBSTITUTE(SUBSTITUTE(SUBSTITUTE(UPPER($L436)," ",""),"F",""),";",REPT(" ",30)),91,30))),0)+IFERROR(VALUE(TRIM(MID(SUBSTITUTE(SUBSTITUTE(SUBSTITUTE(UPPER($L436)," ",""),"F",""),";",REPT(" ",30)),121,30))),0)+IFERROR(VALUE(TRIM(MID(SUBSTITUTE(SUBSTITUTE(SUBSTITUTE(UPPER($L436)," ",""),"F",""),";",REPT(" ",30)),151,30))),0)+IFERROR(VALUE(TRIM(MID(SUBSTITUTE(SUBSTITUTE(SUBSTITUTE(UPPER($L436)," ",""),"F",""),";",REPT(" ",30)),181,30))),0)+IFERROR(VALUE(TRIM(MID(SUBSTITUTE(SUBSTITUTE(SUBSTITUTE(UPPER($L436)," ",""),"F",""),";",REPT(" ",30)),211,30))),0)))))</f>
        <v/>
      </c>
      <c r="O436" s="24" t="n"/>
      <c r="P436" s="8" t="n"/>
      <c r="Q436" s="14" t="n"/>
      <c r="R436" s="25">
        <f>IF($C436="","",IF($E436="Falta","-",MAX(0,MIN(10,5+IFERROR(VALUE(TRIM(MID(SUBSTITUTE(SUBSTITUTE(SUBSTITUTE(UPPER($P436)," ",""),"C",""),";",REPT(" ",30)),1,30))),0)+IFERROR(VALUE(TRIM(MID(SUBSTITUTE(SUBSTITUTE(SUBSTITUTE(UPPER($P436)," ",""),"C",""),";",REPT(" ",30)),31,30))),0)+IFERROR(VALUE(TRIM(MID(SUBSTITUTE(SUBSTITUTE(SUBSTITUTE(UPPER($P436)," ",""),"C",""),";",REPT(" ",30)),61,30))),0)+IFERROR(VALUE(TRIM(MID(SUBSTITUTE(SUBSTITUTE(SUBSTITUTE(UPPER($P436)," ",""),"C",""),";",REPT(" ",30)),91,30))),0)+IFERROR(VALUE(TRIM(MID(SUBSTITUTE(SUBSTITUTE(SUBSTITUTE(UPPER($P436)," ",""),"C",""),";",REPT(" ",30)),121,30))),0)+IFERROR(VALUE(TRIM(MID(SUBSTITUTE(SUBSTITUTE(SUBSTITUTE(UPPER($P436)," ",""),"C",""),";",REPT(" ",30)),151,30))),0)+IFERROR(VALUE(TRIM(MID(SUBSTITUTE(SUBSTITUTE(SUBSTITUTE(UPPER($P436)," ",""),"C",""),";",REPT(" ",30)),181,30))),0)+IFERROR(VALUE(TRIM(MID(SUBSTITUTE(SUBSTITUTE(SUBSTITUTE(UPPER($P436)," ",""),"C",""),";",REPT(" ",30)),211,30))),0)))))</f>
        <v/>
      </c>
      <c r="S436" s="24" t="n"/>
      <c r="T436" s="8" t="n"/>
      <c r="U436" s="14" t="n"/>
      <c r="V436" s="25">
        <f>IF($C436="","",IF($E436="Falta","-",MAX(0,MIN(10,5+IFERROR(VALUE(TRIM(MID(SUBSTITUTE(SUBSTITUTE(SUBSTITUTE(UPPER($T436)," ",""),"P",""),";",REPT(" ",30)),1,30))),0)+IFERROR(VALUE(TRIM(MID(SUBSTITUTE(SUBSTITUTE(SUBSTITUTE(UPPER($T436)," ",""),"P",""),";",REPT(" ",30)),31,30))),0)+IFERROR(VALUE(TRIM(MID(SUBSTITUTE(SUBSTITUTE(SUBSTITUTE(UPPER($T436)," ",""),"P",""),";",REPT(" ",30)),61,30))),0)+IFERROR(VALUE(TRIM(MID(SUBSTITUTE(SUBSTITUTE(SUBSTITUTE(UPPER($T436)," ",""),"P",""),";",REPT(" ",30)),91,30))),0)+IFERROR(VALUE(TRIM(MID(SUBSTITUTE(SUBSTITUTE(SUBSTITUTE(UPPER($T436)," ",""),"P",""),";",REPT(" ",30)),121,30))),0)+IFERROR(VALUE(TRIM(MID(SUBSTITUTE(SUBSTITUTE(SUBSTITUTE(UPPER($T436)," ",""),"P",""),";",REPT(" ",30)),151,30))),0)+IFERROR(VALUE(TRIM(MID(SUBSTITUTE(SUBSTITUTE(SUBSTITUTE(UPPER($T436)," ",""),"P",""),";",REPT(" ",30)),181,30))),0)+IFERROR(VALUE(TRIM(MID(SUBSTITUTE(SUBSTITUTE(SUBSTITUTE(UPPER($T436)," ",""),"P",""),";",REPT(" ",30)),211,30))),0)))))</f>
        <v/>
      </c>
      <c r="W436" s="24" t="n"/>
      <c r="X436" s="14" t="n"/>
    </row>
    <row r="437">
      <c r="A437" s="8">
        <f>IF($C437="","",87)</f>
        <v/>
      </c>
      <c r="B437" s="8">
        <f>IF($C437="","","4ª Sessão")</f>
        <v/>
      </c>
      <c r="C437" s="8">
        <f>IF(Preenchimento!$B$96="","",Preenchimento!$B$96)</f>
        <v/>
      </c>
      <c r="D437" s="8">
        <f>IF($C437="","",IF(Preenchimento!$C$96="","-",Preenchimento!$C$96))</f>
        <v/>
      </c>
      <c r="E437" s="8" t="n"/>
      <c r="F437" s="8" t="n"/>
      <c r="G437" s="24" t="n"/>
      <c r="H437" s="8" t="n"/>
      <c r="I437" s="14" t="n"/>
      <c r="J437" s="25">
        <f>IF($C437="","",IF($E437="Falta","-",MAX(0,MIN(10,8+IFERROR(VALUE(TRIM(MID(SUBSTITUTE(SUBSTITUTE(SUBSTITUTE(UPPER($H437)," ",""),"D",""),";",REPT(" ",30)),1,30))),0)+IFERROR(VALUE(TRIM(MID(SUBSTITUTE(SUBSTITUTE(SUBSTITUTE(UPPER($H437)," ",""),"D",""),";",REPT(" ",30)),31,30))),0)+IFERROR(VALUE(TRIM(MID(SUBSTITUTE(SUBSTITUTE(SUBSTITUTE(UPPER($H437)," ",""),"D",""),";",REPT(" ",30)),61,30))),0)+IFERROR(VALUE(TRIM(MID(SUBSTITUTE(SUBSTITUTE(SUBSTITUTE(UPPER($H437)," ",""),"D",""),";",REPT(" ",30)),91,30))),0)+IFERROR(VALUE(TRIM(MID(SUBSTITUTE(SUBSTITUTE(SUBSTITUTE(UPPER($H437)," ",""),"D",""),";",REPT(" ",30)),121,30))),0)+IFERROR(VALUE(TRIM(MID(SUBSTITUTE(SUBSTITUTE(SUBSTITUTE(UPPER($H437)," ",""),"D",""),";",REPT(" ",30)),151,30))),0)+IFERROR(VALUE(TRIM(MID(SUBSTITUTE(SUBSTITUTE(SUBSTITUTE(UPPER($H437)," ",""),"D",""),";",REPT(" ",30)),181,30))),0)+IFERROR(VALUE(TRIM(MID(SUBSTITUTE(SUBSTITUTE(SUBSTITUTE(UPPER($H437)," ",""),"D",""),";",REPT(" ",30)),211,30))),0)))))</f>
        <v/>
      </c>
      <c r="K437" s="24" t="n"/>
      <c r="L437" s="8" t="n"/>
      <c r="M437" s="14" t="n"/>
      <c r="N437" s="25">
        <f>IF($C437="","",IF($E437="Falta","-",MAX(0,MIN(10,8+IFERROR(VALUE(TRIM(MID(SUBSTITUTE(SUBSTITUTE(SUBSTITUTE(UPPER($L437)," ",""),"F",""),";",REPT(" ",30)),1,30))),0)+IFERROR(VALUE(TRIM(MID(SUBSTITUTE(SUBSTITUTE(SUBSTITUTE(UPPER($L437)," ",""),"F",""),";",REPT(" ",30)),31,30))),0)+IFERROR(VALUE(TRIM(MID(SUBSTITUTE(SUBSTITUTE(SUBSTITUTE(UPPER($L437)," ",""),"F",""),";",REPT(" ",30)),61,30))),0)+IFERROR(VALUE(TRIM(MID(SUBSTITUTE(SUBSTITUTE(SUBSTITUTE(UPPER($L437)," ",""),"F",""),";",REPT(" ",30)),91,30))),0)+IFERROR(VALUE(TRIM(MID(SUBSTITUTE(SUBSTITUTE(SUBSTITUTE(UPPER($L437)," ",""),"F",""),";",REPT(" ",30)),121,30))),0)+IFERROR(VALUE(TRIM(MID(SUBSTITUTE(SUBSTITUTE(SUBSTITUTE(UPPER($L437)," ",""),"F",""),";",REPT(" ",30)),151,30))),0)+IFERROR(VALUE(TRIM(MID(SUBSTITUTE(SUBSTITUTE(SUBSTITUTE(UPPER($L437)," ",""),"F",""),";",REPT(" ",30)),181,30))),0)+IFERROR(VALUE(TRIM(MID(SUBSTITUTE(SUBSTITUTE(SUBSTITUTE(UPPER($L437)," ",""),"F",""),";",REPT(" ",30)),211,30))),0)))))</f>
        <v/>
      </c>
      <c r="O437" s="24" t="n"/>
      <c r="P437" s="8" t="n"/>
      <c r="Q437" s="14" t="n"/>
      <c r="R437" s="25">
        <f>IF($C437="","",IF($E437="Falta","-",MAX(0,MIN(10,5+IFERROR(VALUE(TRIM(MID(SUBSTITUTE(SUBSTITUTE(SUBSTITUTE(UPPER($P437)," ",""),"C",""),";",REPT(" ",30)),1,30))),0)+IFERROR(VALUE(TRIM(MID(SUBSTITUTE(SUBSTITUTE(SUBSTITUTE(UPPER($P437)," ",""),"C",""),";",REPT(" ",30)),31,30))),0)+IFERROR(VALUE(TRIM(MID(SUBSTITUTE(SUBSTITUTE(SUBSTITUTE(UPPER($P437)," ",""),"C",""),";",REPT(" ",30)),61,30))),0)+IFERROR(VALUE(TRIM(MID(SUBSTITUTE(SUBSTITUTE(SUBSTITUTE(UPPER($P437)," ",""),"C",""),";",REPT(" ",30)),91,30))),0)+IFERROR(VALUE(TRIM(MID(SUBSTITUTE(SUBSTITUTE(SUBSTITUTE(UPPER($P437)," ",""),"C",""),";",REPT(" ",30)),121,30))),0)+IFERROR(VALUE(TRIM(MID(SUBSTITUTE(SUBSTITUTE(SUBSTITUTE(UPPER($P437)," ",""),"C",""),";",REPT(" ",30)),151,30))),0)+IFERROR(VALUE(TRIM(MID(SUBSTITUTE(SUBSTITUTE(SUBSTITUTE(UPPER($P437)," ",""),"C",""),";",REPT(" ",30)),181,30))),0)+IFERROR(VALUE(TRIM(MID(SUBSTITUTE(SUBSTITUTE(SUBSTITUTE(UPPER($P437)," ",""),"C",""),";",REPT(" ",30)),211,30))),0)))))</f>
        <v/>
      </c>
      <c r="S437" s="24" t="n"/>
      <c r="T437" s="8" t="n"/>
      <c r="U437" s="14" t="n"/>
      <c r="V437" s="25">
        <f>IF($C437="","",IF($E437="Falta","-",MAX(0,MIN(10,5+IFERROR(VALUE(TRIM(MID(SUBSTITUTE(SUBSTITUTE(SUBSTITUTE(UPPER($T437)," ",""),"P",""),";",REPT(" ",30)),1,30))),0)+IFERROR(VALUE(TRIM(MID(SUBSTITUTE(SUBSTITUTE(SUBSTITUTE(UPPER($T437)," ",""),"P",""),";",REPT(" ",30)),31,30))),0)+IFERROR(VALUE(TRIM(MID(SUBSTITUTE(SUBSTITUTE(SUBSTITUTE(UPPER($T437)," ",""),"P",""),";",REPT(" ",30)),61,30))),0)+IFERROR(VALUE(TRIM(MID(SUBSTITUTE(SUBSTITUTE(SUBSTITUTE(UPPER($T437)," ",""),"P",""),";",REPT(" ",30)),91,30))),0)+IFERROR(VALUE(TRIM(MID(SUBSTITUTE(SUBSTITUTE(SUBSTITUTE(UPPER($T437)," ",""),"P",""),";",REPT(" ",30)),121,30))),0)+IFERROR(VALUE(TRIM(MID(SUBSTITUTE(SUBSTITUTE(SUBSTITUTE(UPPER($T437)," ",""),"P",""),";",REPT(" ",30)),151,30))),0)+IFERROR(VALUE(TRIM(MID(SUBSTITUTE(SUBSTITUTE(SUBSTITUTE(UPPER($T437)," ",""),"P",""),";",REPT(" ",30)),181,30))),0)+IFERROR(VALUE(TRIM(MID(SUBSTITUTE(SUBSTITUTE(SUBSTITUTE(UPPER($T437)," ",""),"P",""),";",REPT(" ",30)),211,30))),0)))))</f>
        <v/>
      </c>
      <c r="W437" s="24" t="n"/>
      <c r="X437" s="14" t="n"/>
    </row>
    <row r="438">
      <c r="A438" s="8">
        <f>IF($C438="","",87)</f>
        <v/>
      </c>
      <c r="B438" s="8">
        <f>IF($C438="","","5ª Sessão")</f>
        <v/>
      </c>
      <c r="C438" s="8">
        <f>IF(Preenchimento!$B$96="","",Preenchimento!$B$96)</f>
        <v/>
      </c>
      <c r="D438" s="8">
        <f>IF($C438="","",IF(Preenchimento!$C$96="","-",Preenchimento!$C$96))</f>
        <v/>
      </c>
      <c r="E438" s="8" t="n"/>
      <c r="F438" s="8" t="n"/>
      <c r="G438" s="24" t="n"/>
      <c r="H438" s="8" t="n"/>
      <c r="I438" s="14" t="n"/>
      <c r="J438" s="25">
        <f>IF($C438="","",IF($E438="Falta","-",MAX(0,MIN(10,8+IFERROR(VALUE(TRIM(MID(SUBSTITUTE(SUBSTITUTE(SUBSTITUTE(UPPER($H438)," ",""),"D",""),";",REPT(" ",30)),1,30))),0)+IFERROR(VALUE(TRIM(MID(SUBSTITUTE(SUBSTITUTE(SUBSTITUTE(UPPER($H438)," ",""),"D",""),";",REPT(" ",30)),31,30))),0)+IFERROR(VALUE(TRIM(MID(SUBSTITUTE(SUBSTITUTE(SUBSTITUTE(UPPER($H438)," ",""),"D",""),";",REPT(" ",30)),61,30))),0)+IFERROR(VALUE(TRIM(MID(SUBSTITUTE(SUBSTITUTE(SUBSTITUTE(UPPER($H438)," ",""),"D",""),";",REPT(" ",30)),91,30))),0)+IFERROR(VALUE(TRIM(MID(SUBSTITUTE(SUBSTITUTE(SUBSTITUTE(UPPER($H438)," ",""),"D",""),";",REPT(" ",30)),121,30))),0)+IFERROR(VALUE(TRIM(MID(SUBSTITUTE(SUBSTITUTE(SUBSTITUTE(UPPER($H438)," ",""),"D",""),";",REPT(" ",30)),151,30))),0)+IFERROR(VALUE(TRIM(MID(SUBSTITUTE(SUBSTITUTE(SUBSTITUTE(UPPER($H438)," ",""),"D",""),";",REPT(" ",30)),181,30))),0)+IFERROR(VALUE(TRIM(MID(SUBSTITUTE(SUBSTITUTE(SUBSTITUTE(UPPER($H438)," ",""),"D",""),";",REPT(" ",30)),211,30))),0)))))</f>
        <v/>
      </c>
      <c r="K438" s="24" t="n"/>
      <c r="L438" s="8" t="n"/>
      <c r="M438" s="14" t="n"/>
      <c r="N438" s="25">
        <f>IF($C438="","",IF($E438="Falta","-",MAX(0,MIN(10,8+IFERROR(VALUE(TRIM(MID(SUBSTITUTE(SUBSTITUTE(SUBSTITUTE(UPPER($L438)," ",""),"F",""),";",REPT(" ",30)),1,30))),0)+IFERROR(VALUE(TRIM(MID(SUBSTITUTE(SUBSTITUTE(SUBSTITUTE(UPPER($L438)," ",""),"F",""),";",REPT(" ",30)),31,30))),0)+IFERROR(VALUE(TRIM(MID(SUBSTITUTE(SUBSTITUTE(SUBSTITUTE(UPPER($L438)," ",""),"F",""),";",REPT(" ",30)),61,30))),0)+IFERROR(VALUE(TRIM(MID(SUBSTITUTE(SUBSTITUTE(SUBSTITUTE(UPPER($L438)," ",""),"F",""),";",REPT(" ",30)),91,30))),0)+IFERROR(VALUE(TRIM(MID(SUBSTITUTE(SUBSTITUTE(SUBSTITUTE(UPPER($L438)," ",""),"F",""),";",REPT(" ",30)),121,30))),0)+IFERROR(VALUE(TRIM(MID(SUBSTITUTE(SUBSTITUTE(SUBSTITUTE(UPPER($L438)," ",""),"F",""),";",REPT(" ",30)),151,30))),0)+IFERROR(VALUE(TRIM(MID(SUBSTITUTE(SUBSTITUTE(SUBSTITUTE(UPPER($L438)," ",""),"F",""),";",REPT(" ",30)),181,30))),0)+IFERROR(VALUE(TRIM(MID(SUBSTITUTE(SUBSTITUTE(SUBSTITUTE(UPPER($L438)," ",""),"F",""),";",REPT(" ",30)),211,30))),0)))))</f>
        <v/>
      </c>
      <c r="O438" s="24" t="n"/>
      <c r="P438" s="8" t="n"/>
      <c r="Q438" s="14" t="n"/>
      <c r="R438" s="25">
        <f>IF($C438="","",IF($E438="Falta","-",MAX(0,MIN(10,5+IFERROR(VALUE(TRIM(MID(SUBSTITUTE(SUBSTITUTE(SUBSTITUTE(UPPER($P438)," ",""),"C",""),";",REPT(" ",30)),1,30))),0)+IFERROR(VALUE(TRIM(MID(SUBSTITUTE(SUBSTITUTE(SUBSTITUTE(UPPER($P438)," ",""),"C",""),";",REPT(" ",30)),31,30))),0)+IFERROR(VALUE(TRIM(MID(SUBSTITUTE(SUBSTITUTE(SUBSTITUTE(UPPER($P438)," ",""),"C",""),";",REPT(" ",30)),61,30))),0)+IFERROR(VALUE(TRIM(MID(SUBSTITUTE(SUBSTITUTE(SUBSTITUTE(UPPER($P438)," ",""),"C",""),";",REPT(" ",30)),91,30))),0)+IFERROR(VALUE(TRIM(MID(SUBSTITUTE(SUBSTITUTE(SUBSTITUTE(UPPER($P438)," ",""),"C",""),";",REPT(" ",30)),121,30))),0)+IFERROR(VALUE(TRIM(MID(SUBSTITUTE(SUBSTITUTE(SUBSTITUTE(UPPER($P438)," ",""),"C",""),";",REPT(" ",30)),151,30))),0)+IFERROR(VALUE(TRIM(MID(SUBSTITUTE(SUBSTITUTE(SUBSTITUTE(UPPER($P438)," ",""),"C",""),";",REPT(" ",30)),181,30))),0)+IFERROR(VALUE(TRIM(MID(SUBSTITUTE(SUBSTITUTE(SUBSTITUTE(UPPER($P438)," ",""),"C",""),";",REPT(" ",30)),211,30))),0)))))</f>
        <v/>
      </c>
      <c r="S438" s="24" t="n"/>
      <c r="T438" s="8" t="n"/>
      <c r="U438" s="14" t="n"/>
      <c r="V438" s="25">
        <f>IF($C438="","",IF($E438="Falta","-",MAX(0,MIN(10,5+IFERROR(VALUE(TRIM(MID(SUBSTITUTE(SUBSTITUTE(SUBSTITUTE(UPPER($T438)," ",""),"P",""),";",REPT(" ",30)),1,30))),0)+IFERROR(VALUE(TRIM(MID(SUBSTITUTE(SUBSTITUTE(SUBSTITUTE(UPPER($T438)," ",""),"P",""),";",REPT(" ",30)),31,30))),0)+IFERROR(VALUE(TRIM(MID(SUBSTITUTE(SUBSTITUTE(SUBSTITUTE(UPPER($T438)," ",""),"P",""),";",REPT(" ",30)),61,30))),0)+IFERROR(VALUE(TRIM(MID(SUBSTITUTE(SUBSTITUTE(SUBSTITUTE(UPPER($T438)," ",""),"P",""),";",REPT(" ",30)),91,30))),0)+IFERROR(VALUE(TRIM(MID(SUBSTITUTE(SUBSTITUTE(SUBSTITUTE(UPPER($T438)," ",""),"P",""),";",REPT(" ",30)),121,30))),0)+IFERROR(VALUE(TRIM(MID(SUBSTITUTE(SUBSTITUTE(SUBSTITUTE(UPPER($T438)," ",""),"P",""),";",REPT(" ",30)),151,30))),0)+IFERROR(VALUE(TRIM(MID(SUBSTITUTE(SUBSTITUTE(SUBSTITUTE(UPPER($T438)," ",""),"P",""),";",REPT(" ",30)),181,30))),0)+IFERROR(VALUE(TRIM(MID(SUBSTITUTE(SUBSTITUTE(SUBSTITUTE(UPPER($T438)," ",""),"P",""),";",REPT(" ",30)),211,30))),0)))))</f>
        <v/>
      </c>
      <c r="W438" s="24" t="n"/>
      <c r="X438" s="14" t="n"/>
    </row>
    <row r="439">
      <c r="A439" s="6">
        <f>IF($C439="","",88)</f>
        <v/>
      </c>
      <c r="B439" s="6">
        <f>IF($C439="","","1ª Sessão")</f>
        <v/>
      </c>
      <c r="C439" s="6">
        <f>IF(Preenchimento!$B$97="","",Preenchimento!$B$97)</f>
        <v/>
      </c>
      <c r="D439" s="6">
        <f>IF($C439="","",IF(Preenchimento!$C$97="","-",Preenchimento!$C$97))</f>
        <v/>
      </c>
      <c r="E439" s="6" t="n"/>
      <c r="F439" s="6" t="n"/>
      <c r="G439" s="26" t="n"/>
      <c r="H439" s="6" t="n"/>
      <c r="I439" s="13" t="n"/>
      <c r="J439" s="27">
        <f>IF($C439="","",IF($E439="Falta","-",MAX(0,MIN(10,8+IFERROR(VALUE(TRIM(MID(SUBSTITUTE(SUBSTITUTE(SUBSTITUTE(UPPER($H439)," ",""),"D",""),";",REPT(" ",30)),1,30))),0)+IFERROR(VALUE(TRIM(MID(SUBSTITUTE(SUBSTITUTE(SUBSTITUTE(UPPER($H439)," ",""),"D",""),";",REPT(" ",30)),31,30))),0)+IFERROR(VALUE(TRIM(MID(SUBSTITUTE(SUBSTITUTE(SUBSTITUTE(UPPER($H439)," ",""),"D",""),";",REPT(" ",30)),61,30))),0)+IFERROR(VALUE(TRIM(MID(SUBSTITUTE(SUBSTITUTE(SUBSTITUTE(UPPER($H439)," ",""),"D",""),";",REPT(" ",30)),91,30))),0)+IFERROR(VALUE(TRIM(MID(SUBSTITUTE(SUBSTITUTE(SUBSTITUTE(UPPER($H439)," ",""),"D",""),";",REPT(" ",30)),121,30))),0)+IFERROR(VALUE(TRIM(MID(SUBSTITUTE(SUBSTITUTE(SUBSTITUTE(UPPER($H439)," ",""),"D",""),";",REPT(" ",30)),151,30))),0)+IFERROR(VALUE(TRIM(MID(SUBSTITUTE(SUBSTITUTE(SUBSTITUTE(UPPER($H439)," ",""),"D",""),";",REPT(" ",30)),181,30))),0)+IFERROR(VALUE(TRIM(MID(SUBSTITUTE(SUBSTITUTE(SUBSTITUTE(UPPER($H439)," ",""),"D",""),";",REPT(" ",30)),211,30))),0)))))</f>
        <v/>
      </c>
      <c r="K439" s="26" t="n"/>
      <c r="L439" s="6" t="n"/>
      <c r="M439" s="13" t="n"/>
      <c r="N439" s="27">
        <f>IF($C439="","",IF($E439="Falta","-",MAX(0,MIN(10,8+IFERROR(VALUE(TRIM(MID(SUBSTITUTE(SUBSTITUTE(SUBSTITUTE(UPPER($L439)," ",""),"F",""),";",REPT(" ",30)),1,30))),0)+IFERROR(VALUE(TRIM(MID(SUBSTITUTE(SUBSTITUTE(SUBSTITUTE(UPPER($L439)," ",""),"F",""),";",REPT(" ",30)),31,30))),0)+IFERROR(VALUE(TRIM(MID(SUBSTITUTE(SUBSTITUTE(SUBSTITUTE(UPPER($L439)," ",""),"F",""),";",REPT(" ",30)),61,30))),0)+IFERROR(VALUE(TRIM(MID(SUBSTITUTE(SUBSTITUTE(SUBSTITUTE(UPPER($L439)," ",""),"F",""),";",REPT(" ",30)),91,30))),0)+IFERROR(VALUE(TRIM(MID(SUBSTITUTE(SUBSTITUTE(SUBSTITUTE(UPPER($L439)," ",""),"F",""),";",REPT(" ",30)),121,30))),0)+IFERROR(VALUE(TRIM(MID(SUBSTITUTE(SUBSTITUTE(SUBSTITUTE(UPPER($L439)," ",""),"F",""),";",REPT(" ",30)),151,30))),0)+IFERROR(VALUE(TRIM(MID(SUBSTITUTE(SUBSTITUTE(SUBSTITUTE(UPPER($L439)," ",""),"F",""),";",REPT(" ",30)),181,30))),0)+IFERROR(VALUE(TRIM(MID(SUBSTITUTE(SUBSTITUTE(SUBSTITUTE(UPPER($L439)," ",""),"F",""),";",REPT(" ",30)),211,30))),0)))))</f>
        <v/>
      </c>
      <c r="O439" s="26" t="n"/>
      <c r="P439" s="6" t="n"/>
      <c r="Q439" s="13" t="n"/>
      <c r="R439" s="27">
        <f>IF($C439="","",IF($E439="Falta","-",MAX(0,MIN(10,5+IFERROR(VALUE(TRIM(MID(SUBSTITUTE(SUBSTITUTE(SUBSTITUTE(UPPER($P439)," ",""),"C",""),";",REPT(" ",30)),1,30))),0)+IFERROR(VALUE(TRIM(MID(SUBSTITUTE(SUBSTITUTE(SUBSTITUTE(UPPER($P439)," ",""),"C",""),";",REPT(" ",30)),31,30))),0)+IFERROR(VALUE(TRIM(MID(SUBSTITUTE(SUBSTITUTE(SUBSTITUTE(UPPER($P439)," ",""),"C",""),";",REPT(" ",30)),61,30))),0)+IFERROR(VALUE(TRIM(MID(SUBSTITUTE(SUBSTITUTE(SUBSTITUTE(UPPER($P439)," ",""),"C",""),";",REPT(" ",30)),91,30))),0)+IFERROR(VALUE(TRIM(MID(SUBSTITUTE(SUBSTITUTE(SUBSTITUTE(UPPER($P439)," ",""),"C",""),";",REPT(" ",30)),121,30))),0)+IFERROR(VALUE(TRIM(MID(SUBSTITUTE(SUBSTITUTE(SUBSTITUTE(UPPER($P439)," ",""),"C",""),";",REPT(" ",30)),151,30))),0)+IFERROR(VALUE(TRIM(MID(SUBSTITUTE(SUBSTITUTE(SUBSTITUTE(UPPER($P439)," ",""),"C",""),";",REPT(" ",30)),181,30))),0)+IFERROR(VALUE(TRIM(MID(SUBSTITUTE(SUBSTITUTE(SUBSTITUTE(UPPER($P439)," ",""),"C",""),";",REPT(" ",30)),211,30))),0)))))</f>
        <v/>
      </c>
      <c r="S439" s="26" t="n"/>
      <c r="T439" s="6" t="n"/>
      <c r="U439" s="13" t="n"/>
      <c r="V439" s="27">
        <f>IF($C439="","",IF($E439="Falta","-",MAX(0,MIN(10,5+IFERROR(VALUE(TRIM(MID(SUBSTITUTE(SUBSTITUTE(SUBSTITUTE(UPPER($T439)," ",""),"P",""),";",REPT(" ",30)),1,30))),0)+IFERROR(VALUE(TRIM(MID(SUBSTITUTE(SUBSTITUTE(SUBSTITUTE(UPPER($T439)," ",""),"P",""),";",REPT(" ",30)),31,30))),0)+IFERROR(VALUE(TRIM(MID(SUBSTITUTE(SUBSTITUTE(SUBSTITUTE(UPPER($T439)," ",""),"P",""),";",REPT(" ",30)),61,30))),0)+IFERROR(VALUE(TRIM(MID(SUBSTITUTE(SUBSTITUTE(SUBSTITUTE(UPPER($T439)," ",""),"P",""),";",REPT(" ",30)),91,30))),0)+IFERROR(VALUE(TRIM(MID(SUBSTITUTE(SUBSTITUTE(SUBSTITUTE(UPPER($T439)," ",""),"P",""),";",REPT(" ",30)),121,30))),0)+IFERROR(VALUE(TRIM(MID(SUBSTITUTE(SUBSTITUTE(SUBSTITUTE(UPPER($T439)," ",""),"P",""),";",REPT(" ",30)),151,30))),0)+IFERROR(VALUE(TRIM(MID(SUBSTITUTE(SUBSTITUTE(SUBSTITUTE(UPPER($T439)," ",""),"P",""),";",REPT(" ",30)),181,30))),0)+IFERROR(VALUE(TRIM(MID(SUBSTITUTE(SUBSTITUTE(SUBSTITUTE(UPPER($T439)," ",""),"P",""),";",REPT(" ",30)),211,30))),0)))))</f>
        <v/>
      </c>
      <c r="W439" s="26" t="n"/>
      <c r="X439" s="13" t="n"/>
    </row>
    <row r="440">
      <c r="A440" s="6">
        <f>IF($C440="","",88)</f>
        <v/>
      </c>
      <c r="B440" s="6">
        <f>IF($C440="","","2ª Sessão")</f>
        <v/>
      </c>
      <c r="C440" s="6">
        <f>IF(Preenchimento!$B$97="","",Preenchimento!$B$97)</f>
        <v/>
      </c>
      <c r="D440" s="6">
        <f>IF($C440="","",IF(Preenchimento!$C$97="","-",Preenchimento!$C$97))</f>
        <v/>
      </c>
      <c r="E440" s="6" t="n"/>
      <c r="F440" s="6" t="n"/>
      <c r="G440" s="26" t="n"/>
      <c r="H440" s="6" t="n"/>
      <c r="I440" s="13" t="n"/>
      <c r="J440" s="27">
        <f>IF($C440="","",IF($E440="Falta","-",MAX(0,MIN(10,8+IFERROR(VALUE(TRIM(MID(SUBSTITUTE(SUBSTITUTE(SUBSTITUTE(UPPER($H440)," ",""),"D",""),";",REPT(" ",30)),1,30))),0)+IFERROR(VALUE(TRIM(MID(SUBSTITUTE(SUBSTITUTE(SUBSTITUTE(UPPER($H440)," ",""),"D",""),";",REPT(" ",30)),31,30))),0)+IFERROR(VALUE(TRIM(MID(SUBSTITUTE(SUBSTITUTE(SUBSTITUTE(UPPER($H440)," ",""),"D",""),";",REPT(" ",30)),61,30))),0)+IFERROR(VALUE(TRIM(MID(SUBSTITUTE(SUBSTITUTE(SUBSTITUTE(UPPER($H440)," ",""),"D",""),";",REPT(" ",30)),91,30))),0)+IFERROR(VALUE(TRIM(MID(SUBSTITUTE(SUBSTITUTE(SUBSTITUTE(UPPER($H440)," ",""),"D",""),";",REPT(" ",30)),121,30))),0)+IFERROR(VALUE(TRIM(MID(SUBSTITUTE(SUBSTITUTE(SUBSTITUTE(UPPER($H440)," ",""),"D",""),";",REPT(" ",30)),151,30))),0)+IFERROR(VALUE(TRIM(MID(SUBSTITUTE(SUBSTITUTE(SUBSTITUTE(UPPER($H440)," ",""),"D",""),";",REPT(" ",30)),181,30))),0)+IFERROR(VALUE(TRIM(MID(SUBSTITUTE(SUBSTITUTE(SUBSTITUTE(UPPER($H440)," ",""),"D",""),";",REPT(" ",30)),211,30))),0)))))</f>
        <v/>
      </c>
      <c r="K440" s="26" t="n"/>
      <c r="L440" s="6" t="n"/>
      <c r="M440" s="13" t="n"/>
      <c r="N440" s="27">
        <f>IF($C440="","",IF($E440="Falta","-",MAX(0,MIN(10,8+IFERROR(VALUE(TRIM(MID(SUBSTITUTE(SUBSTITUTE(SUBSTITUTE(UPPER($L440)," ",""),"F",""),";",REPT(" ",30)),1,30))),0)+IFERROR(VALUE(TRIM(MID(SUBSTITUTE(SUBSTITUTE(SUBSTITUTE(UPPER($L440)," ",""),"F",""),";",REPT(" ",30)),31,30))),0)+IFERROR(VALUE(TRIM(MID(SUBSTITUTE(SUBSTITUTE(SUBSTITUTE(UPPER($L440)," ",""),"F",""),";",REPT(" ",30)),61,30))),0)+IFERROR(VALUE(TRIM(MID(SUBSTITUTE(SUBSTITUTE(SUBSTITUTE(UPPER($L440)," ",""),"F",""),";",REPT(" ",30)),91,30))),0)+IFERROR(VALUE(TRIM(MID(SUBSTITUTE(SUBSTITUTE(SUBSTITUTE(UPPER($L440)," ",""),"F",""),";",REPT(" ",30)),121,30))),0)+IFERROR(VALUE(TRIM(MID(SUBSTITUTE(SUBSTITUTE(SUBSTITUTE(UPPER($L440)," ",""),"F",""),";",REPT(" ",30)),151,30))),0)+IFERROR(VALUE(TRIM(MID(SUBSTITUTE(SUBSTITUTE(SUBSTITUTE(UPPER($L440)," ",""),"F",""),";",REPT(" ",30)),181,30))),0)+IFERROR(VALUE(TRIM(MID(SUBSTITUTE(SUBSTITUTE(SUBSTITUTE(UPPER($L440)," ",""),"F",""),";",REPT(" ",30)),211,30))),0)))))</f>
        <v/>
      </c>
      <c r="O440" s="26" t="n"/>
      <c r="P440" s="6" t="n"/>
      <c r="Q440" s="13" t="n"/>
      <c r="R440" s="27">
        <f>IF($C440="","",IF($E440="Falta","-",MAX(0,MIN(10,5+IFERROR(VALUE(TRIM(MID(SUBSTITUTE(SUBSTITUTE(SUBSTITUTE(UPPER($P440)," ",""),"C",""),";",REPT(" ",30)),1,30))),0)+IFERROR(VALUE(TRIM(MID(SUBSTITUTE(SUBSTITUTE(SUBSTITUTE(UPPER($P440)," ",""),"C",""),";",REPT(" ",30)),31,30))),0)+IFERROR(VALUE(TRIM(MID(SUBSTITUTE(SUBSTITUTE(SUBSTITUTE(UPPER($P440)," ",""),"C",""),";",REPT(" ",30)),61,30))),0)+IFERROR(VALUE(TRIM(MID(SUBSTITUTE(SUBSTITUTE(SUBSTITUTE(UPPER($P440)," ",""),"C",""),";",REPT(" ",30)),91,30))),0)+IFERROR(VALUE(TRIM(MID(SUBSTITUTE(SUBSTITUTE(SUBSTITUTE(UPPER($P440)," ",""),"C",""),";",REPT(" ",30)),121,30))),0)+IFERROR(VALUE(TRIM(MID(SUBSTITUTE(SUBSTITUTE(SUBSTITUTE(UPPER($P440)," ",""),"C",""),";",REPT(" ",30)),151,30))),0)+IFERROR(VALUE(TRIM(MID(SUBSTITUTE(SUBSTITUTE(SUBSTITUTE(UPPER($P440)," ",""),"C",""),";",REPT(" ",30)),181,30))),0)+IFERROR(VALUE(TRIM(MID(SUBSTITUTE(SUBSTITUTE(SUBSTITUTE(UPPER($P440)," ",""),"C",""),";",REPT(" ",30)),211,30))),0)))))</f>
        <v/>
      </c>
      <c r="S440" s="26" t="n"/>
      <c r="T440" s="6" t="n"/>
      <c r="U440" s="13" t="n"/>
      <c r="V440" s="27">
        <f>IF($C440="","",IF($E440="Falta","-",MAX(0,MIN(10,5+IFERROR(VALUE(TRIM(MID(SUBSTITUTE(SUBSTITUTE(SUBSTITUTE(UPPER($T440)," ",""),"P",""),";",REPT(" ",30)),1,30))),0)+IFERROR(VALUE(TRIM(MID(SUBSTITUTE(SUBSTITUTE(SUBSTITUTE(UPPER($T440)," ",""),"P",""),";",REPT(" ",30)),31,30))),0)+IFERROR(VALUE(TRIM(MID(SUBSTITUTE(SUBSTITUTE(SUBSTITUTE(UPPER($T440)," ",""),"P",""),";",REPT(" ",30)),61,30))),0)+IFERROR(VALUE(TRIM(MID(SUBSTITUTE(SUBSTITUTE(SUBSTITUTE(UPPER($T440)," ",""),"P",""),";",REPT(" ",30)),91,30))),0)+IFERROR(VALUE(TRIM(MID(SUBSTITUTE(SUBSTITUTE(SUBSTITUTE(UPPER($T440)," ",""),"P",""),";",REPT(" ",30)),121,30))),0)+IFERROR(VALUE(TRIM(MID(SUBSTITUTE(SUBSTITUTE(SUBSTITUTE(UPPER($T440)," ",""),"P",""),";",REPT(" ",30)),151,30))),0)+IFERROR(VALUE(TRIM(MID(SUBSTITUTE(SUBSTITUTE(SUBSTITUTE(UPPER($T440)," ",""),"P",""),";",REPT(" ",30)),181,30))),0)+IFERROR(VALUE(TRIM(MID(SUBSTITUTE(SUBSTITUTE(SUBSTITUTE(UPPER($T440)," ",""),"P",""),";",REPT(" ",30)),211,30))),0)))))</f>
        <v/>
      </c>
      <c r="W440" s="26" t="n"/>
      <c r="X440" s="13" t="n"/>
    </row>
    <row r="441">
      <c r="A441" s="6">
        <f>IF($C441="","",88)</f>
        <v/>
      </c>
      <c r="B441" s="6">
        <f>IF($C441="","","3ª Sessão")</f>
        <v/>
      </c>
      <c r="C441" s="6">
        <f>IF(Preenchimento!$B$97="","",Preenchimento!$B$97)</f>
        <v/>
      </c>
      <c r="D441" s="6">
        <f>IF($C441="","",IF(Preenchimento!$C$97="","-",Preenchimento!$C$97))</f>
        <v/>
      </c>
      <c r="E441" s="6" t="n"/>
      <c r="F441" s="6" t="n"/>
      <c r="G441" s="26" t="n"/>
      <c r="H441" s="6" t="n"/>
      <c r="I441" s="13" t="n"/>
      <c r="J441" s="27">
        <f>IF($C441="","",IF($E441="Falta","-",MAX(0,MIN(10,8+IFERROR(VALUE(TRIM(MID(SUBSTITUTE(SUBSTITUTE(SUBSTITUTE(UPPER($H441)," ",""),"D",""),";",REPT(" ",30)),1,30))),0)+IFERROR(VALUE(TRIM(MID(SUBSTITUTE(SUBSTITUTE(SUBSTITUTE(UPPER($H441)," ",""),"D",""),";",REPT(" ",30)),31,30))),0)+IFERROR(VALUE(TRIM(MID(SUBSTITUTE(SUBSTITUTE(SUBSTITUTE(UPPER($H441)," ",""),"D",""),";",REPT(" ",30)),61,30))),0)+IFERROR(VALUE(TRIM(MID(SUBSTITUTE(SUBSTITUTE(SUBSTITUTE(UPPER($H441)," ",""),"D",""),";",REPT(" ",30)),91,30))),0)+IFERROR(VALUE(TRIM(MID(SUBSTITUTE(SUBSTITUTE(SUBSTITUTE(UPPER($H441)," ",""),"D",""),";",REPT(" ",30)),121,30))),0)+IFERROR(VALUE(TRIM(MID(SUBSTITUTE(SUBSTITUTE(SUBSTITUTE(UPPER($H441)," ",""),"D",""),";",REPT(" ",30)),151,30))),0)+IFERROR(VALUE(TRIM(MID(SUBSTITUTE(SUBSTITUTE(SUBSTITUTE(UPPER($H441)," ",""),"D",""),";",REPT(" ",30)),181,30))),0)+IFERROR(VALUE(TRIM(MID(SUBSTITUTE(SUBSTITUTE(SUBSTITUTE(UPPER($H441)," ",""),"D",""),";",REPT(" ",30)),211,30))),0)))))</f>
        <v/>
      </c>
      <c r="K441" s="26" t="n"/>
      <c r="L441" s="6" t="n"/>
      <c r="M441" s="13" t="n"/>
      <c r="N441" s="27">
        <f>IF($C441="","",IF($E441="Falta","-",MAX(0,MIN(10,8+IFERROR(VALUE(TRIM(MID(SUBSTITUTE(SUBSTITUTE(SUBSTITUTE(UPPER($L441)," ",""),"F",""),";",REPT(" ",30)),1,30))),0)+IFERROR(VALUE(TRIM(MID(SUBSTITUTE(SUBSTITUTE(SUBSTITUTE(UPPER($L441)," ",""),"F",""),";",REPT(" ",30)),31,30))),0)+IFERROR(VALUE(TRIM(MID(SUBSTITUTE(SUBSTITUTE(SUBSTITUTE(UPPER($L441)," ",""),"F",""),";",REPT(" ",30)),61,30))),0)+IFERROR(VALUE(TRIM(MID(SUBSTITUTE(SUBSTITUTE(SUBSTITUTE(UPPER($L441)," ",""),"F",""),";",REPT(" ",30)),91,30))),0)+IFERROR(VALUE(TRIM(MID(SUBSTITUTE(SUBSTITUTE(SUBSTITUTE(UPPER($L441)," ",""),"F",""),";",REPT(" ",30)),121,30))),0)+IFERROR(VALUE(TRIM(MID(SUBSTITUTE(SUBSTITUTE(SUBSTITUTE(UPPER($L441)," ",""),"F",""),";",REPT(" ",30)),151,30))),0)+IFERROR(VALUE(TRIM(MID(SUBSTITUTE(SUBSTITUTE(SUBSTITUTE(UPPER($L441)," ",""),"F",""),";",REPT(" ",30)),181,30))),0)+IFERROR(VALUE(TRIM(MID(SUBSTITUTE(SUBSTITUTE(SUBSTITUTE(UPPER($L441)," ",""),"F",""),";",REPT(" ",30)),211,30))),0)))))</f>
        <v/>
      </c>
      <c r="O441" s="26" t="n"/>
      <c r="P441" s="6" t="n"/>
      <c r="Q441" s="13" t="n"/>
      <c r="R441" s="27">
        <f>IF($C441="","",IF($E441="Falta","-",MAX(0,MIN(10,5+IFERROR(VALUE(TRIM(MID(SUBSTITUTE(SUBSTITUTE(SUBSTITUTE(UPPER($P441)," ",""),"C",""),";",REPT(" ",30)),1,30))),0)+IFERROR(VALUE(TRIM(MID(SUBSTITUTE(SUBSTITUTE(SUBSTITUTE(UPPER($P441)," ",""),"C",""),";",REPT(" ",30)),31,30))),0)+IFERROR(VALUE(TRIM(MID(SUBSTITUTE(SUBSTITUTE(SUBSTITUTE(UPPER($P441)," ",""),"C",""),";",REPT(" ",30)),61,30))),0)+IFERROR(VALUE(TRIM(MID(SUBSTITUTE(SUBSTITUTE(SUBSTITUTE(UPPER($P441)," ",""),"C",""),";",REPT(" ",30)),91,30))),0)+IFERROR(VALUE(TRIM(MID(SUBSTITUTE(SUBSTITUTE(SUBSTITUTE(UPPER($P441)," ",""),"C",""),";",REPT(" ",30)),121,30))),0)+IFERROR(VALUE(TRIM(MID(SUBSTITUTE(SUBSTITUTE(SUBSTITUTE(UPPER($P441)," ",""),"C",""),";",REPT(" ",30)),151,30))),0)+IFERROR(VALUE(TRIM(MID(SUBSTITUTE(SUBSTITUTE(SUBSTITUTE(UPPER($P441)," ",""),"C",""),";",REPT(" ",30)),181,30))),0)+IFERROR(VALUE(TRIM(MID(SUBSTITUTE(SUBSTITUTE(SUBSTITUTE(UPPER($P441)," ",""),"C",""),";",REPT(" ",30)),211,30))),0)))))</f>
        <v/>
      </c>
      <c r="S441" s="26" t="n"/>
      <c r="T441" s="6" t="n"/>
      <c r="U441" s="13" t="n"/>
      <c r="V441" s="27">
        <f>IF($C441="","",IF($E441="Falta","-",MAX(0,MIN(10,5+IFERROR(VALUE(TRIM(MID(SUBSTITUTE(SUBSTITUTE(SUBSTITUTE(UPPER($T441)," ",""),"P",""),";",REPT(" ",30)),1,30))),0)+IFERROR(VALUE(TRIM(MID(SUBSTITUTE(SUBSTITUTE(SUBSTITUTE(UPPER($T441)," ",""),"P",""),";",REPT(" ",30)),31,30))),0)+IFERROR(VALUE(TRIM(MID(SUBSTITUTE(SUBSTITUTE(SUBSTITUTE(UPPER($T441)," ",""),"P",""),";",REPT(" ",30)),61,30))),0)+IFERROR(VALUE(TRIM(MID(SUBSTITUTE(SUBSTITUTE(SUBSTITUTE(UPPER($T441)," ",""),"P",""),";",REPT(" ",30)),91,30))),0)+IFERROR(VALUE(TRIM(MID(SUBSTITUTE(SUBSTITUTE(SUBSTITUTE(UPPER($T441)," ",""),"P",""),";",REPT(" ",30)),121,30))),0)+IFERROR(VALUE(TRIM(MID(SUBSTITUTE(SUBSTITUTE(SUBSTITUTE(UPPER($T441)," ",""),"P",""),";",REPT(" ",30)),151,30))),0)+IFERROR(VALUE(TRIM(MID(SUBSTITUTE(SUBSTITUTE(SUBSTITUTE(UPPER($T441)," ",""),"P",""),";",REPT(" ",30)),181,30))),0)+IFERROR(VALUE(TRIM(MID(SUBSTITUTE(SUBSTITUTE(SUBSTITUTE(UPPER($T441)," ",""),"P",""),";",REPT(" ",30)),211,30))),0)))))</f>
        <v/>
      </c>
      <c r="W441" s="26" t="n"/>
      <c r="X441" s="13" t="n"/>
    </row>
    <row r="442">
      <c r="A442" s="6">
        <f>IF($C442="","",88)</f>
        <v/>
      </c>
      <c r="B442" s="6">
        <f>IF($C442="","","4ª Sessão")</f>
        <v/>
      </c>
      <c r="C442" s="6">
        <f>IF(Preenchimento!$B$97="","",Preenchimento!$B$97)</f>
        <v/>
      </c>
      <c r="D442" s="6">
        <f>IF($C442="","",IF(Preenchimento!$C$97="","-",Preenchimento!$C$97))</f>
        <v/>
      </c>
      <c r="E442" s="6" t="n"/>
      <c r="F442" s="6" t="n"/>
      <c r="G442" s="26" t="n"/>
      <c r="H442" s="6" t="n"/>
      <c r="I442" s="13" t="n"/>
      <c r="J442" s="27">
        <f>IF($C442="","",IF($E442="Falta","-",MAX(0,MIN(10,8+IFERROR(VALUE(TRIM(MID(SUBSTITUTE(SUBSTITUTE(SUBSTITUTE(UPPER($H442)," ",""),"D",""),";",REPT(" ",30)),1,30))),0)+IFERROR(VALUE(TRIM(MID(SUBSTITUTE(SUBSTITUTE(SUBSTITUTE(UPPER($H442)," ",""),"D",""),";",REPT(" ",30)),31,30))),0)+IFERROR(VALUE(TRIM(MID(SUBSTITUTE(SUBSTITUTE(SUBSTITUTE(UPPER($H442)," ",""),"D",""),";",REPT(" ",30)),61,30))),0)+IFERROR(VALUE(TRIM(MID(SUBSTITUTE(SUBSTITUTE(SUBSTITUTE(UPPER($H442)," ",""),"D",""),";",REPT(" ",30)),91,30))),0)+IFERROR(VALUE(TRIM(MID(SUBSTITUTE(SUBSTITUTE(SUBSTITUTE(UPPER($H442)," ",""),"D",""),";",REPT(" ",30)),121,30))),0)+IFERROR(VALUE(TRIM(MID(SUBSTITUTE(SUBSTITUTE(SUBSTITUTE(UPPER($H442)," ",""),"D",""),";",REPT(" ",30)),151,30))),0)+IFERROR(VALUE(TRIM(MID(SUBSTITUTE(SUBSTITUTE(SUBSTITUTE(UPPER($H442)," ",""),"D",""),";",REPT(" ",30)),181,30))),0)+IFERROR(VALUE(TRIM(MID(SUBSTITUTE(SUBSTITUTE(SUBSTITUTE(UPPER($H442)," ",""),"D",""),";",REPT(" ",30)),211,30))),0)))))</f>
        <v/>
      </c>
      <c r="K442" s="26" t="n"/>
      <c r="L442" s="6" t="n"/>
      <c r="M442" s="13" t="n"/>
      <c r="N442" s="27">
        <f>IF($C442="","",IF($E442="Falta","-",MAX(0,MIN(10,8+IFERROR(VALUE(TRIM(MID(SUBSTITUTE(SUBSTITUTE(SUBSTITUTE(UPPER($L442)," ",""),"F",""),";",REPT(" ",30)),1,30))),0)+IFERROR(VALUE(TRIM(MID(SUBSTITUTE(SUBSTITUTE(SUBSTITUTE(UPPER($L442)," ",""),"F",""),";",REPT(" ",30)),31,30))),0)+IFERROR(VALUE(TRIM(MID(SUBSTITUTE(SUBSTITUTE(SUBSTITUTE(UPPER($L442)," ",""),"F",""),";",REPT(" ",30)),61,30))),0)+IFERROR(VALUE(TRIM(MID(SUBSTITUTE(SUBSTITUTE(SUBSTITUTE(UPPER($L442)," ",""),"F",""),";",REPT(" ",30)),91,30))),0)+IFERROR(VALUE(TRIM(MID(SUBSTITUTE(SUBSTITUTE(SUBSTITUTE(UPPER($L442)," ",""),"F",""),";",REPT(" ",30)),121,30))),0)+IFERROR(VALUE(TRIM(MID(SUBSTITUTE(SUBSTITUTE(SUBSTITUTE(UPPER($L442)," ",""),"F",""),";",REPT(" ",30)),151,30))),0)+IFERROR(VALUE(TRIM(MID(SUBSTITUTE(SUBSTITUTE(SUBSTITUTE(UPPER($L442)," ",""),"F",""),";",REPT(" ",30)),181,30))),0)+IFERROR(VALUE(TRIM(MID(SUBSTITUTE(SUBSTITUTE(SUBSTITUTE(UPPER($L442)," ",""),"F",""),";",REPT(" ",30)),211,30))),0)))))</f>
        <v/>
      </c>
      <c r="O442" s="26" t="n"/>
      <c r="P442" s="6" t="n"/>
      <c r="Q442" s="13" t="n"/>
      <c r="R442" s="27">
        <f>IF($C442="","",IF($E442="Falta","-",MAX(0,MIN(10,5+IFERROR(VALUE(TRIM(MID(SUBSTITUTE(SUBSTITUTE(SUBSTITUTE(UPPER($P442)," ",""),"C",""),";",REPT(" ",30)),1,30))),0)+IFERROR(VALUE(TRIM(MID(SUBSTITUTE(SUBSTITUTE(SUBSTITUTE(UPPER($P442)," ",""),"C",""),";",REPT(" ",30)),31,30))),0)+IFERROR(VALUE(TRIM(MID(SUBSTITUTE(SUBSTITUTE(SUBSTITUTE(UPPER($P442)," ",""),"C",""),";",REPT(" ",30)),61,30))),0)+IFERROR(VALUE(TRIM(MID(SUBSTITUTE(SUBSTITUTE(SUBSTITUTE(UPPER($P442)," ",""),"C",""),";",REPT(" ",30)),91,30))),0)+IFERROR(VALUE(TRIM(MID(SUBSTITUTE(SUBSTITUTE(SUBSTITUTE(UPPER($P442)," ",""),"C",""),";",REPT(" ",30)),121,30))),0)+IFERROR(VALUE(TRIM(MID(SUBSTITUTE(SUBSTITUTE(SUBSTITUTE(UPPER($P442)," ",""),"C",""),";",REPT(" ",30)),151,30))),0)+IFERROR(VALUE(TRIM(MID(SUBSTITUTE(SUBSTITUTE(SUBSTITUTE(UPPER($P442)," ",""),"C",""),";",REPT(" ",30)),181,30))),0)+IFERROR(VALUE(TRIM(MID(SUBSTITUTE(SUBSTITUTE(SUBSTITUTE(UPPER($P442)," ",""),"C",""),";",REPT(" ",30)),211,30))),0)))))</f>
        <v/>
      </c>
      <c r="S442" s="26" t="n"/>
      <c r="T442" s="6" t="n"/>
      <c r="U442" s="13" t="n"/>
      <c r="V442" s="27">
        <f>IF($C442="","",IF($E442="Falta","-",MAX(0,MIN(10,5+IFERROR(VALUE(TRIM(MID(SUBSTITUTE(SUBSTITUTE(SUBSTITUTE(UPPER($T442)," ",""),"P",""),";",REPT(" ",30)),1,30))),0)+IFERROR(VALUE(TRIM(MID(SUBSTITUTE(SUBSTITUTE(SUBSTITUTE(UPPER($T442)," ",""),"P",""),";",REPT(" ",30)),31,30))),0)+IFERROR(VALUE(TRIM(MID(SUBSTITUTE(SUBSTITUTE(SUBSTITUTE(UPPER($T442)," ",""),"P",""),";",REPT(" ",30)),61,30))),0)+IFERROR(VALUE(TRIM(MID(SUBSTITUTE(SUBSTITUTE(SUBSTITUTE(UPPER($T442)," ",""),"P",""),";",REPT(" ",30)),91,30))),0)+IFERROR(VALUE(TRIM(MID(SUBSTITUTE(SUBSTITUTE(SUBSTITUTE(UPPER($T442)," ",""),"P",""),";",REPT(" ",30)),121,30))),0)+IFERROR(VALUE(TRIM(MID(SUBSTITUTE(SUBSTITUTE(SUBSTITUTE(UPPER($T442)," ",""),"P",""),";",REPT(" ",30)),151,30))),0)+IFERROR(VALUE(TRIM(MID(SUBSTITUTE(SUBSTITUTE(SUBSTITUTE(UPPER($T442)," ",""),"P",""),";",REPT(" ",30)),181,30))),0)+IFERROR(VALUE(TRIM(MID(SUBSTITUTE(SUBSTITUTE(SUBSTITUTE(UPPER($T442)," ",""),"P",""),";",REPT(" ",30)),211,30))),0)))))</f>
        <v/>
      </c>
      <c r="W442" s="26" t="n"/>
      <c r="X442" s="13" t="n"/>
    </row>
    <row r="443">
      <c r="A443" s="6">
        <f>IF($C443="","",88)</f>
        <v/>
      </c>
      <c r="B443" s="6">
        <f>IF($C443="","","5ª Sessão")</f>
        <v/>
      </c>
      <c r="C443" s="6">
        <f>IF(Preenchimento!$B$97="","",Preenchimento!$B$97)</f>
        <v/>
      </c>
      <c r="D443" s="6">
        <f>IF($C443="","",IF(Preenchimento!$C$97="","-",Preenchimento!$C$97))</f>
        <v/>
      </c>
      <c r="E443" s="6" t="n"/>
      <c r="F443" s="6" t="n"/>
      <c r="G443" s="26" t="n"/>
      <c r="H443" s="6" t="n"/>
      <c r="I443" s="13" t="n"/>
      <c r="J443" s="27">
        <f>IF($C443="","",IF($E443="Falta","-",MAX(0,MIN(10,8+IFERROR(VALUE(TRIM(MID(SUBSTITUTE(SUBSTITUTE(SUBSTITUTE(UPPER($H443)," ",""),"D",""),";",REPT(" ",30)),1,30))),0)+IFERROR(VALUE(TRIM(MID(SUBSTITUTE(SUBSTITUTE(SUBSTITUTE(UPPER($H443)," ",""),"D",""),";",REPT(" ",30)),31,30))),0)+IFERROR(VALUE(TRIM(MID(SUBSTITUTE(SUBSTITUTE(SUBSTITUTE(UPPER($H443)," ",""),"D",""),";",REPT(" ",30)),61,30))),0)+IFERROR(VALUE(TRIM(MID(SUBSTITUTE(SUBSTITUTE(SUBSTITUTE(UPPER($H443)," ",""),"D",""),";",REPT(" ",30)),91,30))),0)+IFERROR(VALUE(TRIM(MID(SUBSTITUTE(SUBSTITUTE(SUBSTITUTE(UPPER($H443)," ",""),"D",""),";",REPT(" ",30)),121,30))),0)+IFERROR(VALUE(TRIM(MID(SUBSTITUTE(SUBSTITUTE(SUBSTITUTE(UPPER($H443)," ",""),"D",""),";",REPT(" ",30)),151,30))),0)+IFERROR(VALUE(TRIM(MID(SUBSTITUTE(SUBSTITUTE(SUBSTITUTE(UPPER($H443)," ",""),"D",""),";",REPT(" ",30)),181,30))),0)+IFERROR(VALUE(TRIM(MID(SUBSTITUTE(SUBSTITUTE(SUBSTITUTE(UPPER($H443)," ",""),"D",""),";",REPT(" ",30)),211,30))),0)))))</f>
        <v/>
      </c>
      <c r="K443" s="26" t="n"/>
      <c r="L443" s="6" t="n"/>
      <c r="M443" s="13" t="n"/>
      <c r="N443" s="27">
        <f>IF($C443="","",IF($E443="Falta","-",MAX(0,MIN(10,8+IFERROR(VALUE(TRIM(MID(SUBSTITUTE(SUBSTITUTE(SUBSTITUTE(UPPER($L443)," ",""),"F",""),";",REPT(" ",30)),1,30))),0)+IFERROR(VALUE(TRIM(MID(SUBSTITUTE(SUBSTITUTE(SUBSTITUTE(UPPER($L443)," ",""),"F",""),";",REPT(" ",30)),31,30))),0)+IFERROR(VALUE(TRIM(MID(SUBSTITUTE(SUBSTITUTE(SUBSTITUTE(UPPER($L443)," ",""),"F",""),";",REPT(" ",30)),61,30))),0)+IFERROR(VALUE(TRIM(MID(SUBSTITUTE(SUBSTITUTE(SUBSTITUTE(UPPER($L443)," ",""),"F",""),";",REPT(" ",30)),91,30))),0)+IFERROR(VALUE(TRIM(MID(SUBSTITUTE(SUBSTITUTE(SUBSTITUTE(UPPER($L443)," ",""),"F",""),";",REPT(" ",30)),121,30))),0)+IFERROR(VALUE(TRIM(MID(SUBSTITUTE(SUBSTITUTE(SUBSTITUTE(UPPER($L443)," ",""),"F",""),";",REPT(" ",30)),151,30))),0)+IFERROR(VALUE(TRIM(MID(SUBSTITUTE(SUBSTITUTE(SUBSTITUTE(UPPER($L443)," ",""),"F",""),";",REPT(" ",30)),181,30))),0)+IFERROR(VALUE(TRIM(MID(SUBSTITUTE(SUBSTITUTE(SUBSTITUTE(UPPER($L443)," ",""),"F",""),";",REPT(" ",30)),211,30))),0)))))</f>
        <v/>
      </c>
      <c r="O443" s="26" t="n"/>
      <c r="P443" s="6" t="n"/>
      <c r="Q443" s="13" t="n"/>
      <c r="R443" s="27">
        <f>IF($C443="","",IF($E443="Falta","-",MAX(0,MIN(10,5+IFERROR(VALUE(TRIM(MID(SUBSTITUTE(SUBSTITUTE(SUBSTITUTE(UPPER($P443)," ",""),"C",""),";",REPT(" ",30)),1,30))),0)+IFERROR(VALUE(TRIM(MID(SUBSTITUTE(SUBSTITUTE(SUBSTITUTE(UPPER($P443)," ",""),"C",""),";",REPT(" ",30)),31,30))),0)+IFERROR(VALUE(TRIM(MID(SUBSTITUTE(SUBSTITUTE(SUBSTITUTE(UPPER($P443)," ",""),"C",""),";",REPT(" ",30)),61,30))),0)+IFERROR(VALUE(TRIM(MID(SUBSTITUTE(SUBSTITUTE(SUBSTITUTE(UPPER($P443)," ",""),"C",""),";",REPT(" ",30)),91,30))),0)+IFERROR(VALUE(TRIM(MID(SUBSTITUTE(SUBSTITUTE(SUBSTITUTE(UPPER($P443)," ",""),"C",""),";",REPT(" ",30)),121,30))),0)+IFERROR(VALUE(TRIM(MID(SUBSTITUTE(SUBSTITUTE(SUBSTITUTE(UPPER($P443)," ",""),"C",""),";",REPT(" ",30)),151,30))),0)+IFERROR(VALUE(TRIM(MID(SUBSTITUTE(SUBSTITUTE(SUBSTITUTE(UPPER($P443)," ",""),"C",""),";",REPT(" ",30)),181,30))),0)+IFERROR(VALUE(TRIM(MID(SUBSTITUTE(SUBSTITUTE(SUBSTITUTE(UPPER($P443)," ",""),"C",""),";",REPT(" ",30)),211,30))),0)))))</f>
        <v/>
      </c>
      <c r="S443" s="26" t="n"/>
      <c r="T443" s="6" t="n"/>
      <c r="U443" s="13" t="n"/>
      <c r="V443" s="27">
        <f>IF($C443="","",IF($E443="Falta","-",MAX(0,MIN(10,5+IFERROR(VALUE(TRIM(MID(SUBSTITUTE(SUBSTITUTE(SUBSTITUTE(UPPER($T443)," ",""),"P",""),";",REPT(" ",30)),1,30))),0)+IFERROR(VALUE(TRIM(MID(SUBSTITUTE(SUBSTITUTE(SUBSTITUTE(UPPER($T443)," ",""),"P",""),";",REPT(" ",30)),31,30))),0)+IFERROR(VALUE(TRIM(MID(SUBSTITUTE(SUBSTITUTE(SUBSTITUTE(UPPER($T443)," ",""),"P",""),";",REPT(" ",30)),61,30))),0)+IFERROR(VALUE(TRIM(MID(SUBSTITUTE(SUBSTITUTE(SUBSTITUTE(UPPER($T443)," ",""),"P",""),";",REPT(" ",30)),91,30))),0)+IFERROR(VALUE(TRIM(MID(SUBSTITUTE(SUBSTITUTE(SUBSTITUTE(UPPER($T443)," ",""),"P",""),";",REPT(" ",30)),121,30))),0)+IFERROR(VALUE(TRIM(MID(SUBSTITUTE(SUBSTITUTE(SUBSTITUTE(UPPER($T443)," ",""),"P",""),";",REPT(" ",30)),151,30))),0)+IFERROR(VALUE(TRIM(MID(SUBSTITUTE(SUBSTITUTE(SUBSTITUTE(UPPER($T443)," ",""),"P",""),";",REPT(" ",30)),181,30))),0)+IFERROR(VALUE(TRIM(MID(SUBSTITUTE(SUBSTITUTE(SUBSTITUTE(UPPER($T443)," ",""),"P",""),";",REPT(" ",30)),211,30))),0)))))</f>
        <v/>
      </c>
      <c r="W443" s="26" t="n"/>
      <c r="X443" s="13" t="n"/>
    </row>
    <row r="444">
      <c r="A444" s="8">
        <f>IF($C444="","",89)</f>
        <v/>
      </c>
      <c r="B444" s="8">
        <f>IF($C444="","","1ª Sessão")</f>
        <v/>
      </c>
      <c r="C444" s="8">
        <f>IF(Preenchimento!$B$98="","",Preenchimento!$B$98)</f>
        <v/>
      </c>
      <c r="D444" s="8">
        <f>IF($C444="","",IF(Preenchimento!$C$98="","-",Preenchimento!$C$98))</f>
        <v/>
      </c>
      <c r="E444" s="8" t="n"/>
      <c r="F444" s="8" t="n"/>
      <c r="G444" s="24" t="n"/>
      <c r="H444" s="8" t="n"/>
      <c r="I444" s="14" t="n"/>
      <c r="J444" s="25">
        <f>IF($C444="","",IF($E444="Falta","-",MAX(0,MIN(10,8+IFERROR(VALUE(TRIM(MID(SUBSTITUTE(SUBSTITUTE(SUBSTITUTE(UPPER($H444)," ",""),"D",""),";",REPT(" ",30)),1,30))),0)+IFERROR(VALUE(TRIM(MID(SUBSTITUTE(SUBSTITUTE(SUBSTITUTE(UPPER($H444)," ",""),"D",""),";",REPT(" ",30)),31,30))),0)+IFERROR(VALUE(TRIM(MID(SUBSTITUTE(SUBSTITUTE(SUBSTITUTE(UPPER($H444)," ",""),"D",""),";",REPT(" ",30)),61,30))),0)+IFERROR(VALUE(TRIM(MID(SUBSTITUTE(SUBSTITUTE(SUBSTITUTE(UPPER($H444)," ",""),"D",""),";",REPT(" ",30)),91,30))),0)+IFERROR(VALUE(TRIM(MID(SUBSTITUTE(SUBSTITUTE(SUBSTITUTE(UPPER($H444)," ",""),"D",""),";",REPT(" ",30)),121,30))),0)+IFERROR(VALUE(TRIM(MID(SUBSTITUTE(SUBSTITUTE(SUBSTITUTE(UPPER($H444)," ",""),"D",""),";",REPT(" ",30)),151,30))),0)+IFERROR(VALUE(TRIM(MID(SUBSTITUTE(SUBSTITUTE(SUBSTITUTE(UPPER($H444)," ",""),"D",""),";",REPT(" ",30)),181,30))),0)+IFERROR(VALUE(TRIM(MID(SUBSTITUTE(SUBSTITUTE(SUBSTITUTE(UPPER($H444)," ",""),"D",""),";",REPT(" ",30)),211,30))),0)))))</f>
        <v/>
      </c>
      <c r="K444" s="24" t="n"/>
      <c r="L444" s="8" t="n"/>
      <c r="M444" s="14" t="n"/>
      <c r="N444" s="25">
        <f>IF($C444="","",IF($E444="Falta","-",MAX(0,MIN(10,8+IFERROR(VALUE(TRIM(MID(SUBSTITUTE(SUBSTITUTE(SUBSTITUTE(UPPER($L444)," ",""),"F",""),";",REPT(" ",30)),1,30))),0)+IFERROR(VALUE(TRIM(MID(SUBSTITUTE(SUBSTITUTE(SUBSTITUTE(UPPER($L444)," ",""),"F",""),";",REPT(" ",30)),31,30))),0)+IFERROR(VALUE(TRIM(MID(SUBSTITUTE(SUBSTITUTE(SUBSTITUTE(UPPER($L444)," ",""),"F",""),";",REPT(" ",30)),61,30))),0)+IFERROR(VALUE(TRIM(MID(SUBSTITUTE(SUBSTITUTE(SUBSTITUTE(UPPER($L444)," ",""),"F",""),";",REPT(" ",30)),91,30))),0)+IFERROR(VALUE(TRIM(MID(SUBSTITUTE(SUBSTITUTE(SUBSTITUTE(UPPER($L444)," ",""),"F",""),";",REPT(" ",30)),121,30))),0)+IFERROR(VALUE(TRIM(MID(SUBSTITUTE(SUBSTITUTE(SUBSTITUTE(UPPER($L444)," ",""),"F",""),";",REPT(" ",30)),151,30))),0)+IFERROR(VALUE(TRIM(MID(SUBSTITUTE(SUBSTITUTE(SUBSTITUTE(UPPER($L444)," ",""),"F",""),";",REPT(" ",30)),181,30))),0)+IFERROR(VALUE(TRIM(MID(SUBSTITUTE(SUBSTITUTE(SUBSTITUTE(UPPER($L444)," ",""),"F",""),";",REPT(" ",30)),211,30))),0)))))</f>
        <v/>
      </c>
      <c r="O444" s="24" t="n"/>
      <c r="P444" s="8" t="n"/>
      <c r="Q444" s="14" t="n"/>
      <c r="R444" s="25">
        <f>IF($C444="","",IF($E444="Falta","-",MAX(0,MIN(10,5+IFERROR(VALUE(TRIM(MID(SUBSTITUTE(SUBSTITUTE(SUBSTITUTE(UPPER($P444)," ",""),"C",""),";",REPT(" ",30)),1,30))),0)+IFERROR(VALUE(TRIM(MID(SUBSTITUTE(SUBSTITUTE(SUBSTITUTE(UPPER($P444)," ",""),"C",""),";",REPT(" ",30)),31,30))),0)+IFERROR(VALUE(TRIM(MID(SUBSTITUTE(SUBSTITUTE(SUBSTITUTE(UPPER($P444)," ",""),"C",""),";",REPT(" ",30)),61,30))),0)+IFERROR(VALUE(TRIM(MID(SUBSTITUTE(SUBSTITUTE(SUBSTITUTE(UPPER($P444)," ",""),"C",""),";",REPT(" ",30)),91,30))),0)+IFERROR(VALUE(TRIM(MID(SUBSTITUTE(SUBSTITUTE(SUBSTITUTE(UPPER($P444)," ",""),"C",""),";",REPT(" ",30)),121,30))),0)+IFERROR(VALUE(TRIM(MID(SUBSTITUTE(SUBSTITUTE(SUBSTITUTE(UPPER($P444)," ",""),"C",""),";",REPT(" ",30)),151,30))),0)+IFERROR(VALUE(TRIM(MID(SUBSTITUTE(SUBSTITUTE(SUBSTITUTE(UPPER($P444)," ",""),"C",""),";",REPT(" ",30)),181,30))),0)+IFERROR(VALUE(TRIM(MID(SUBSTITUTE(SUBSTITUTE(SUBSTITUTE(UPPER($P444)," ",""),"C",""),";",REPT(" ",30)),211,30))),0)))))</f>
        <v/>
      </c>
      <c r="S444" s="24" t="n"/>
      <c r="T444" s="8" t="n"/>
      <c r="U444" s="14" t="n"/>
      <c r="V444" s="25">
        <f>IF($C444="","",IF($E444="Falta","-",MAX(0,MIN(10,5+IFERROR(VALUE(TRIM(MID(SUBSTITUTE(SUBSTITUTE(SUBSTITUTE(UPPER($T444)," ",""),"P",""),";",REPT(" ",30)),1,30))),0)+IFERROR(VALUE(TRIM(MID(SUBSTITUTE(SUBSTITUTE(SUBSTITUTE(UPPER($T444)," ",""),"P",""),";",REPT(" ",30)),31,30))),0)+IFERROR(VALUE(TRIM(MID(SUBSTITUTE(SUBSTITUTE(SUBSTITUTE(UPPER($T444)," ",""),"P",""),";",REPT(" ",30)),61,30))),0)+IFERROR(VALUE(TRIM(MID(SUBSTITUTE(SUBSTITUTE(SUBSTITUTE(UPPER($T444)," ",""),"P",""),";",REPT(" ",30)),91,30))),0)+IFERROR(VALUE(TRIM(MID(SUBSTITUTE(SUBSTITUTE(SUBSTITUTE(UPPER($T444)," ",""),"P",""),";",REPT(" ",30)),121,30))),0)+IFERROR(VALUE(TRIM(MID(SUBSTITUTE(SUBSTITUTE(SUBSTITUTE(UPPER($T444)," ",""),"P",""),";",REPT(" ",30)),151,30))),0)+IFERROR(VALUE(TRIM(MID(SUBSTITUTE(SUBSTITUTE(SUBSTITUTE(UPPER($T444)," ",""),"P",""),";",REPT(" ",30)),181,30))),0)+IFERROR(VALUE(TRIM(MID(SUBSTITUTE(SUBSTITUTE(SUBSTITUTE(UPPER($T444)," ",""),"P",""),";",REPT(" ",30)),211,30))),0)))))</f>
        <v/>
      </c>
      <c r="W444" s="24" t="n"/>
      <c r="X444" s="14" t="n"/>
    </row>
    <row r="445">
      <c r="A445" s="8">
        <f>IF($C445="","",89)</f>
        <v/>
      </c>
      <c r="B445" s="8">
        <f>IF($C445="","","2ª Sessão")</f>
        <v/>
      </c>
      <c r="C445" s="8">
        <f>IF(Preenchimento!$B$98="","",Preenchimento!$B$98)</f>
        <v/>
      </c>
      <c r="D445" s="8">
        <f>IF($C445="","",IF(Preenchimento!$C$98="","-",Preenchimento!$C$98))</f>
        <v/>
      </c>
      <c r="E445" s="8" t="n"/>
      <c r="F445" s="8" t="n"/>
      <c r="G445" s="24" t="n"/>
      <c r="H445" s="8" t="n"/>
      <c r="I445" s="14" t="n"/>
      <c r="J445" s="25">
        <f>IF($C445="","",IF($E445="Falta","-",MAX(0,MIN(10,8+IFERROR(VALUE(TRIM(MID(SUBSTITUTE(SUBSTITUTE(SUBSTITUTE(UPPER($H445)," ",""),"D",""),";",REPT(" ",30)),1,30))),0)+IFERROR(VALUE(TRIM(MID(SUBSTITUTE(SUBSTITUTE(SUBSTITUTE(UPPER($H445)," ",""),"D",""),";",REPT(" ",30)),31,30))),0)+IFERROR(VALUE(TRIM(MID(SUBSTITUTE(SUBSTITUTE(SUBSTITUTE(UPPER($H445)," ",""),"D",""),";",REPT(" ",30)),61,30))),0)+IFERROR(VALUE(TRIM(MID(SUBSTITUTE(SUBSTITUTE(SUBSTITUTE(UPPER($H445)," ",""),"D",""),";",REPT(" ",30)),91,30))),0)+IFERROR(VALUE(TRIM(MID(SUBSTITUTE(SUBSTITUTE(SUBSTITUTE(UPPER($H445)," ",""),"D",""),";",REPT(" ",30)),121,30))),0)+IFERROR(VALUE(TRIM(MID(SUBSTITUTE(SUBSTITUTE(SUBSTITUTE(UPPER($H445)," ",""),"D",""),";",REPT(" ",30)),151,30))),0)+IFERROR(VALUE(TRIM(MID(SUBSTITUTE(SUBSTITUTE(SUBSTITUTE(UPPER($H445)," ",""),"D",""),";",REPT(" ",30)),181,30))),0)+IFERROR(VALUE(TRIM(MID(SUBSTITUTE(SUBSTITUTE(SUBSTITUTE(UPPER($H445)," ",""),"D",""),";",REPT(" ",30)),211,30))),0)))))</f>
        <v/>
      </c>
      <c r="K445" s="24" t="n"/>
      <c r="L445" s="8" t="n"/>
      <c r="M445" s="14" t="n"/>
      <c r="N445" s="25">
        <f>IF($C445="","",IF($E445="Falta","-",MAX(0,MIN(10,8+IFERROR(VALUE(TRIM(MID(SUBSTITUTE(SUBSTITUTE(SUBSTITUTE(UPPER($L445)," ",""),"F",""),";",REPT(" ",30)),1,30))),0)+IFERROR(VALUE(TRIM(MID(SUBSTITUTE(SUBSTITUTE(SUBSTITUTE(UPPER($L445)," ",""),"F",""),";",REPT(" ",30)),31,30))),0)+IFERROR(VALUE(TRIM(MID(SUBSTITUTE(SUBSTITUTE(SUBSTITUTE(UPPER($L445)," ",""),"F",""),";",REPT(" ",30)),61,30))),0)+IFERROR(VALUE(TRIM(MID(SUBSTITUTE(SUBSTITUTE(SUBSTITUTE(UPPER($L445)," ",""),"F",""),";",REPT(" ",30)),91,30))),0)+IFERROR(VALUE(TRIM(MID(SUBSTITUTE(SUBSTITUTE(SUBSTITUTE(UPPER($L445)," ",""),"F",""),";",REPT(" ",30)),121,30))),0)+IFERROR(VALUE(TRIM(MID(SUBSTITUTE(SUBSTITUTE(SUBSTITUTE(UPPER($L445)," ",""),"F",""),";",REPT(" ",30)),151,30))),0)+IFERROR(VALUE(TRIM(MID(SUBSTITUTE(SUBSTITUTE(SUBSTITUTE(UPPER($L445)," ",""),"F",""),";",REPT(" ",30)),181,30))),0)+IFERROR(VALUE(TRIM(MID(SUBSTITUTE(SUBSTITUTE(SUBSTITUTE(UPPER($L445)," ",""),"F",""),";",REPT(" ",30)),211,30))),0)))))</f>
        <v/>
      </c>
      <c r="O445" s="24" t="n"/>
      <c r="P445" s="8" t="n"/>
      <c r="Q445" s="14" t="n"/>
      <c r="R445" s="25">
        <f>IF($C445="","",IF($E445="Falta","-",MAX(0,MIN(10,5+IFERROR(VALUE(TRIM(MID(SUBSTITUTE(SUBSTITUTE(SUBSTITUTE(UPPER($P445)," ",""),"C",""),";",REPT(" ",30)),1,30))),0)+IFERROR(VALUE(TRIM(MID(SUBSTITUTE(SUBSTITUTE(SUBSTITUTE(UPPER($P445)," ",""),"C",""),";",REPT(" ",30)),31,30))),0)+IFERROR(VALUE(TRIM(MID(SUBSTITUTE(SUBSTITUTE(SUBSTITUTE(UPPER($P445)," ",""),"C",""),";",REPT(" ",30)),61,30))),0)+IFERROR(VALUE(TRIM(MID(SUBSTITUTE(SUBSTITUTE(SUBSTITUTE(UPPER($P445)," ",""),"C",""),";",REPT(" ",30)),91,30))),0)+IFERROR(VALUE(TRIM(MID(SUBSTITUTE(SUBSTITUTE(SUBSTITUTE(UPPER($P445)," ",""),"C",""),";",REPT(" ",30)),121,30))),0)+IFERROR(VALUE(TRIM(MID(SUBSTITUTE(SUBSTITUTE(SUBSTITUTE(UPPER($P445)," ",""),"C",""),";",REPT(" ",30)),151,30))),0)+IFERROR(VALUE(TRIM(MID(SUBSTITUTE(SUBSTITUTE(SUBSTITUTE(UPPER($P445)," ",""),"C",""),";",REPT(" ",30)),181,30))),0)+IFERROR(VALUE(TRIM(MID(SUBSTITUTE(SUBSTITUTE(SUBSTITUTE(UPPER($P445)," ",""),"C",""),";",REPT(" ",30)),211,30))),0)))))</f>
        <v/>
      </c>
      <c r="S445" s="24" t="n"/>
      <c r="T445" s="8" t="n"/>
      <c r="U445" s="14" t="n"/>
      <c r="V445" s="25">
        <f>IF($C445="","",IF($E445="Falta","-",MAX(0,MIN(10,5+IFERROR(VALUE(TRIM(MID(SUBSTITUTE(SUBSTITUTE(SUBSTITUTE(UPPER($T445)," ",""),"P",""),";",REPT(" ",30)),1,30))),0)+IFERROR(VALUE(TRIM(MID(SUBSTITUTE(SUBSTITUTE(SUBSTITUTE(UPPER($T445)," ",""),"P",""),";",REPT(" ",30)),31,30))),0)+IFERROR(VALUE(TRIM(MID(SUBSTITUTE(SUBSTITUTE(SUBSTITUTE(UPPER($T445)," ",""),"P",""),";",REPT(" ",30)),61,30))),0)+IFERROR(VALUE(TRIM(MID(SUBSTITUTE(SUBSTITUTE(SUBSTITUTE(UPPER($T445)," ",""),"P",""),";",REPT(" ",30)),91,30))),0)+IFERROR(VALUE(TRIM(MID(SUBSTITUTE(SUBSTITUTE(SUBSTITUTE(UPPER($T445)," ",""),"P",""),";",REPT(" ",30)),121,30))),0)+IFERROR(VALUE(TRIM(MID(SUBSTITUTE(SUBSTITUTE(SUBSTITUTE(UPPER($T445)," ",""),"P",""),";",REPT(" ",30)),151,30))),0)+IFERROR(VALUE(TRIM(MID(SUBSTITUTE(SUBSTITUTE(SUBSTITUTE(UPPER($T445)," ",""),"P",""),";",REPT(" ",30)),181,30))),0)+IFERROR(VALUE(TRIM(MID(SUBSTITUTE(SUBSTITUTE(SUBSTITUTE(UPPER($T445)," ",""),"P",""),";",REPT(" ",30)),211,30))),0)))))</f>
        <v/>
      </c>
      <c r="W445" s="24" t="n"/>
      <c r="X445" s="14" t="n"/>
    </row>
    <row r="446">
      <c r="A446" s="8">
        <f>IF($C446="","",89)</f>
        <v/>
      </c>
      <c r="B446" s="8">
        <f>IF($C446="","","3ª Sessão")</f>
        <v/>
      </c>
      <c r="C446" s="8">
        <f>IF(Preenchimento!$B$98="","",Preenchimento!$B$98)</f>
        <v/>
      </c>
      <c r="D446" s="8">
        <f>IF($C446="","",IF(Preenchimento!$C$98="","-",Preenchimento!$C$98))</f>
        <v/>
      </c>
      <c r="E446" s="8" t="n"/>
      <c r="F446" s="8" t="n"/>
      <c r="G446" s="24" t="n"/>
      <c r="H446" s="8" t="n"/>
      <c r="I446" s="14" t="n"/>
      <c r="J446" s="25">
        <f>IF($C446="","",IF($E446="Falta","-",MAX(0,MIN(10,8+IFERROR(VALUE(TRIM(MID(SUBSTITUTE(SUBSTITUTE(SUBSTITUTE(UPPER($H446)," ",""),"D",""),";",REPT(" ",30)),1,30))),0)+IFERROR(VALUE(TRIM(MID(SUBSTITUTE(SUBSTITUTE(SUBSTITUTE(UPPER($H446)," ",""),"D",""),";",REPT(" ",30)),31,30))),0)+IFERROR(VALUE(TRIM(MID(SUBSTITUTE(SUBSTITUTE(SUBSTITUTE(UPPER($H446)," ",""),"D",""),";",REPT(" ",30)),61,30))),0)+IFERROR(VALUE(TRIM(MID(SUBSTITUTE(SUBSTITUTE(SUBSTITUTE(UPPER($H446)," ",""),"D",""),";",REPT(" ",30)),91,30))),0)+IFERROR(VALUE(TRIM(MID(SUBSTITUTE(SUBSTITUTE(SUBSTITUTE(UPPER($H446)," ",""),"D",""),";",REPT(" ",30)),121,30))),0)+IFERROR(VALUE(TRIM(MID(SUBSTITUTE(SUBSTITUTE(SUBSTITUTE(UPPER($H446)," ",""),"D",""),";",REPT(" ",30)),151,30))),0)+IFERROR(VALUE(TRIM(MID(SUBSTITUTE(SUBSTITUTE(SUBSTITUTE(UPPER($H446)," ",""),"D",""),";",REPT(" ",30)),181,30))),0)+IFERROR(VALUE(TRIM(MID(SUBSTITUTE(SUBSTITUTE(SUBSTITUTE(UPPER($H446)," ",""),"D",""),";",REPT(" ",30)),211,30))),0)))))</f>
        <v/>
      </c>
      <c r="K446" s="24" t="n"/>
      <c r="L446" s="8" t="n"/>
      <c r="M446" s="14" t="n"/>
      <c r="N446" s="25">
        <f>IF($C446="","",IF($E446="Falta","-",MAX(0,MIN(10,8+IFERROR(VALUE(TRIM(MID(SUBSTITUTE(SUBSTITUTE(SUBSTITUTE(UPPER($L446)," ",""),"F",""),";",REPT(" ",30)),1,30))),0)+IFERROR(VALUE(TRIM(MID(SUBSTITUTE(SUBSTITUTE(SUBSTITUTE(UPPER($L446)," ",""),"F",""),";",REPT(" ",30)),31,30))),0)+IFERROR(VALUE(TRIM(MID(SUBSTITUTE(SUBSTITUTE(SUBSTITUTE(UPPER($L446)," ",""),"F",""),";",REPT(" ",30)),61,30))),0)+IFERROR(VALUE(TRIM(MID(SUBSTITUTE(SUBSTITUTE(SUBSTITUTE(UPPER($L446)," ",""),"F",""),";",REPT(" ",30)),91,30))),0)+IFERROR(VALUE(TRIM(MID(SUBSTITUTE(SUBSTITUTE(SUBSTITUTE(UPPER($L446)," ",""),"F",""),";",REPT(" ",30)),121,30))),0)+IFERROR(VALUE(TRIM(MID(SUBSTITUTE(SUBSTITUTE(SUBSTITUTE(UPPER($L446)," ",""),"F",""),";",REPT(" ",30)),151,30))),0)+IFERROR(VALUE(TRIM(MID(SUBSTITUTE(SUBSTITUTE(SUBSTITUTE(UPPER($L446)," ",""),"F",""),";",REPT(" ",30)),181,30))),0)+IFERROR(VALUE(TRIM(MID(SUBSTITUTE(SUBSTITUTE(SUBSTITUTE(UPPER($L446)," ",""),"F",""),";",REPT(" ",30)),211,30))),0)))))</f>
        <v/>
      </c>
      <c r="O446" s="24" t="n"/>
      <c r="P446" s="8" t="n"/>
      <c r="Q446" s="14" t="n"/>
      <c r="R446" s="25">
        <f>IF($C446="","",IF($E446="Falta","-",MAX(0,MIN(10,5+IFERROR(VALUE(TRIM(MID(SUBSTITUTE(SUBSTITUTE(SUBSTITUTE(UPPER($P446)," ",""),"C",""),";",REPT(" ",30)),1,30))),0)+IFERROR(VALUE(TRIM(MID(SUBSTITUTE(SUBSTITUTE(SUBSTITUTE(UPPER($P446)," ",""),"C",""),";",REPT(" ",30)),31,30))),0)+IFERROR(VALUE(TRIM(MID(SUBSTITUTE(SUBSTITUTE(SUBSTITUTE(UPPER($P446)," ",""),"C",""),";",REPT(" ",30)),61,30))),0)+IFERROR(VALUE(TRIM(MID(SUBSTITUTE(SUBSTITUTE(SUBSTITUTE(UPPER($P446)," ",""),"C",""),";",REPT(" ",30)),91,30))),0)+IFERROR(VALUE(TRIM(MID(SUBSTITUTE(SUBSTITUTE(SUBSTITUTE(UPPER($P446)," ",""),"C",""),";",REPT(" ",30)),121,30))),0)+IFERROR(VALUE(TRIM(MID(SUBSTITUTE(SUBSTITUTE(SUBSTITUTE(UPPER($P446)," ",""),"C",""),";",REPT(" ",30)),151,30))),0)+IFERROR(VALUE(TRIM(MID(SUBSTITUTE(SUBSTITUTE(SUBSTITUTE(UPPER($P446)," ",""),"C",""),";",REPT(" ",30)),181,30))),0)+IFERROR(VALUE(TRIM(MID(SUBSTITUTE(SUBSTITUTE(SUBSTITUTE(UPPER($P446)," ",""),"C",""),";",REPT(" ",30)),211,30))),0)))))</f>
        <v/>
      </c>
      <c r="S446" s="24" t="n"/>
      <c r="T446" s="8" t="n"/>
      <c r="U446" s="14" t="n"/>
      <c r="V446" s="25">
        <f>IF($C446="","",IF($E446="Falta","-",MAX(0,MIN(10,5+IFERROR(VALUE(TRIM(MID(SUBSTITUTE(SUBSTITUTE(SUBSTITUTE(UPPER($T446)," ",""),"P",""),";",REPT(" ",30)),1,30))),0)+IFERROR(VALUE(TRIM(MID(SUBSTITUTE(SUBSTITUTE(SUBSTITUTE(UPPER($T446)," ",""),"P",""),";",REPT(" ",30)),31,30))),0)+IFERROR(VALUE(TRIM(MID(SUBSTITUTE(SUBSTITUTE(SUBSTITUTE(UPPER($T446)," ",""),"P",""),";",REPT(" ",30)),61,30))),0)+IFERROR(VALUE(TRIM(MID(SUBSTITUTE(SUBSTITUTE(SUBSTITUTE(UPPER($T446)," ",""),"P",""),";",REPT(" ",30)),91,30))),0)+IFERROR(VALUE(TRIM(MID(SUBSTITUTE(SUBSTITUTE(SUBSTITUTE(UPPER($T446)," ",""),"P",""),";",REPT(" ",30)),121,30))),0)+IFERROR(VALUE(TRIM(MID(SUBSTITUTE(SUBSTITUTE(SUBSTITUTE(UPPER($T446)," ",""),"P",""),";",REPT(" ",30)),151,30))),0)+IFERROR(VALUE(TRIM(MID(SUBSTITUTE(SUBSTITUTE(SUBSTITUTE(UPPER($T446)," ",""),"P",""),";",REPT(" ",30)),181,30))),0)+IFERROR(VALUE(TRIM(MID(SUBSTITUTE(SUBSTITUTE(SUBSTITUTE(UPPER($T446)," ",""),"P",""),";",REPT(" ",30)),211,30))),0)))))</f>
        <v/>
      </c>
      <c r="W446" s="24" t="n"/>
      <c r="X446" s="14" t="n"/>
    </row>
    <row r="447">
      <c r="A447" s="8">
        <f>IF($C447="","",89)</f>
        <v/>
      </c>
      <c r="B447" s="8">
        <f>IF($C447="","","4ª Sessão")</f>
        <v/>
      </c>
      <c r="C447" s="8">
        <f>IF(Preenchimento!$B$98="","",Preenchimento!$B$98)</f>
        <v/>
      </c>
      <c r="D447" s="8">
        <f>IF($C447="","",IF(Preenchimento!$C$98="","-",Preenchimento!$C$98))</f>
        <v/>
      </c>
      <c r="E447" s="8" t="n"/>
      <c r="F447" s="8" t="n"/>
      <c r="G447" s="24" t="n"/>
      <c r="H447" s="8" t="n"/>
      <c r="I447" s="14" t="n"/>
      <c r="J447" s="25">
        <f>IF($C447="","",IF($E447="Falta","-",MAX(0,MIN(10,8+IFERROR(VALUE(TRIM(MID(SUBSTITUTE(SUBSTITUTE(SUBSTITUTE(UPPER($H447)," ",""),"D",""),";",REPT(" ",30)),1,30))),0)+IFERROR(VALUE(TRIM(MID(SUBSTITUTE(SUBSTITUTE(SUBSTITUTE(UPPER($H447)," ",""),"D",""),";",REPT(" ",30)),31,30))),0)+IFERROR(VALUE(TRIM(MID(SUBSTITUTE(SUBSTITUTE(SUBSTITUTE(UPPER($H447)," ",""),"D",""),";",REPT(" ",30)),61,30))),0)+IFERROR(VALUE(TRIM(MID(SUBSTITUTE(SUBSTITUTE(SUBSTITUTE(UPPER($H447)," ",""),"D",""),";",REPT(" ",30)),91,30))),0)+IFERROR(VALUE(TRIM(MID(SUBSTITUTE(SUBSTITUTE(SUBSTITUTE(UPPER($H447)," ",""),"D",""),";",REPT(" ",30)),121,30))),0)+IFERROR(VALUE(TRIM(MID(SUBSTITUTE(SUBSTITUTE(SUBSTITUTE(UPPER($H447)," ",""),"D",""),";",REPT(" ",30)),151,30))),0)+IFERROR(VALUE(TRIM(MID(SUBSTITUTE(SUBSTITUTE(SUBSTITUTE(UPPER($H447)," ",""),"D",""),";",REPT(" ",30)),181,30))),0)+IFERROR(VALUE(TRIM(MID(SUBSTITUTE(SUBSTITUTE(SUBSTITUTE(UPPER($H447)," ",""),"D",""),";",REPT(" ",30)),211,30))),0)))))</f>
        <v/>
      </c>
      <c r="K447" s="24" t="n"/>
      <c r="L447" s="8" t="n"/>
      <c r="M447" s="14" t="n"/>
      <c r="N447" s="25">
        <f>IF($C447="","",IF($E447="Falta","-",MAX(0,MIN(10,8+IFERROR(VALUE(TRIM(MID(SUBSTITUTE(SUBSTITUTE(SUBSTITUTE(UPPER($L447)," ",""),"F",""),";",REPT(" ",30)),1,30))),0)+IFERROR(VALUE(TRIM(MID(SUBSTITUTE(SUBSTITUTE(SUBSTITUTE(UPPER($L447)," ",""),"F",""),";",REPT(" ",30)),31,30))),0)+IFERROR(VALUE(TRIM(MID(SUBSTITUTE(SUBSTITUTE(SUBSTITUTE(UPPER($L447)," ",""),"F",""),";",REPT(" ",30)),61,30))),0)+IFERROR(VALUE(TRIM(MID(SUBSTITUTE(SUBSTITUTE(SUBSTITUTE(UPPER($L447)," ",""),"F",""),";",REPT(" ",30)),91,30))),0)+IFERROR(VALUE(TRIM(MID(SUBSTITUTE(SUBSTITUTE(SUBSTITUTE(UPPER($L447)," ",""),"F",""),";",REPT(" ",30)),121,30))),0)+IFERROR(VALUE(TRIM(MID(SUBSTITUTE(SUBSTITUTE(SUBSTITUTE(UPPER($L447)," ",""),"F",""),";",REPT(" ",30)),151,30))),0)+IFERROR(VALUE(TRIM(MID(SUBSTITUTE(SUBSTITUTE(SUBSTITUTE(UPPER($L447)," ",""),"F",""),";",REPT(" ",30)),181,30))),0)+IFERROR(VALUE(TRIM(MID(SUBSTITUTE(SUBSTITUTE(SUBSTITUTE(UPPER($L447)," ",""),"F",""),";",REPT(" ",30)),211,30))),0)))))</f>
        <v/>
      </c>
      <c r="O447" s="24" t="n"/>
      <c r="P447" s="8" t="n"/>
      <c r="Q447" s="14" t="n"/>
      <c r="R447" s="25">
        <f>IF($C447="","",IF($E447="Falta","-",MAX(0,MIN(10,5+IFERROR(VALUE(TRIM(MID(SUBSTITUTE(SUBSTITUTE(SUBSTITUTE(UPPER($P447)," ",""),"C",""),";",REPT(" ",30)),1,30))),0)+IFERROR(VALUE(TRIM(MID(SUBSTITUTE(SUBSTITUTE(SUBSTITUTE(UPPER($P447)," ",""),"C",""),";",REPT(" ",30)),31,30))),0)+IFERROR(VALUE(TRIM(MID(SUBSTITUTE(SUBSTITUTE(SUBSTITUTE(UPPER($P447)," ",""),"C",""),";",REPT(" ",30)),61,30))),0)+IFERROR(VALUE(TRIM(MID(SUBSTITUTE(SUBSTITUTE(SUBSTITUTE(UPPER($P447)," ",""),"C",""),";",REPT(" ",30)),91,30))),0)+IFERROR(VALUE(TRIM(MID(SUBSTITUTE(SUBSTITUTE(SUBSTITUTE(UPPER($P447)," ",""),"C",""),";",REPT(" ",30)),121,30))),0)+IFERROR(VALUE(TRIM(MID(SUBSTITUTE(SUBSTITUTE(SUBSTITUTE(UPPER($P447)," ",""),"C",""),";",REPT(" ",30)),151,30))),0)+IFERROR(VALUE(TRIM(MID(SUBSTITUTE(SUBSTITUTE(SUBSTITUTE(UPPER($P447)," ",""),"C",""),";",REPT(" ",30)),181,30))),0)+IFERROR(VALUE(TRIM(MID(SUBSTITUTE(SUBSTITUTE(SUBSTITUTE(UPPER($P447)," ",""),"C",""),";",REPT(" ",30)),211,30))),0)))))</f>
        <v/>
      </c>
      <c r="S447" s="24" t="n"/>
      <c r="T447" s="8" t="n"/>
      <c r="U447" s="14" t="n"/>
      <c r="V447" s="25">
        <f>IF($C447="","",IF($E447="Falta","-",MAX(0,MIN(10,5+IFERROR(VALUE(TRIM(MID(SUBSTITUTE(SUBSTITUTE(SUBSTITUTE(UPPER($T447)," ",""),"P",""),";",REPT(" ",30)),1,30))),0)+IFERROR(VALUE(TRIM(MID(SUBSTITUTE(SUBSTITUTE(SUBSTITUTE(UPPER($T447)," ",""),"P",""),";",REPT(" ",30)),31,30))),0)+IFERROR(VALUE(TRIM(MID(SUBSTITUTE(SUBSTITUTE(SUBSTITUTE(UPPER($T447)," ",""),"P",""),";",REPT(" ",30)),61,30))),0)+IFERROR(VALUE(TRIM(MID(SUBSTITUTE(SUBSTITUTE(SUBSTITUTE(UPPER($T447)," ",""),"P",""),";",REPT(" ",30)),91,30))),0)+IFERROR(VALUE(TRIM(MID(SUBSTITUTE(SUBSTITUTE(SUBSTITUTE(UPPER($T447)," ",""),"P",""),";",REPT(" ",30)),121,30))),0)+IFERROR(VALUE(TRIM(MID(SUBSTITUTE(SUBSTITUTE(SUBSTITUTE(UPPER($T447)," ",""),"P",""),";",REPT(" ",30)),151,30))),0)+IFERROR(VALUE(TRIM(MID(SUBSTITUTE(SUBSTITUTE(SUBSTITUTE(UPPER($T447)," ",""),"P",""),";",REPT(" ",30)),181,30))),0)+IFERROR(VALUE(TRIM(MID(SUBSTITUTE(SUBSTITUTE(SUBSTITUTE(UPPER($T447)," ",""),"P",""),";",REPT(" ",30)),211,30))),0)))))</f>
        <v/>
      </c>
      <c r="W447" s="24" t="n"/>
      <c r="X447" s="14" t="n"/>
    </row>
    <row r="448">
      <c r="A448" s="8">
        <f>IF($C448="","",89)</f>
        <v/>
      </c>
      <c r="B448" s="8">
        <f>IF($C448="","","5ª Sessão")</f>
        <v/>
      </c>
      <c r="C448" s="8">
        <f>IF(Preenchimento!$B$98="","",Preenchimento!$B$98)</f>
        <v/>
      </c>
      <c r="D448" s="8">
        <f>IF($C448="","",IF(Preenchimento!$C$98="","-",Preenchimento!$C$98))</f>
        <v/>
      </c>
      <c r="E448" s="8" t="n"/>
      <c r="F448" s="8" t="n"/>
      <c r="G448" s="24" t="n"/>
      <c r="H448" s="8" t="n"/>
      <c r="I448" s="14" t="n"/>
      <c r="J448" s="25">
        <f>IF($C448="","",IF($E448="Falta","-",MAX(0,MIN(10,8+IFERROR(VALUE(TRIM(MID(SUBSTITUTE(SUBSTITUTE(SUBSTITUTE(UPPER($H448)," ",""),"D",""),";",REPT(" ",30)),1,30))),0)+IFERROR(VALUE(TRIM(MID(SUBSTITUTE(SUBSTITUTE(SUBSTITUTE(UPPER($H448)," ",""),"D",""),";",REPT(" ",30)),31,30))),0)+IFERROR(VALUE(TRIM(MID(SUBSTITUTE(SUBSTITUTE(SUBSTITUTE(UPPER($H448)," ",""),"D",""),";",REPT(" ",30)),61,30))),0)+IFERROR(VALUE(TRIM(MID(SUBSTITUTE(SUBSTITUTE(SUBSTITUTE(UPPER($H448)," ",""),"D",""),";",REPT(" ",30)),91,30))),0)+IFERROR(VALUE(TRIM(MID(SUBSTITUTE(SUBSTITUTE(SUBSTITUTE(UPPER($H448)," ",""),"D",""),";",REPT(" ",30)),121,30))),0)+IFERROR(VALUE(TRIM(MID(SUBSTITUTE(SUBSTITUTE(SUBSTITUTE(UPPER($H448)," ",""),"D",""),";",REPT(" ",30)),151,30))),0)+IFERROR(VALUE(TRIM(MID(SUBSTITUTE(SUBSTITUTE(SUBSTITUTE(UPPER($H448)," ",""),"D",""),";",REPT(" ",30)),181,30))),0)+IFERROR(VALUE(TRIM(MID(SUBSTITUTE(SUBSTITUTE(SUBSTITUTE(UPPER($H448)," ",""),"D",""),";",REPT(" ",30)),211,30))),0)))))</f>
        <v/>
      </c>
      <c r="K448" s="24" t="n"/>
      <c r="L448" s="8" t="n"/>
      <c r="M448" s="14" t="n"/>
      <c r="N448" s="25">
        <f>IF($C448="","",IF($E448="Falta","-",MAX(0,MIN(10,8+IFERROR(VALUE(TRIM(MID(SUBSTITUTE(SUBSTITUTE(SUBSTITUTE(UPPER($L448)," ",""),"F",""),";",REPT(" ",30)),1,30))),0)+IFERROR(VALUE(TRIM(MID(SUBSTITUTE(SUBSTITUTE(SUBSTITUTE(UPPER($L448)," ",""),"F",""),";",REPT(" ",30)),31,30))),0)+IFERROR(VALUE(TRIM(MID(SUBSTITUTE(SUBSTITUTE(SUBSTITUTE(UPPER($L448)," ",""),"F",""),";",REPT(" ",30)),61,30))),0)+IFERROR(VALUE(TRIM(MID(SUBSTITUTE(SUBSTITUTE(SUBSTITUTE(UPPER($L448)," ",""),"F",""),";",REPT(" ",30)),91,30))),0)+IFERROR(VALUE(TRIM(MID(SUBSTITUTE(SUBSTITUTE(SUBSTITUTE(UPPER($L448)," ",""),"F",""),";",REPT(" ",30)),121,30))),0)+IFERROR(VALUE(TRIM(MID(SUBSTITUTE(SUBSTITUTE(SUBSTITUTE(UPPER($L448)," ",""),"F",""),";",REPT(" ",30)),151,30))),0)+IFERROR(VALUE(TRIM(MID(SUBSTITUTE(SUBSTITUTE(SUBSTITUTE(UPPER($L448)," ",""),"F",""),";",REPT(" ",30)),181,30))),0)+IFERROR(VALUE(TRIM(MID(SUBSTITUTE(SUBSTITUTE(SUBSTITUTE(UPPER($L448)," ",""),"F",""),";",REPT(" ",30)),211,30))),0)))))</f>
        <v/>
      </c>
      <c r="O448" s="24" t="n"/>
      <c r="P448" s="8" t="n"/>
      <c r="Q448" s="14" t="n"/>
      <c r="R448" s="25">
        <f>IF($C448="","",IF($E448="Falta","-",MAX(0,MIN(10,5+IFERROR(VALUE(TRIM(MID(SUBSTITUTE(SUBSTITUTE(SUBSTITUTE(UPPER($P448)," ",""),"C",""),";",REPT(" ",30)),1,30))),0)+IFERROR(VALUE(TRIM(MID(SUBSTITUTE(SUBSTITUTE(SUBSTITUTE(UPPER($P448)," ",""),"C",""),";",REPT(" ",30)),31,30))),0)+IFERROR(VALUE(TRIM(MID(SUBSTITUTE(SUBSTITUTE(SUBSTITUTE(UPPER($P448)," ",""),"C",""),";",REPT(" ",30)),61,30))),0)+IFERROR(VALUE(TRIM(MID(SUBSTITUTE(SUBSTITUTE(SUBSTITUTE(UPPER($P448)," ",""),"C",""),";",REPT(" ",30)),91,30))),0)+IFERROR(VALUE(TRIM(MID(SUBSTITUTE(SUBSTITUTE(SUBSTITUTE(UPPER($P448)," ",""),"C",""),";",REPT(" ",30)),121,30))),0)+IFERROR(VALUE(TRIM(MID(SUBSTITUTE(SUBSTITUTE(SUBSTITUTE(UPPER($P448)," ",""),"C",""),";",REPT(" ",30)),151,30))),0)+IFERROR(VALUE(TRIM(MID(SUBSTITUTE(SUBSTITUTE(SUBSTITUTE(UPPER($P448)," ",""),"C",""),";",REPT(" ",30)),181,30))),0)+IFERROR(VALUE(TRIM(MID(SUBSTITUTE(SUBSTITUTE(SUBSTITUTE(UPPER($P448)," ",""),"C",""),";",REPT(" ",30)),211,30))),0)))))</f>
        <v/>
      </c>
      <c r="S448" s="24" t="n"/>
      <c r="T448" s="8" t="n"/>
      <c r="U448" s="14" t="n"/>
      <c r="V448" s="25">
        <f>IF($C448="","",IF($E448="Falta","-",MAX(0,MIN(10,5+IFERROR(VALUE(TRIM(MID(SUBSTITUTE(SUBSTITUTE(SUBSTITUTE(UPPER($T448)," ",""),"P",""),";",REPT(" ",30)),1,30))),0)+IFERROR(VALUE(TRIM(MID(SUBSTITUTE(SUBSTITUTE(SUBSTITUTE(UPPER($T448)," ",""),"P",""),";",REPT(" ",30)),31,30))),0)+IFERROR(VALUE(TRIM(MID(SUBSTITUTE(SUBSTITUTE(SUBSTITUTE(UPPER($T448)," ",""),"P",""),";",REPT(" ",30)),61,30))),0)+IFERROR(VALUE(TRIM(MID(SUBSTITUTE(SUBSTITUTE(SUBSTITUTE(UPPER($T448)," ",""),"P",""),";",REPT(" ",30)),91,30))),0)+IFERROR(VALUE(TRIM(MID(SUBSTITUTE(SUBSTITUTE(SUBSTITUTE(UPPER($T448)," ",""),"P",""),";",REPT(" ",30)),121,30))),0)+IFERROR(VALUE(TRIM(MID(SUBSTITUTE(SUBSTITUTE(SUBSTITUTE(UPPER($T448)," ",""),"P",""),";",REPT(" ",30)),151,30))),0)+IFERROR(VALUE(TRIM(MID(SUBSTITUTE(SUBSTITUTE(SUBSTITUTE(UPPER($T448)," ",""),"P",""),";",REPT(" ",30)),181,30))),0)+IFERROR(VALUE(TRIM(MID(SUBSTITUTE(SUBSTITUTE(SUBSTITUTE(UPPER($T448)," ",""),"P",""),";",REPT(" ",30)),211,30))),0)))))</f>
        <v/>
      </c>
      <c r="W448" s="24" t="n"/>
      <c r="X448" s="14" t="n"/>
    </row>
    <row r="449">
      <c r="A449" s="6">
        <f>IF($C449="","",90)</f>
        <v/>
      </c>
      <c r="B449" s="6">
        <f>IF($C449="","","1ª Sessão")</f>
        <v/>
      </c>
      <c r="C449" s="6">
        <f>IF(Preenchimento!$B$99="","",Preenchimento!$B$99)</f>
        <v/>
      </c>
      <c r="D449" s="6">
        <f>IF($C449="","",IF(Preenchimento!$C$99="","-",Preenchimento!$C$99))</f>
        <v/>
      </c>
      <c r="E449" s="6" t="n"/>
      <c r="F449" s="6" t="n"/>
      <c r="G449" s="26" t="n"/>
      <c r="H449" s="6" t="n"/>
      <c r="I449" s="13" t="n"/>
      <c r="J449" s="27">
        <f>IF($C449="","",IF($E449="Falta","-",MAX(0,MIN(10,8+IFERROR(VALUE(TRIM(MID(SUBSTITUTE(SUBSTITUTE(SUBSTITUTE(UPPER($H449)," ",""),"D",""),";",REPT(" ",30)),1,30))),0)+IFERROR(VALUE(TRIM(MID(SUBSTITUTE(SUBSTITUTE(SUBSTITUTE(UPPER($H449)," ",""),"D",""),";",REPT(" ",30)),31,30))),0)+IFERROR(VALUE(TRIM(MID(SUBSTITUTE(SUBSTITUTE(SUBSTITUTE(UPPER($H449)," ",""),"D",""),";",REPT(" ",30)),61,30))),0)+IFERROR(VALUE(TRIM(MID(SUBSTITUTE(SUBSTITUTE(SUBSTITUTE(UPPER($H449)," ",""),"D",""),";",REPT(" ",30)),91,30))),0)+IFERROR(VALUE(TRIM(MID(SUBSTITUTE(SUBSTITUTE(SUBSTITUTE(UPPER($H449)," ",""),"D",""),";",REPT(" ",30)),121,30))),0)+IFERROR(VALUE(TRIM(MID(SUBSTITUTE(SUBSTITUTE(SUBSTITUTE(UPPER($H449)," ",""),"D",""),";",REPT(" ",30)),151,30))),0)+IFERROR(VALUE(TRIM(MID(SUBSTITUTE(SUBSTITUTE(SUBSTITUTE(UPPER($H449)," ",""),"D",""),";",REPT(" ",30)),181,30))),0)+IFERROR(VALUE(TRIM(MID(SUBSTITUTE(SUBSTITUTE(SUBSTITUTE(UPPER($H449)," ",""),"D",""),";",REPT(" ",30)),211,30))),0)))))</f>
        <v/>
      </c>
      <c r="K449" s="26" t="n"/>
      <c r="L449" s="6" t="n"/>
      <c r="M449" s="13" t="n"/>
      <c r="N449" s="27">
        <f>IF($C449="","",IF($E449="Falta","-",MAX(0,MIN(10,8+IFERROR(VALUE(TRIM(MID(SUBSTITUTE(SUBSTITUTE(SUBSTITUTE(UPPER($L449)," ",""),"F",""),";",REPT(" ",30)),1,30))),0)+IFERROR(VALUE(TRIM(MID(SUBSTITUTE(SUBSTITUTE(SUBSTITUTE(UPPER($L449)," ",""),"F",""),";",REPT(" ",30)),31,30))),0)+IFERROR(VALUE(TRIM(MID(SUBSTITUTE(SUBSTITUTE(SUBSTITUTE(UPPER($L449)," ",""),"F",""),";",REPT(" ",30)),61,30))),0)+IFERROR(VALUE(TRIM(MID(SUBSTITUTE(SUBSTITUTE(SUBSTITUTE(UPPER($L449)," ",""),"F",""),";",REPT(" ",30)),91,30))),0)+IFERROR(VALUE(TRIM(MID(SUBSTITUTE(SUBSTITUTE(SUBSTITUTE(UPPER($L449)," ",""),"F",""),";",REPT(" ",30)),121,30))),0)+IFERROR(VALUE(TRIM(MID(SUBSTITUTE(SUBSTITUTE(SUBSTITUTE(UPPER($L449)," ",""),"F",""),";",REPT(" ",30)),151,30))),0)+IFERROR(VALUE(TRIM(MID(SUBSTITUTE(SUBSTITUTE(SUBSTITUTE(UPPER($L449)," ",""),"F",""),";",REPT(" ",30)),181,30))),0)+IFERROR(VALUE(TRIM(MID(SUBSTITUTE(SUBSTITUTE(SUBSTITUTE(UPPER($L449)," ",""),"F",""),";",REPT(" ",30)),211,30))),0)))))</f>
        <v/>
      </c>
      <c r="O449" s="26" t="n"/>
      <c r="P449" s="6" t="n"/>
      <c r="Q449" s="13" t="n"/>
      <c r="R449" s="27">
        <f>IF($C449="","",IF($E449="Falta","-",MAX(0,MIN(10,5+IFERROR(VALUE(TRIM(MID(SUBSTITUTE(SUBSTITUTE(SUBSTITUTE(UPPER($P449)," ",""),"C",""),";",REPT(" ",30)),1,30))),0)+IFERROR(VALUE(TRIM(MID(SUBSTITUTE(SUBSTITUTE(SUBSTITUTE(UPPER($P449)," ",""),"C",""),";",REPT(" ",30)),31,30))),0)+IFERROR(VALUE(TRIM(MID(SUBSTITUTE(SUBSTITUTE(SUBSTITUTE(UPPER($P449)," ",""),"C",""),";",REPT(" ",30)),61,30))),0)+IFERROR(VALUE(TRIM(MID(SUBSTITUTE(SUBSTITUTE(SUBSTITUTE(UPPER($P449)," ",""),"C",""),";",REPT(" ",30)),91,30))),0)+IFERROR(VALUE(TRIM(MID(SUBSTITUTE(SUBSTITUTE(SUBSTITUTE(UPPER($P449)," ",""),"C",""),";",REPT(" ",30)),121,30))),0)+IFERROR(VALUE(TRIM(MID(SUBSTITUTE(SUBSTITUTE(SUBSTITUTE(UPPER($P449)," ",""),"C",""),";",REPT(" ",30)),151,30))),0)+IFERROR(VALUE(TRIM(MID(SUBSTITUTE(SUBSTITUTE(SUBSTITUTE(UPPER($P449)," ",""),"C",""),";",REPT(" ",30)),181,30))),0)+IFERROR(VALUE(TRIM(MID(SUBSTITUTE(SUBSTITUTE(SUBSTITUTE(UPPER($P449)," ",""),"C",""),";",REPT(" ",30)),211,30))),0)))))</f>
        <v/>
      </c>
      <c r="S449" s="26" t="n"/>
      <c r="T449" s="6" t="n"/>
      <c r="U449" s="13" t="n"/>
      <c r="V449" s="27">
        <f>IF($C449="","",IF($E449="Falta","-",MAX(0,MIN(10,5+IFERROR(VALUE(TRIM(MID(SUBSTITUTE(SUBSTITUTE(SUBSTITUTE(UPPER($T449)," ",""),"P",""),";",REPT(" ",30)),1,30))),0)+IFERROR(VALUE(TRIM(MID(SUBSTITUTE(SUBSTITUTE(SUBSTITUTE(UPPER($T449)," ",""),"P",""),";",REPT(" ",30)),31,30))),0)+IFERROR(VALUE(TRIM(MID(SUBSTITUTE(SUBSTITUTE(SUBSTITUTE(UPPER($T449)," ",""),"P",""),";",REPT(" ",30)),61,30))),0)+IFERROR(VALUE(TRIM(MID(SUBSTITUTE(SUBSTITUTE(SUBSTITUTE(UPPER($T449)," ",""),"P",""),";",REPT(" ",30)),91,30))),0)+IFERROR(VALUE(TRIM(MID(SUBSTITUTE(SUBSTITUTE(SUBSTITUTE(UPPER($T449)," ",""),"P",""),";",REPT(" ",30)),121,30))),0)+IFERROR(VALUE(TRIM(MID(SUBSTITUTE(SUBSTITUTE(SUBSTITUTE(UPPER($T449)," ",""),"P",""),";",REPT(" ",30)),151,30))),0)+IFERROR(VALUE(TRIM(MID(SUBSTITUTE(SUBSTITUTE(SUBSTITUTE(UPPER($T449)," ",""),"P",""),";",REPT(" ",30)),181,30))),0)+IFERROR(VALUE(TRIM(MID(SUBSTITUTE(SUBSTITUTE(SUBSTITUTE(UPPER($T449)," ",""),"P",""),";",REPT(" ",30)),211,30))),0)))))</f>
        <v/>
      </c>
      <c r="W449" s="26" t="n"/>
      <c r="X449" s="13" t="n"/>
    </row>
    <row r="450">
      <c r="A450" s="6">
        <f>IF($C450="","",90)</f>
        <v/>
      </c>
      <c r="B450" s="6">
        <f>IF($C450="","","2ª Sessão")</f>
        <v/>
      </c>
      <c r="C450" s="6">
        <f>IF(Preenchimento!$B$99="","",Preenchimento!$B$99)</f>
        <v/>
      </c>
      <c r="D450" s="6">
        <f>IF($C450="","",IF(Preenchimento!$C$99="","-",Preenchimento!$C$99))</f>
        <v/>
      </c>
      <c r="E450" s="6" t="n"/>
      <c r="F450" s="6" t="n"/>
      <c r="G450" s="26" t="n"/>
      <c r="H450" s="6" t="n"/>
      <c r="I450" s="13" t="n"/>
      <c r="J450" s="27">
        <f>IF($C450="","",IF($E450="Falta","-",MAX(0,MIN(10,8+IFERROR(VALUE(TRIM(MID(SUBSTITUTE(SUBSTITUTE(SUBSTITUTE(UPPER($H450)," ",""),"D",""),";",REPT(" ",30)),1,30))),0)+IFERROR(VALUE(TRIM(MID(SUBSTITUTE(SUBSTITUTE(SUBSTITUTE(UPPER($H450)," ",""),"D",""),";",REPT(" ",30)),31,30))),0)+IFERROR(VALUE(TRIM(MID(SUBSTITUTE(SUBSTITUTE(SUBSTITUTE(UPPER($H450)," ",""),"D",""),";",REPT(" ",30)),61,30))),0)+IFERROR(VALUE(TRIM(MID(SUBSTITUTE(SUBSTITUTE(SUBSTITUTE(UPPER($H450)," ",""),"D",""),";",REPT(" ",30)),91,30))),0)+IFERROR(VALUE(TRIM(MID(SUBSTITUTE(SUBSTITUTE(SUBSTITUTE(UPPER($H450)," ",""),"D",""),";",REPT(" ",30)),121,30))),0)+IFERROR(VALUE(TRIM(MID(SUBSTITUTE(SUBSTITUTE(SUBSTITUTE(UPPER($H450)," ",""),"D",""),";",REPT(" ",30)),151,30))),0)+IFERROR(VALUE(TRIM(MID(SUBSTITUTE(SUBSTITUTE(SUBSTITUTE(UPPER($H450)," ",""),"D",""),";",REPT(" ",30)),181,30))),0)+IFERROR(VALUE(TRIM(MID(SUBSTITUTE(SUBSTITUTE(SUBSTITUTE(UPPER($H450)," ",""),"D",""),";",REPT(" ",30)),211,30))),0)))))</f>
        <v/>
      </c>
      <c r="K450" s="26" t="n"/>
      <c r="L450" s="6" t="n"/>
      <c r="M450" s="13" t="n"/>
      <c r="N450" s="27">
        <f>IF($C450="","",IF($E450="Falta","-",MAX(0,MIN(10,8+IFERROR(VALUE(TRIM(MID(SUBSTITUTE(SUBSTITUTE(SUBSTITUTE(UPPER($L450)," ",""),"F",""),";",REPT(" ",30)),1,30))),0)+IFERROR(VALUE(TRIM(MID(SUBSTITUTE(SUBSTITUTE(SUBSTITUTE(UPPER($L450)," ",""),"F",""),";",REPT(" ",30)),31,30))),0)+IFERROR(VALUE(TRIM(MID(SUBSTITUTE(SUBSTITUTE(SUBSTITUTE(UPPER($L450)," ",""),"F",""),";",REPT(" ",30)),61,30))),0)+IFERROR(VALUE(TRIM(MID(SUBSTITUTE(SUBSTITUTE(SUBSTITUTE(UPPER($L450)," ",""),"F",""),";",REPT(" ",30)),91,30))),0)+IFERROR(VALUE(TRIM(MID(SUBSTITUTE(SUBSTITUTE(SUBSTITUTE(UPPER($L450)," ",""),"F",""),";",REPT(" ",30)),121,30))),0)+IFERROR(VALUE(TRIM(MID(SUBSTITUTE(SUBSTITUTE(SUBSTITUTE(UPPER($L450)," ",""),"F",""),";",REPT(" ",30)),151,30))),0)+IFERROR(VALUE(TRIM(MID(SUBSTITUTE(SUBSTITUTE(SUBSTITUTE(UPPER($L450)," ",""),"F",""),";",REPT(" ",30)),181,30))),0)+IFERROR(VALUE(TRIM(MID(SUBSTITUTE(SUBSTITUTE(SUBSTITUTE(UPPER($L450)," ",""),"F",""),";",REPT(" ",30)),211,30))),0)))))</f>
        <v/>
      </c>
      <c r="O450" s="26" t="n"/>
      <c r="P450" s="6" t="n"/>
      <c r="Q450" s="13" t="n"/>
      <c r="R450" s="27">
        <f>IF($C450="","",IF($E450="Falta","-",MAX(0,MIN(10,5+IFERROR(VALUE(TRIM(MID(SUBSTITUTE(SUBSTITUTE(SUBSTITUTE(UPPER($P450)," ",""),"C",""),";",REPT(" ",30)),1,30))),0)+IFERROR(VALUE(TRIM(MID(SUBSTITUTE(SUBSTITUTE(SUBSTITUTE(UPPER($P450)," ",""),"C",""),";",REPT(" ",30)),31,30))),0)+IFERROR(VALUE(TRIM(MID(SUBSTITUTE(SUBSTITUTE(SUBSTITUTE(UPPER($P450)," ",""),"C",""),";",REPT(" ",30)),61,30))),0)+IFERROR(VALUE(TRIM(MID(SUBSTITUTE(SUBSTITUTE(SUBSTITUTE(UPPER($P450)," ",""),"C",""),";",REPT(" ",30)),91,30))),0)+IFERROR(VALUE(TRIM(MID(SUBSTITUTE(SUBSTITUTE(SUBSTITUTE(UPPER($P450)," ",""),"C",""),";",REPT(" ",30)),121,30))),0)+IFERROR(VALUE(TRIM(MID(SUBSTITUTE(SUBSTITUTE(SUBSTITUTE(UPPER($P450)," ",""),"C",""),";",REPT(" ",30)),151,30))),0)+IFERROR(VALUE(TRIM(MID(SUBSTITUTE(SUBSTITUTE(SUBSTITUTE(UPPER($P450)," ",""),"C",""),";",REPT(" ",30)),181,30))),0)+IFERROR(VALUE(TRIM(MID(SUBSTITUTE(SUBSTITUTE(SUBSTITUTE(UPPER($P450)," ",""),"C",""),";",REPT(" ",30)),211,30))),0)))))</f>
        <v/>
      </c>
      <c r="S450" s="26" t="n"/>
      <c r="T450" s="6" t="n"/>
      <c r="U450" s="13" t="n"/>
      <c r="V450" s="27">
        <f>IF($C450="","",IF($E450="Falta","-",MAX(0,MIN(10,5+IFERROR(VALUE(TRIM(MID(SUBSTITUTE(SUBSTITUTE(SUBSTITUTE(UPPER($T450)," ",""),"P",""),";",REPT(" ",30)),1,30))),0)+IFERROR(VALUE(TRIM(MID(SUBSTITUTE(SUBSTITUTE(SUBSTITUTE(UPPER($T450)," ",""),"P",""),";",REPT(" ",30)),31,30))),0)+IFERROR(VALUE(TRIM(MID(SUBSTITUTE(SUBSTITUTE(SUBSTITUTE(UPPER($T450)," ",""),"P",""),";",REPT(" ",30)),61,30))),0)+IFERROR(VALUE(TRIM(MID(SUBSTITUTE(SUBSTITUTE(SUBSTITUTE(UPPER($T450)," ",""),"P",""),";",REPT(" ",30)),91,30))),0)+IFERROR(VALUE(TRIM(MID(SUBSTITUTE(SUBSTITUTE(SUBSTITUTE(UPPER($T450)," ",""),"P",""),";",REPT(" ",30)),121,30))),0)+IFERROR(VALUE(TRIM(MID(SUBSTITUTE(SUBSTITUTE(SUBSTITUTE(UPPER($T450)," ",""),"P",""),";",REPT(" ",30)),151,30))),0)+IFERROR(VALUE(TRIM(MID(SUBSTITUTE(SUBSTITUTE(SUBSTITUTE(UPPER($T450)," ",""),"P",""),";",REPT(" ",30)),181,30))),0)+IFERROR(VALUE(TRIM(MID(SUBSTITUTE(SUBSTITUTE(SUBSTITUTE(UPPER($T450)," ",""),"P",""),";",REPT(" ",30)),211,30))),0)))))</f>
        <v/>
      </c>
      <c r="W450" s="26" t="n"/>
      <c r="X450" s="13" t="n"/>
    </row>
    <row r="451">
      <c r="A451" s="6">
        <f>IF($C451="","",90)</f>
        <v/>
      </c>
      <c r="B451" s="6">
        <f>IF($C451="","","3ª Sessão")</f>
        <v/>
      </c>
      <c r="C451" s="6">
        <f>IF(Preenchimento!$B$99="","",Preenchimento!$B$99)</f>
        <v/>
      </c>
      <c r="D451" s="6">
        <f>IF($C451="","",IF(Preenchimento!$C$99="","-",Preenchimento!$C$99))</f>
        <v/>
      </c>
      <c r="E451" s="6" t="n"/>
      <c r="F451" s="6" t="n"/>
      <c r="G451" s="26" t="n"/>
      <c r="H451" s="6" t="n"/>
      <c r="I451" s="13" t="n"/>
      <c r="J451" s="27">
        <f>IF($C451="","",IF($E451="Falta","-",MAX(0,MIN(10,8+IFERROR(VALUE(TRIM(MID(SUBSTITUTE(SUBSTITUTE(SUBSTITUTE(UPPER($H451)," ",""),"D",""),";",REPT(" ",30)),1,30))),0)+IFERROR(VALUE(TRIM(MID(SUBSTITUTE(SUBSTITUTE(SUBSTITUTE(UPPER($H451)," ",""),"D",""),";",REPT(" ",30)),31,30))),0)+IFERROR(VALUE(TRIM(MID(SUBSTITUTE(SUBSTITUTE(SUBSTITUTE(UPPER($H451)," ",""),"D",""),";",REPT(" ",30)),61,30))),0)+IFERROR(VALUE(TRIM(MID(SUBSTITUTE(SUBSTITUTE(SUBSTITUTE(UPPER($H451)," ",""),"D",""),";",REPT(" ",30)),91,30))),0)+IFERROR(VALUE(TRIM(MID(SUBSTITUTE(SUBSTITUTE(SUBSTITUTE(UPPER($H451)," ",""),"D",""),";",REPT(" ",30)),121,30))),0)+IFERROR(VALUE(TRIM(MID(SUBSTITUTE(SUBSTITUTE(SUBSTITUTE(UPPER($H451)," ",""),"D",""),";",REPT(" ",30)),151,30))),0)+IFERROR(VALUE(TRIM(MID(SUBSTITUTE(SUBSTITUTE(SUBSTITUTE(UPPER($H451)," ",""),"D",""),";",REPT(" ",30)),181,30))),0)+IFERROR(VALUE(TRIM(MID(SUBSTITUTE(SUBSTITUTE(SUBSTITUTE(UPPER($H451)," ",""),"D",""),";",REPT(" ",30)),211,30))),0)))))</f>
        <v/>
      </c>
      <c r="K451" s="26" t="n"/>
      <c r="L451" s="6" t="n"/>
      <c r="M451" s="13" t="n"/>
      <c r="N451" s="27">
        <f>IF($C451="","",IF($E451="Falta","-",MAX(0,MIN(10,8+IFERROR(VALUE(TRIM(MID(SUBSTITUTE(SUBSTITUTE(SUBSTITUTE(UPPER($L451)," ",""),"F",""),";",REPT(" ",30)),1,30))),0)+IFERROR(VALUE(TRIM(MID(SUBSTITUTE(SUBSTITUTE(SUBSTITUTE(UPPER($L451)," ",""),"F",""),";",REPT(" ",30)),31,30))),0)+IFERROR(VALUE(TRIM(MID(SUBSTITUTE(SUBSTITUTE(SUBSTITUTE(UPPER($L451)," ",""),"F",""),";",REPT(" ",30)),61,30))),0)+IFERROR(VALUE(TRIM(MID(SUBSTITUTE(SUBSTITUTE(SUBSTITUTE(UPPER($L451)," ",""),"F",""),";",REPT(" ",30)),91,30))),0)+IFERROR(VALUE(TRIM(MID(SUBSTITUTE(SUBSTITUTE(SUBSTITUTE(UPPER($L451)," ",""),"F",""),";",REPT(" ",30)),121,30))),0)+IFERROR(VALUE(TRIM(MID(SUBSTITUTE(SUBSTITUTE(SUBSTITUTE(UPPER($L451)," ",""),"F",""),";",REPT(" ",30)),151,30))),0)+IFERROR(VALUE(TRIM(MID(SUBSTITUTE(SUBSTITUTE(SUBSTITUTE(UPPER($L451)," ",""),"F",""),";",REPT(" ",30)),181,30))),0)+IFERROR(VALUE(TRIM(MID(SUBSTITUTE(SUBSTITUTE(SUBSTITUTE(UPPER($L451)," ",""),"F",""),";",REPT(" ",30)),211,30))),0)))))</f>
        <v/>
      </c>
      <c r="O451" s="26" t="n"/>
      <c r="P451" s="6" t="n"/>
      <c r="Q451" s="13" t="n"/>
      <c r="R451" s="27">
        <f>IF($C451="","",IF($E451="Falta","-",MAX(0,MIN(10,5+IFERROR(VALUE(TRIM(MID(SUBSTITUTE(SUBSTITUTE(SUBSTITUTE(UPPER($P451)," ",""),"C",""),";",REPT(" ",30)),1,30))),0)+IFERROR(VALUE(TRIM(MID(SUBSTITUTE(SUBSTITUTE(SUBSTITUTE(UPPER($P451)," ",""),"C",""),";",REPT(" ",30)),31,30))),0)+IFERROR(VALUE(TRIM(MID(SUBSTITUTE(SUBSTITUTE(SUBSTITUTE(UPPER($P451)," ",""),"C",""),";",REPT(" ",30)),61,30))),0)+IFERROR(VALUE(TRIM(MID(SUBSTITUTE(SUBSTITUTE(SUBSTITUTE(UPPER($P451)," ",""),"C",""),";",REPT(" ",30)),91,30))),0)+IFERROR(VALUE(TRIM(MID(SUBSTITUTE(SUBSTITUTE(SUBSTITUTE(UPPER($P451)," ",""),"C",""),";",REPT(" ",30)),121,30))),0)+IFERROR(VALUE(TRIM(MID(SUBSTITUTE(SUBSTITUTE(SUBSTITUTE(UPPER($P451)," ",""),"C",""),";",REPT(" ",30)),151,30))),0)+IFERROR(VALUE(TRIM(MID(SUBSTITUTE(SUBSTITUTE(SUBSTITUTE(UPPER($P451)," ",""),"C",""),";",REPT(" ",30)),181,30))),0)+IFERROR(VALUE(TRIM(MID(SUBSTITUTE(SUBSTITUTE(SUBSTITUTE(UPPER($P451)," ",""),"C",""),";",REPT(" ",30)),211,30))),0)))))</f>
        <v/>
      </c>
      <c r="S451" s="26" t="n"/>
      <c r="T451" s="6" t="n"/>
      <c r="U451" s="13" t="n"/>
      <c r="V451" s="27">
        <f>IF($C451="","",IF($E451="Falta","-",MAX(0,MIN(10,5+IFERROR(VALUE(TRIM(MID(SUBSTITUTE(SUBSTITUTE(SUBSTITUTE(UPPER($T451)," ",""),"P",""),";",REPT(" ",30)),1,30))),0)+IFERROR(VALUE(TRIM(MID(SUBSTITUTE(SUBSTITUTE(SUBSTITUTE(UPPER($T451)," ",""),"P",""),";",REPT(" ",30)),31,30))),0)+IFERROR(VALUE(TRIM(MID(SUBSTITUTE(SUBSTITUTE(SUBSTITUTE(UPPER($T451)," ",""),"P",""),";",REPT(" ",30)),61,30))),0)+IFERROR(VALUE(TRIM(MID(SUBSTITUTE(SUBSTITUTE(SUBSTITUTE(UPPER($T451)," ",""),"P",""),";",REPT(" ",30)),91,30))),0)+IFERROR(VALUE(TRIM(MID(SUBSTITUTE(SUBSTITUTE(SUBSTITUTE(UPPER($T451)," ",""),"P",""),";",REPT(" ",30)),121,30))),0)+IFERROR(VALUE(TRIM(MID(SUBSTITUTE(SUBSTITUTE(SUBSTITUTE(UPPER($T451)," ",""),"P",""),";",REPT(" ",30)),151,30))),0)+IFERROR(VALUE(TRIM(MID(SUBSTITUTE(SUBSTITUTE(SUBSTITUTE(UPPER($T451)," ",""),"P",""),";",REPT(" ",30)),181,30))),0)+IFERROR(VALUE(TRIM(MID(SUBSTITUTE(SUBSTITUTE(SUBSTITUTE(UPPER($T451)," ",""),"P",""),";",REPT(" ",30)),211,30))),0)))))</f>
        <v/>
      </c>
      <c r="W451" s="26" t="n"/>
      <c r="X451" s="13" t="n"/>
    </row>
    <row r="452">
      <c r="A452" s="6">
        <f>IF($C452="","",90)</f>
        <v/>
      </c>
      <c r="B452" s="6">
        <f>IF($C452="","","4ª Sessão")</f>
        <v/>
      </c>
      <c r="C452" s="6">
        <f>IF(Preenchimento!$B$99="","",Preenchimento!$B$99)</f>
        <v/>
      </c>
      <c r="D452" s="6">
        <f>IF($C452="","",IF(Preenchimento!$C$99="","-",Preenchimento!$C$99))</f>
        <v/>
      </c>
      <c r="E452" s="6" t="n"/>
      <c r="F452" s="6" t="n"/>
      <c r="G452" s="26" t="n"/>
      <c r="H452" s="6" t="n"/>
      <c r="I452" s="13" t="n"/>
      <c r="J452" s="27">
        <f>IF($C452="","",IF($E452="Falta","-",MAX(0,MIN(10,8+IFERROR(VALUE(TRIM(MID(SUBSTITUTE(SUBSTITUTE(SUBSTITUTE(UPPER($H452)," ",""),"D",""),";",REPT(" ",30)),1,30))),0)+IFERROR(VALUE(TRIM(MID(SUBSTITUTE(SUBSTITUTE(SUBSTITUTE(UPPER($H452)," ",""),"D",""),";",REPT(" ",30)),31,30))),0)+IFERROR(VALUE(TRIM(MID(SUBSTITUTE(SUBSTITUTE(SUBSTITUTE(UPPER($H452)," ",""),"D",""),";",REPT(" ",30)),61,30))),0)+IFERROR(VALUE(TRIM(MID(SUBSTITUTE(SUBSTITUTE(SUBSTITUTE(UPPER($H452)," ",""),"D",""),";",REPT(" ",30)),91,30))),0)+IFERROR(VALUE(TRIM(MID(SUBSTITUTE(SUBSTITUTE(SUBSTITUTE(UPPER($H452)," ",""),"D",""),";",REPT(" ",30)),121,30))),0)+IFERROR(VALUE(TRIM(MID(SUBSTITUTE(SUBSTITUTE(SUBSTITUTE(UPPER($H452)," ",""),"D",""),";",REPT(" ",30)),151,30))),0)+IFERROR(VALUE(TRIM(MID(SUBSTITUTE(SUBSTITUTE(SUBSTITUTE(UPPER($H452)," ",""),"D",""),";",REPT(" ",30)),181,30))),0)+IFERROR(VALUE(TRIM(MID(SUBSTITUTE(SUBSTITUTE(SUBSTITUTE(UPPER($H452)," ",""),"D",""),";",REPT(" ",30)),211,30))),0)))))</f>
        <v/>
      </c>
      <c r="K452" s="26" t="n"/>
      <c r="L452" s="6" t="n"/>
      <c r="M452" s="13" t="n"/>
      <c r="N452" s="27">
        <f>IF($C452="","",IF($E452="Falta","-",MAX(0,MIN(10,8+IFERROR(VALUE(TRIM(MID(SUBSTITUTE(SUBSTITUTE(SUBSTITUTE(UPPER($L452)," ",""),"F",""),";",REPT(" ",30)),1,30))),0)+IFERROR(VALUE(TRIM(MID(SUBSTITUTE(SUBSTITUTE(SUBSTITUTE(UPPER($L452)," ",""),"F",""),";",REPT(" ",30)),31,30))),0)+IFERROR(VALUE(TRIM(MID(SUBSTITUTE(SUBSTITUTE(SUBSTITUTE(UPPER($L452)," ",""),"F",""),";",REPT(" ",30)),61,30))),0)+IFERROR(VALUE(TRIM(MID(SUBSTITUTE(SUBSTITUTE(SUBSTITUTE(UPPER($L452)," ",""),"F",""),";",REPT(" ",30)),91,30))),0)+IFERROR(VALUE(TRIM(MID(SUBSTITUTE(SUBSTITUTE(SUBSTITUTE(UPPER($L452)," ",""),"F",""),";",REPT(" ",30)),121,30))),0)+IFERROR(VALUE(TRIM(MID(SUBSTITUTE(SUBSTITUTE(SUBSTITUTE(UPPER($L452)," ",""),"F",""),";",REPT(" ",30)),151,30))),0)+IFERROR(VALUE(TRIM(MID(SUBSTITUTE(SUBSTITUTE(SUBSTITUTE(UPPER($L452)," ",""),"F",""),";",REPT(" ",30)),181,30))),0)+IFERROR(VALUE(TRIM(MID(SUBSTITUTE(SUBSTITUTE(SUBSTITUTE(UPPER($L452)," ",""),"F",""),";",REPT(" ",30)),211,30))),0)))))</f>
        <v/>
      </c>
      <c r="O452" s="26" t="n"/>
      <c r="P452" s="6" t="n"/>
      <c r="Q452" s="13" t="n"/>
      <c r="R452" s="27">
        <f>IF($C452="","",IF($E452="Falta","-",MAX(0,MIN(10,5+IFERROR(VALUE(TRIM(MID(SUBSTITUTE(SUBSTITUTE(SUBSTITUTE(UPPER($P452)," ",""),"C",""),";",REPT(" ",30)),1,30))),0)+IFERROR(VALUE(TRIM(MID(SUBSTITUTE(SUBSTITUTE(SUBSTITUTE(UPPER($P452)," ",""),"C",""),";",REPT(" ",30)),31,30))),0)+IFERROR(VALUE(TRIM(MID(SUBSTITUTE(SUBSTITUTE(SUBSTITUTE(UPPER($P452)," ",""),"C",""),";",REPT(" ",30)),61,30))),0)+IFERROR(VALUE(TRIM(MID(SUBSTITUTE(SUBSTITUTE(SUBSTITUTE(UPPER($P452)," ",""),"C",""),";",REPT(" ",30)),91,30))),0)+IFERROR(VALUE(TRIM(MID(SUBSTITUTE(SUBSTITUTE(SUBSTITUTE(UPPER($P452)," ",""),"C",""),";",REPT(" ",30)),121,30))),0)+IFERROR(VALUE(TRIM(MID(SUBSTITUTE(SUBSTITUTE(SUBSTITUTE(UPPER($P452)," ",""),"C",""),";",REPT(" ",30)),151,30))),0)+IFERROR(VALUE(TRIM(MID(SUBSTITUTE(SUBSTITUTE(SUBSTITUTE(UPPER($P452)," ",""),"C",""),";",REPT(" ",30)),181,30))),0)+IFERROR(VALUE(TRIM(MID(SUBSTITUTE(SUBSTITUTE(SUBSTITUTE(UPPER($P452)," ",""),"C",""),";",REPT(" ",30)),211,30))),0)))))</f>
        <v/>
      </c>
      <c r="S452" s="26" t="n"/>
      <c r="T452" s="6" t="n"/>
      <c r="U452" s="13" t="n"/>
      <c r="V452" s="27">
        <f>IF($C452="","",IF($E452="Falta","-",MAX(0,MIN(10,5+IFERROR(VALUE(TRIM(MID(SUBSTITUTE(SUBSTITUTE(SUBSTITUTE(UPPER($T452)," ",""),"P",""),";",REPT(" ",30)),1,30))),0)+IFERROR(VALUE(TRIM(MID(SUBSTITUTE(SUBSTITUTE(SUBSTITUTE(UPPER($T452)," ",""),"P",""),";",REPT(" ",30)),31,30))),0)+IFERROR(VALUE(TRIM(MID(SUBSTITUTE(SUBSTITUTE(SUBSTITUTE(UPPER($T452)," ",""),"P",""),";",REPT(" ",30)),61,30))),0)+IFERROR(VALUE(TRIM(MID(SUBSTITUTE(SUBSTITUTE(SUBSTITUTE(UPPER($T452)," ",""),"P",""),";",REPT(" ",30)),91,30))),0)+IFERROR(VALUE(TRIM(MID(SUBSTITUTE(SUBSTITUTE(SUBSTITUTE(UPPER($T452)," ",""),"P",""),";",REPT(" ",30)),121,30))),0)+IFERROR(VALUE(TRIM(MID(SUBSTITUTE(SUBSTITUTE(SUBSTITUTE(UPPER($T452)," ",""),"P",""),";",REPT(" ",30)),151,30))),0)+IFERROR(VALUE(TRIM(MID(SUBSTITUTE(SUBSTITUTE(SUBSTITUTE(UPPER($T452)," ",""),"P",""),";",REPT(" ",30)),181,30))),0)+IFERROR(VALUE(TRIM(MID(SUBSTITUTE(SUBSTITUTE(SUBSTITUTE(UPPER($T452)," ",""),"P",""),";",REPT(" ",30)),211,30))),0)))))</f>
        <v/>
      </c>
      <c r="W452" s="26" t="n"/>
      <c r="X452" s="13" t="n"/>
    </row>
    <row r="453">
      <c r="A453" s="6">
        <f>IF($C453="","",90)</f>
        <v/>
      </c>
      <c r="B453" s="6">
        <f>IF($C453="","","5ª Sessão")</f>
        <v/>
      </c>
      <c r="C453" s="6">
        <f>IF(Preenchimento!$B$99="","",Preenchimento!$B$99)</f>
        <v/>
      </c>
      <c r="D453" s="6">
        <f>IF($C453="","",IF(Preenchimento!$C$99="","-",Preenchimento!$C$99))</f>
        <v/>
      </c>
      <c r="E453" s="6" t="n"/>
      <c r="F453" s="6" t="n"/>
      <c r="G453" s="26" t="n"/>
      <c r="H453" s="6" t="n"/>
      <c r="I453" s="13" t="n"/>
      <c r="J453" s="27">
        <f>IF($C453="","",IF($E453="Falta","-",MAX(0,MIN(10,8+IFERROR(VALUE(TRIM(MID(SUBSTITUTE(SUBSTITUTE(SUBSTITUTE(UPPER($H453)," ",""),"D",""),";",REPT(" ",30)),1,30))),0)+IFERROR(VALUE(TRIM(MID(SUBSTITUTE(SUBSTITUTE(SUBSTITUTE(UPPER($H453)," ",""),"D",""),";",REPT(" ",30)),31,30))),0)+IFERROR(VALUE(TRIM(MID(SUBSTITUTE(SUBSTITUTE(SUBSTITUTE(UPPER($H453)," ",""),"D",""),";",REPT(" ",30)),61,30))),0)+IFERROR(VALUE(TRIM(MID(SUBSTITUTE(SUBSTITUTE(SUBSTITUTE(UPPER($H453)," ",""),"D",""),";",REPT(" ",30)),91,30))),0)+IFERROR(VALUE(TRIM(MID(SUBSTITUTE(SUBSTITUTE(SUBSTITUTE(UPPER($H453)," ",""),"D",""),";",REPT(" ",30)),121,30))),0)+IFERROR(VALUE(TRIM(MID(SUBSTITUTE(SUBSTITUTE(SUBSTITUTE(UPPER($H453)," ",""),"D",""),";",REPT(" ",30)),151,30))),0)+IFERROR(VALUE(TRIM(MID(SUBSTITUTE(SUBSTITUTE(SUBSTITUTE(UPPER($H453)," ",""),"D",""),";",REPT(" ",30)),181,30))),0)+IFERROR(VALUE(TRIM(MID(SUBSTITUTE(SUBSTITUTE(SUBSTITUTE(UPPER($H453)," ",""),"D",""),";",REPT(" ",30)),211,30))),0)))))</f>
        <v/>
      </c>
      <c r="K453" s="26" t="n"/>
      <c r="L453" s="6" t="n"/>
      <c r="M453" s="13" t="n"/>
      <c r="N453" s="27">
        <f>IF($C453="","",IF($E453="Falta","-",MAX(0,MIN(10,8+IFERROR(VALUE(TRIM(MID(SUBSTITUTE(SUBSTITUTE(SUBSTITUTE(UPPER($L453)," ",""),"F",""),";",REPT(" ",30)),1,30))),0)+IFERROR(VALUE(TRIM(MID(SUBSTITUTE(SUBSTITUTE(SUBSTITUTE(UPPER($L453)," ",""),"F",""),";",REPT(" ",30)),31,30))),0)+IFERROR(VALUE(TRIM(MID(SUBSTITUTE(SUBSTITUTE(SUBSTITUTE(UPPER($L453)," ",""),"F",""),";",REPT(" ",30)),61,30))),0)+IFERROR(VALUE(TRIM(MID(SUBSTITUTE(SUBSTITUTE(SUBSTITUTE(UPPER($L453)," ",""),"F",""),";",REPT(" ",30)),91,30))),0)+IFERROR(VALUE(TRIM(MID(SUBSTITUTE(SUBSTITUTE(SUBSTITUTE(UPPER($L453)," ",""),"F",""),";",REPT(" ",30)),121,30))),0)+IFERROR(VALUE(TRIM(MID(SUBSTITUTE(SUBSTITUTE(SUBSTITUTE(UPPER($L453)," ",""),"F",""),";",REPT(" ",30)),151,30))),0)+IFERROR(VALUE(TRIM(MID(SUBSTITUTE(SUBSTITUTE(SUBSTITUTE(UPPER($L453)," ",""),"F",""),";",REPT(" ",30)),181,30))),0)+IFERROR(VALUE(TRIM(MID(SUBSTITUTE(SUBSTITUTE(SUBSTITUTE(UPPER($L453)," ",""),"F",""),";",REPT(" ",30)),211,30))),0)))))</f>
        <v/>
      </c>
      <c r="O453" s="26" t="n"/>
      <c r="P453" s="6" t="n"/>
      <c r="Q453" s="13" t="n"/>
      <c r="R453" s="27">
        <f>IF($C453="","",IF($E453="Falta","-",MAX(0,MIN(10,5+IFERROR(VALUE(TRIM(MID(SUBSTITUTE(SUBSTITUTE(SUBSTITUTE(UPPER($P453)," ",""),"C",""),";",REPT(" ",30)),1,30))),0)+IFERROR(VALUE(TRIM(MID(SUBSTITUTE(SUBSTITUTE(SUBSTITUTE(UPPER($P453)," ",""),"C",""),";",REPT(" ",30)),31,30))),0)+IFERROR(VALUE(TRIM(MID(SUBSTITUTE(SUBSTITUTE(SUBSTITUTE(UPPER($P453)," ",""),"C",""),";",REPT(" ",30)),61,30))),0)+IFERROR(VALUE(TRIM(MID(SUBSTITUTE(SUBSTITUTE(SUBSTITUTE(UPPER($P453)," ",""),"C",""),";",REPT(" ",30)),91,30))),0)+IFERROR(VALUE(TRIM(MID(SUBSTITUTE(SUBSTITUTE(SUBSTITUTE(UPPER($P453)," ",""),"C",""),";",REPT(" ",30)),121,30))),0)+IFERROR(VALUE(TRIM(MID(SUBSTITUTE(SUBSTITUTE(SUBSTITUTE(UPPER($P453)," ",""),"C",""),";",REPT(" ",30)),151,30))),0)+IFERROR(VALUE(TRIM(MID(SUBSTITUTE(SUBSTITUTE(SUBSTITUTE(UPPER($P453)," ",""),"C",""),";",REPT(" ",30)),181,30))),0)+IFERROR(VALUE(TRIM(MID(SUBSTITUTE(SUBSTITUTE(SUBSTITUTE(UPPER($P453)," ",""),"C",""),";",REPT(" ",30)),211,30))),0)))))</f>
        <v/>
      </c>
      <c r="S453" s="26" t="n"/>
      <c r="T453" s="6" t="n"/>
      <c r="U453" s="13" t="n"/>
      <c r="V453" s="27">
        <f>IF($C453="","",IF($E453="Falta","-",MAX(0,MIN(10,5+IFERROR(VALUE(TRIM(MID(SUBSTITUTE(SUBSTITUTE(SUBSTITUTE(UPPER($T453)," ",""),"P",""),";",REPT(" ",30)),1,30))),0)+IFERROR(VALUE(TRIM(MID(SUBSTITUTE(SUBSTITUTE(SUBSTITUTE(UPPER($T453)," ",""),"P",""),";",REPT(" ",30)),31,30))),0)+IFERROR(VALUE(TRIM(MID(SUBSTITUTE(SUBSTITUTE(SUBSTITUTE(UPPER($T453)," ",""),"P",""),";",REPT(" ",30)),61,30))),0)+IFERROR(VALUE(TRIM(MID(SUBSTITUTE(SUBSTITUTE(SUBSTITUTE(UPPER($T453)," ",""),"P",""),";",REPT(" ",30)),91,30))),0)+IFERROR(VALUE(TRIM(MID(SUBSTITUTE(SUBSTITUTE(SUBSTITUTE(UPPER($T453)," ",""),"P",""),";",REPT(" ",30)),121,30))),0)+IFERROR(VALUE(TRIM(MID(SUBSTITUTE(SUBSTITUTE(SUBSTITUTE(UPPER($T453)," ",""),"P",""),";",REPT(" ",30)),151,30))),0)+IFERROR(VALUE(TRIM(MID(SUBSTITUTE(SUBSTITUTE(SUBSTITUTE(UPPER($T453)," ",""),"P",""),";",REPT(" ",30)),181,30))),0)+IFERROR(VALUE(TRIM(MID(SUBSTITUTE(SUBSTITUTE(SUBSTITUTE(UPPER($T453)," ",""),"P",""),";",REPT(" ",30)),211,30))),0)))))</f>
        <v/>
      </c>
      <c r="W453" s="26" t="n"/>
      <c r="X453" s="13" t="n"/>
    </row>
    <row r="454">
      <c r="A454" s="8">
        <f>IF($C454="","",91)</f>
        <v/>
      </c>
      <c r="B454" s="8">
        <f>IF($C454="","","1ª Sessão")</f>
        <v/>
      </c>
      <c r="C454" s="8">
        <f>IF(Preenchimento!$B$100="","",Preenchimento!$B$100)</f>
        <v/>
      </c>
      <c r="D454" s="8">
        <f>IF($C454="","",IF(Preenchimento!$C$100="","-",Preenchimento!$C$100))</f>
        <v/>
      </c>
      <c r="E454" s="8" t="n"/>
      <c r="F454" s="8" t="n"/>
      <c r="G454" s="24" t="n"/>
      <c r="H454" s="8" t="n"/>
      <c r="I454" s="14" t="n"/>
      <c r="J454" s="25">
        <f>IF($C454="","",IF($E454="Falta","-",MAX(0,MIN(10,8+IFERROR(VALUE(TRIM(MID(SUBSTITUTE(SUBSTITUTE(SUBSTITUTE(UPPER($H454)," ",""),"D",""),";",REPT(" ",30)),1,30))),0)+IFERROR(VALUE(TRIM(MID(SUBSTITUTE(SUBSTITUTE(SUBSTITUTE(UPPER($H454)," ",""),"D",""),";",REPT(" ",30)),31,30))),0)+IFERROR(VALUE(TRIM(MID(SUBSTITUTE(SUBSTITUTE(SUBSTITUTE(UPPER($H454)," ",""),"D",""),";",REPT(" ",30)),61,30))),0)+IFERROR(VALUE(TRIM(MID(SUBSTITUTE(SUBSTITUTE(SUBSTITUTE(UPPER($H454)," ",""),"D",""),";",REPT(" ",30)),91,30))),0)+IFERROR(VALUE(TRIM(MID(SUBSTITUTE(SUBSTITUTE(SUBSTITUTE(UPPER($H454)," ",""),"D",""),";",REPT(" ",30)),121,30))),0)+IFERROR(VALUE(TRIM(MID(SUBSTITUTE(SUBSTITUTE(SUBSTITUTE(UPPER($H454)," ",""),"D",""),";",REPT(" ",30)),151,30))),0)+IFERROR(VALUE(TRIM(MID(SUBSTITUTE(SUBSTITUTE(SUBSTITUTE(UPPER($H454)," ",""),"D",""),";",REPT(" ",30)),181,30))),0)+IFERROR(VALUE(TRIM(MID(SUBSTITUTE(SUBSTITUTE(SUBSTITUTE(UPPER($H454)," ",""),"D",""),";",REPT(" ",30)),211,30))),0)))))</f>
        <v/>
      </c>
      <c r="K454" s="24" t="n"/>
      <c r="L454" s="8" t="n"/>
      <c r="M454" s="14" t="n"/>
      <c r="N454" s="25">
        <f>IF($C454="","",IF($E454="Falta","-",MAX(0,MIN(10,8+IFERROR(VALUE(TRIM(MID(SUBSTITUTE(SUBSTITUTE(SUBSTITUTE(UPPER($L454)," ",""),"F",""),";",REPT(" ",30)),1,30))),0)+IFERROR(VALUE(TRIM(MID(SUBSTITUTE(SUBSTITUTE(SUBSTITUTE(UPPER($L454)," ",""),"F",""),";",REPT(" ",30)),31,30))),0)+IFERROR(VALUE(TRIM(MID(SUBSTITUTE(SUBSTITUTE(SUBSTITUTE(UPPER($L454)," ",""),"F",""),";",REPT(" ",30)),61,30))),0)+IFERROR(VALUE(TRIM(MID(SUBSTITUTE(SUBSTITUTE(SUBSTITUTE(UPPER($L454)," ",""),"F",""),";",REPT(" ",30)),91,30))),0)+IFERROR(VALUE(TRIM(MID(SUBSTITUTE(SUBSTITUTE(SUBSTITUTE(UPPER($L454)," ",""),"F",""),";",REPT(" ",30)),121,30))),0)+IFERROR(VALUE(TRIM(MID(SUBSTITUTE(SUBSTITUTE(SUBSTITUTE(UPPER($L454)," ",""),"F",""),";",REPT(" ",30)),151,30))),0)+IFERROR(VALUE(TRIM(MID(SUBSTITUTE(SUBSTITUTE(SUBSTITUTE(UPPER($L454)," ",""),"F",""),";",REPT(" ",30)),181,30))),0)+IFERROR(VALUE(TRIM(MID(SUBSTITUTE(SUBSTITUTE(SUBSTITUTE(UPPER($L454)," ",""),"F",""),";",REPT(" ",30)),211,30))),0)))))</f>
        <v/>
      </c>
      <c r="O454" s="24" t="n"/>
      <c r="P454" s="8" t="n"/>
      <c r="Q454" s="14" t="n"/>
      <c r="R454" s="25">
        <f>IF($C454="","",IF($E454="Falta","-",MAX(0,MIN(10,5+IFERROR(VALUE(TRIM(MID(SUBSTITUTE(SUBSTITUTE(SUBSTITUTE(UPPER($P454)," ",""),"C",""),";",REPT(" ",30)),1,30))),0)+IFERROR(VALUE(TRIM(MID(SUBSTITUTE(SUBSTITUTE(SUBSTITUTE(UPPER($P454)," ",""),"C",""),";",REPT(" ",30)),31,30))),0)+IFERROR(VALUE(TRIM(MID(SUBSTITUTE(SUBSTITUTE(SUBSTITUTE(UPPER($P454)," ",""),"C",""),";",REPT(" ",30)),61,30))),0)+IFERROR(VALUE(TRIM(MID(SUBSTITUTE(SUBSTITUTE(SUBSTITUTE(UPPER($P454)," ",""),"C",""),";",REPT(" ",30)),91,30))),0)+IFERROR(VALUE(TRIM(MID(SUBSTITUTE(SUBSTITUTE(SUBSTITUTE(UPPER($P454)," ",""),"C",""),";",REPT(" ",30)),121,30))),0)+IFERROR(VALUE(TRIM(MID(SUBSTITUTE(SUBSTITUTE(SUBSTITUTE(UPPER($P454)," ",""),"C",""),";",REPT(" ",30)),151,30))),0)+IFERROR(VALUE(TRIM(MID(SUBSTITUTE(SUBSTITUTE(SUBSTITUTE(UPPER($P454)," ",""),"C",""),";",REPT(" ",30)),181,30))),0)+IFERROR(VALUE(TRIM(MID(SUBSTITUTE(SUBSTITUTE(SUBSTITUTE(UPPER($P454)," ",""),"C",""),";",REPT(" ",30)),211,30))),0)))))</f>
        <v/>
      </c>
      <c r="S454" s="24" t="n"/>
      <c r="T454" s="8" t="n"/>
      <c r="U454" s="14" t="n"/>
      <c r="V454" s="25">
        <f>IF($C454="","",IF($E454="Falta","-",MAX(0,MIN(10,5+IFERROR(VALUE(TRIM(MID(SUBSTITUTE(SUBSTITUTE(SUBSTITUTE(UPPER($T454)," ",""),"P",""),";",REPT(" ",30)),1,30))),0)+IFERROR(VALUE(TRIM(MID(SUBSTITUTE(SUBSTITUTE(SUBSTITUTE(UPPER($T454)," ",""),"P",""),";",REPT(" ",30)),31,30))),0)+IFERROR(VALUE(TRIM(MID(SUBSTITUTE(SUBSTITUTE(SUBSTITUTE(UPPER($T454)," ",""),"P",""),";",REPT(" ",30)),61,30))),0)+IFERROR(VALUE(TRIM(MID(SUBSTITUTE(SUBSTITUTE(SUBSTITUTE(UPPER($T454)," ",""),"P",""),";",REPT(" ",30)),91,30))),0)+IFERROR(VALUE(TRIM(MID(SUBSTITUTE(SUBSTITUTE(SUBSTITUTE(UPPER($T454)," ",""),"P",""),";",REPT(" ",30)),121,30))),0)+IFERROR(VALUE(TRIM(MID(SUBSTITUTE(SUBSTITUTE(SUBSTITUTE(UPPER($T454)," ",""),"P",""),";",REPT(" ",30)),151,30))),0)+IFERROR(VALUE(TRIM(MID(SUBSTITUTE(SUBSTITUTE(SUBSTITUTE(UPPER($T454)," ",""),"P",""),";",REPT(" ",30)),181,30))),0)+IFERROR(VALUE(TRIM(MID(SUBSTITUTE(SUBSTITUTE(SUBSTITUTE(UPPER($T454)," ",""),"P",""),";",REPT(" ",30)),211,30))),0)))))</f>
        <v/>
      </c>
      <c r="W454" s="24" t="n"/>
      <c r="X454" s="14" t="n"/>
    </row>
    <row r="455">
      <c r="A455" s="8">
        <f>IF($C455="","",91)</f>
        <v/>
      </c>
      <c r="B455" s="8">
        <f>IF($C455="","","2ª Sessão")</f>
        <v/>
      </c>
      <c r="C455" s="8">
        <f>IF(Preenchimento!$B$100="","",Preenchimento!$B$100)</f>
        <v/>
      </c>
      <c r="D455" s="8">
        <f>IF($C455="","",IF(Preenchimento!$C$100="","-",Preenchimento!$C$100))</f>
        <v/>
      </c>
      <c r="E455" s="8" t="n"/>
      <c r="F455" s="8" t="n"/>
      <c r="G455" s="24" t="n"/>
      <c r="H455" s="8" t="n"/>
      <c r="I455" s="14" t="n"/>
      <c r="J455" s="25">
        <f>IF($C455="","",IF($E455="Falta","-",MAX(0,MIN(10,8+IFERROR(VALUE(TRIM(MID(SUBSTITUTE(SUBSTITUTE(SUBSTITUTE(UPPER($H455)," ",""),"D",""),";",REPT(" ",30)),1,30))),0)+IFERROR(VALUE(TRIM(MID(SUBSTITUTE(SUBSTITUTE(SUBSTITUTE(UPPER($H455)," ",""),"D",""),";",REPT(" ",30)),31,30))),0)+IFERROR(VALUE(TRIM(MID(SUBSTITUTE(SUBSTITUTE(SUBSTITUTE(UPPER($H455)," ",""),"D",""),";",REPT(" ",30)),61,30))),0)+IFERROR(VALUE(TRIM(MID(SUBSTITUTE(SUBSTITUTE(SUBSTITUTE(UPPER($H455)," ",""),"D",""),";",REPT(" ",30)),91,30))),0)+IFERROR(VALUE(TRIM(MID(SUBSTITUTE(SUBSTITUTE(SUBSTITUTE(UPPER($H455)," ",""),"D",""),";",REPT(" ",30)),121,30))),0)+IFERROR(VALUE(TRIM(MID(SUBSTITUTE(SUBSTITUTE(SUBSTITUTE(UPPER($H455)," ",""),"D",""),";",REPT(" ",30)),151,30))),0)+IFERROR(VALUE(TRIM(MID(SUBSTITUTE(SUBSTITUTE(SUBSTITUTE(UPPER($H455)," ",""),"D",""),";",REPT(" ",30)),181,30))),0)+IFERROR(VALUE(TRIM(MID(SUBSTITUTE(SUBSTITUTE(SUBSTITUTE(UPPER($H455)," ",""),"D",""),";",REPT(" ",30)),211,30))),0)))))</f>
        <v/>
      </c>
      <c r="K455" s="24" t="n"/>
      <c r="L455" s="8" t="n"/>
      <c r="M455" s="14" t="n"/>
      <c r="N455" s="25">
        <f>IF($C455="","",IF($E455="Falta","-",MAX(0,MIN(10,8+IFERROR(VALUE(TRIM(MID(SUBSTITUTE(SUBSTITUTE(SUBSTITUTE(UPPER($L455)," ",""),"F",""),";",REPT(" ",30)),1,30))),0)+IFERROR(VALUE(TRIM(MID(SUBSTITUTE(SUBSTITUTE(SUBSTITUTE(UPPER($L455)," ",""),"F",""),";",REPT(" ",30)),31,30))),0)+IFERROR(VALUE(TRIM(MID(SUBSTITUTE(SUBSTITUTE(SUBSTITUTE(UPPER($L455)," ",""),"F",""),";",REPT(" ",30)),61,30))),0)+IFERROR(VALUE(TRIM(MID(SUBSTITUTE(SUBSTITUTE(SUBSTITUTE(UPPER($L455)," ",""),"F",""),";",REPT(" ",30)),91,30))),0)+IFERROR(VALUE(TRIM(MID(SUBSTITUTE(SUBSTITUTE(SUBSTITUTE(UPPER($L455)," ",""),"F",""),";",REPT(" ",30)),121,30))),0)+IFERROR(VALUE(TRIM(MID(SUBSTITUTE(SUBSTITUTE(SUBSTITUTE(UPPER($L455)," ",""),"F",""),";",REPT(" ",30)),151,30))),0)+IFERROR(VALUE(TRIM(MID(SUBSTITUTE(SUBSTITUTE(SUBSTITUTE(UPPER($L455)," ",""),"F",""),";",REPT(" ",30)),181,30))),0)+IFERROR(VALUE(TRIM(MID(SUBSTITUTE(SUBSTITUTE(SUBSTITUTE(UPPER($L455)," ",""),"F",""),";",REPT(" ",30)),211,30))),0)))))</f>
        <v/>
      </c>
      <c r="O455" s="24" t="n"/>
      <c r="P455" s="8" t="n"/>
      <c r="Q455" s="14" t="n"/>
      <c r="R455" s="25">
        <f>IF($C455="","",IF($E455="Falta","-",MAX(0,MIN(10,5+IFERROR(VALUE(TRIM(MID(SUBSTITUTE(SUBSTITUTE(SUBSTITUTE(UPPER($P455)," ",""),"C",""),";",REPT(" ",30)),1,30))),0)+IFERROR(VALUE(TRIM(MID(SUBSTITUTE(SUBSTITUTE(SUBSTITUTE(UPPER($P455)," ",""),"C",""),";",REPT(" ",30)),31,30))),0)+IFERROR(VALUE(TRIM(MID(SUBSTITUTE(SUBSTITUTE(SUBSTITUTE(UPPER($P455)," ",""),"C",""),";",REPT(" ",30)),61,30))),0)+IFERROR(VALUE(TRIM(MID(SUBSTITUTE(SUBSTITUTE(SUBSTITUTE(UPPER($P455)," ",""),"C",""),";",REPT(" ",30)),91,30))),0)+IFERROR(VALUE(TRIM(MID(SUBSTITUTE(SUBSTITUTE(SUBSTITUTE(UPPER($P455)," ",""),"C",""),";",REPT(" ",30)),121,30))),0)+IFERROR(VALUE(TRIM(MID(SUBSTITUTE(SUBSTITUTE(SUBSTITUTE(UPPER($P455)," ",""),"C",""),";",REPT(" ",30)),151,30))),0)+IFERROR(VALUE(TRIM(MID(SUBSTITUTE(SUBSTITUTE(SUBSTITUTE(UPPER($P455)," ",""),"C",""),";",REPT(" ",30)),181,30))),0)+IFERROR(VALUE(TRIM(MID(SUBSTITUTE(SUBSTITUTE(SUBSTITUTE(UPPER($P455)," ",""),"C",""),";",REPT(" ",30)),211,30))),0)))))</f>
        <v/>
      </c>
      <c r="S455" s="24" t="n"/>
      <c r="T455" s="8" t="n"/>
      <c r="U455" s="14" t="n"/>
      <c r="V455" s="25">
        <f>IF($C455="","",IF($E455="Falta","-",MAX(0,MIN(10,5+IFERROR(VALUE(TRIM(MID(SUBSTITUTE(SUBSTITUTE(SUBSTITUTE(UPPER($T455)," ",""),"P",""),";",REPT(" ",30)),1,30))),0)+IFERROR(VALUE(TRIM(MID(SUBSTITUTE(SUBSTITUTE(SUBSTITUTE(UPPER($T455)," ",""),"P",""),";",REPT(" ",30)),31,30))),0)+IFERROR(VALUE(TRIM(MID(SUBSTITUTE(SUBSTITUTE(SUBSTITUTE(UPPER($T455)," ",""),"P",""),";",REPT(" ",30)),61,30))),0)+IFERROR(VALUE(TRIM(MID(SUBSTITUTE(SUBSTITUTE(SUBSTITUTE(UPPER($T455)," ",""),"P",""),";",REPT(" ",30)),91,30))),0)+IFERROR(VALUE(TRIM(MID(SUBSTITUTE(SUBSTITUTE(SUBSTITUTE(UPPER($T455)," ",""),"P",""),";",REPT(" ",30)),121,30))),0)+IFERROR(VALUE(TRIM(MID(SUBSTITUTE(SUBSTITUTE(SUBSTITUTE(UPPER($T455)," ",""),"P",""),";",REPT(" ",30)),151,30))),0)+IFERROR(VALUE(TRIM(MID(SUBSTITUTE(SUBSTITUTE(SUBSTITUTE(UPPER($T455)," ",""),"P",""),";",REPT(" ",30)),181,30))),0)+IFERROR(VALUE(TRIM(MID(SUBSTITUTE(SUBSTITUTE(SUBSTITUTE(UPPER($T455)," ",""),"P",""),";",REPT(" ",30)),211,30))),0)))))</f>
        <v/>
      </c>
      <c r="W455" s="24" t="n"/>
      <c r="X455" s="14" t="n"/>
    </row>
    <row r="456">
      <c r="A456" s="8">
        <f>IF($C456="","",91)</f>
        <v/>
      </c>
      <c r="B456" s="8">
        <f>IF($C456="","","3ª Sessão")</f>
        <v/>
      </c>
      <c r="C456" s="8">
        <f>IF(Preenchimento!$B$100="","",Preenchimento!$B$100)</f>
        <v/>
      </c>
      <c r="D456" s="8">
        <f>IF($C456="","",IF(Preenchimento!$C$100="","-",Preenchimento!$C$100))</f>
        <v/>
      </c>
      <c r="E456" s="8" t="n"/>
      <c r="F456" s="8" t="n"/>
      <c r="G456" s="24" t="n"/>
      <c r="H456" s="8" t="n"/>
      <c r="I456" s="14" t="n"/>
      <c r="J456" s="25">
        <f>IF($C456="","",IF($E456="Falta","-",MAX(0,MIN(10,8+IFERROR(VALUE(TRIM(MID(SUBSTITUTE(SUBSTITUTE(SUBSTITUTE(UPPER($H456)," ",""),"D",""),";",REPT(" ",30)),1,30))),0)+IFERROR(VALUE(TRIM(MID(SUBSTITUTE(SUBSTITUTE(SUBSTITUTE(UPPER($H456)," ",""),"D",""),";",REPT(" ",30)),31,30))),0)+IFERROR(VALUE(TRIM(MID(SUBSTITUTE(SUBSTITUTE(SUBSTITUTE(UPPER($H456)," ",""),"D",""),";",REPT(" ",30)),61,30))),0)+IFERROR(VALUE(TRIM(MID(SUBSTITUTE(SUBSTITUTE(SUBSTITUTE(UPPER($H456)," ",""),"D",""),";",REPT(" ",30)),91,30))),0)+IFERROR(VALUE(TRIM(MID(SUBSTITUTE(SUBSTITUTE(SUBSTITUTE(UPPER($H456)," ",""),"D",""),";",REPT(" ",30)),121,30))),0)+IFERROR(VALUE(TRIM(MID(SUBSTITUTE(SUBSTITUTE(SUBSTITUTE(UPPER($H456)," ",""),"D",""),";",REPT(" ",30)),151,30))),0)+IFERROR(VALUE(TRIM(MID(SUBSTITUTE(SUBSTITUTE(SUBSTITUTE(UPPER($H456)," ",""),"D",""),";",REPT(" ",30)),181,30))),0)+IFERROR(VALUE(TRIM(MID(SUBSTITUTE(SUBSTITUTE(SUBSTITUTE(UPPER($H456)," ",""),"D",""),";",REPT(" ",30)),211,30))),0)))))</f>
        <v/>
      </c>
      <c r="K456" s="24" t="n"/>
      <c r="L456" s="8" t="n"/>
      <c r="M456" s="14" t="n"/>
      <c r="N456" s="25">
        <f>IF($C456="","",IF($E456="Falta","-",MAX(0,MIN(10,8+IFERROR(VALUE(TRIM(MID(SUBSTITUTE(SUBSTITUTE(SUBSTITUTE(UPPER($L456)," ",""),"F",""),";",REPT(" ",30)),1,30))),0)+IFERROR(VALUE(TRIM(MID(SUBSTITUTE(SUBSTITUTE(SUBSTITUTE(UPPER($L456)," ",""),"F",""),";",REPT(" ",30)),31,30))),0)+IFERROR(VALUE(TRIM(MID(SUBSTITUTE(SUBSTITUTE(SUBSTITUTE(UPPER($L456)," ",""),"F",""),";",REPT(" ",30)),61,30))),0)+IFERROR(VALUE(TRIM(MID(SUBSTITUTE(SUBSTITUTE(SUBSTITUTE(UPPER($L456)," ",""),"F",""),";",REPT(" ",30)),91,30))),0)+IFERROR(VALUE(TRIM(MID(SUBSTITUTE(SUBSTITUTE(SUBSTITUTE(UPPER($L456)," ",""),"F",""),";",REPT(" ",30)),121,30))),0)+IFERROR(VALUE(TRIM(MID(SUBSTITUTE(SUBSTITUTE(SUBSTITUTE(UPPER($L456)," ",""),"F",""),";",REPT(" ",30)),151,30))),0)+IFERROR(VALUE(TRIM(MID(SUBSTITUTE(SUBSTITUTE(SUBSTITUTE(UPPER($L456)," ",""),"F",""),";",REPT(" ",30)),181,30))),0)+IFERROR(VALUE(TRIM(MID(SUBSTITUTE(SUBSTITUTE(SUBSTITUTE(UPPER($L456)," ",""),"F",""),";",REPT(" ",30)),211,30))),0)))))</f>
        <v/>
      </c>
      <c r="O456" s="24" t="n"/>
      <c r="P456" s="8" t="n"/>
      <c r="Q456" s="14" t="n"/>
      <c r="R456" s="25">
        <f>IF($C456="","",IF($E456="Falta","-",MAX(0,MIN(10,5+IFERROR(VALUE(TRIM(MID(SUBSTITUTE(SUBSTITUTE(SUBSTITUTE(UPPER($P456)," ",""),"C",""),";",REPT(" ",30)),1,30))),0)+IFERROR(VALUE(TRIM(MID(SUBSTITUTE(SUBSTITUTE(SUBSTITUTE(UPPER($P456)," ",""),"C",""),";",REPT(" ",30)),31,30))),0)+IFERROR(VALUE(TRIM(MID(SUBSTITUTE(SUBSTITUTE(SUBSTITUTE(UPPER($P456)," ",""),"C",""),";",REPT(" ",30)),61,30))),0)+IFERROR(VALUE(TRIM(MID(SUBSTITUTE(SUBSTITUTE(SUBSTITUTE(UPPER($P456)," ",""),"C",""),";",REPT(" ",30)),91,30))),0)+IFERROR(VALUE(TRIM(MID(SUBSTITUTE(SUBSTITUTE(SUBSTITUTE(UPPER($P456)," ",""),"C",""),";",REPT(" ",30)),121,30))),0)+IFERROR(VALUE(TRIM(MID(SUBSTITUTE(SUBSTITUTE(SUBSTITUTE(UPPER($P456)," ",""),"C",""),";",REPT(" ",30)),151,30))),0)+IFERROR(VALUE(TRIM(MID(SUBSTITUTE(SUBSTITUTE(SUBSTITUTE(UPPER($P456)," ",""),"C",""),";",REPT(" ",30)),181,30))),0)+IFERROR(VALUE(TRIM(MID(SUBSTITUTE(SUBSTITUTE(SUBSTITUTE(UPPER($P456)," ",""),"C",""),";",REPT(" ",30)),211,30))),0)))))</f>
        <v/>
      </c>
      <c r="S456" s="24" t="n"/>
      <c r="T456" s="8" t="n"/>
      <c r="U456" s="14" t="n"/>
      <c r="V456" s="25">
        <f>IF($C456="","",IF($E456="Falta","-",MAX(0,MIN(10,5+IFERROR(VALUE(TRIM(MID(SUBSTITUTE(SUBSTITUTE(SUBSTITUTE(UPPER($T456)," ",""),"P",""),";",REPT(" ",30)),1,30))),0)+IFERROR(VALUE(TRIM(MID(SUBSTITUTE(SUBSTITUTE(SUBSTITUTE(UPPER($T456)," ",""),"P",""),";",REPT(" ",30)),31,30))),0)+IFERROR(VALUE(TRIM(MID(SUBSTITUTE(SUBSTITUTE(SUBSTITUTE(UPPER($T456)," ",""),"P",""),";",REPT(" ",30)),61,30))),0)+IFERROR(VALUE(TRIM(MID(SUBSTITUTE(SUBSTITUTE(SUBSTITUTE(UPPER($T456)," ",""),"P",""),";",REPT(" ",30)),91,30))),0)+IFERROR(VALUE(TRIM(MID(SUBSTITUTE(SUBSTITUTE(SUBSTITUTE(UPPER($T456)," ",""),"P",""),";",REPT(" ",30)),121,30))),0)+IFERROR(VALUE(TRIM(MID(SUBSTITUTE(SUBSTITUTE(SUBSTITUTE(UPPER($T456)," ",""),"P",""),";",REPT(" ",30)),151,30))),0)+IFERROR(VALUE(TRIM(MID(SUBSTITUTE(SUBSTITUTE(SUBSTITUTE(UPPER($T456)," ",""),"P",""),";",REPT(" ",30)),181,30))),0)+IFERROR(VALUE(TRIM(MID(SUBSTITUTE(SUBSTITUTE(SUBSTITUTE(UPPER($T456)," ",""),"P",""),";",REPT(" ",30)),211,30))),0)))))</f>
        <v/>
      </c>
      <c r="W456" s="24" t="n"/>
      <c r="X456" s="14" t="n"/>
    </row>
    <row r="457">
      <c r="A457" s="8">
        <f>IF($C457="","",91)</f>
        <v/>
      </c>
      <c r="B457" s="8">
        <f>IF($C457="","","4ª Sessão")</f>
        <v/>
      </c>
      <c r="C457" s="8">
        <f>IF(Preenchimento!$B$100="","",Preenchimento!$B$100)</f>
        <v/>
      </c>
      <c r="D457" s="8">
        <f>IF($C457="","",IF(Preenchimento!$C$100="","-",Preenchimento!$C$100))</f>
        <v/>
      </c>
      <c r="E457" s="8" t="n"/>
      <c r="F457" s="8" t="n"/>
      <c r="G457" s="24" t="n"/>
      <c r="H457" s="8" t="n"/>
      <c r="I457" s="14" t="n"/>
      <c r="J457" s="25">
        <f>IF($C457="","",IF($E457="Falta","-",MAX(0,MIN(10,8+IFERROR(VALUE(TRIM(MID(SUBSTITUTE(SUBSTITUTE(SUBSTITUTE(UPPER($H457)," ",""),"D",""),";",REPT(" ",30)),1,30))),0)+IFERROR(VALUE(TRIM(MID(SUBSTITUTE(SUBSTITUTE(SUBSTITUTE(UPPER($H457)," ",""),"D",""),";",REPT(" ",30)),31,30))),0)+IFERROR(VALUE(TRIM(MID(SUBSTITUTE(SUBSTITUTE(SUBSTITUTE(UPPER($H457)," ",""),"D",""),";",REPT(" ",30)),61,30))),0)+IFERROR(VALUE(TRIM(MID(SUBSTITUTE(SUBSTITUTE(SUBSTITUTE(UPPER($H457)," ",""),"D",""),";",REPT(" ",30)),91,30))),0)+IFERROR(VALUE(TRIM(MID(SUBSTITUTE(SUBSTITUTE(SUBSTITUTE(UPPER($H457)," ",""),"D",""),";",REPT(" ",30)),121,30))),0)+IFERROR(VALUE(TRIM(MID(SUBSTITUTE(SUBSTITUTE(SUBSTITUTE(UPPER($H457)," ",""),"D",""),";",REPT(" ",30)),151,30))),0)+IFERROR(VALUE(TRIM(MID(SUBSTITUTE(SUBSTITUTE(SUBSTITUTE(UPPER($H457)," ",""),"D",""),";",REPT(" ",30)),181,30))),0)+IFERROR(VALUE(TRIM(MID(SUBSTITUTE(SUBSTITUTE(SUBSTITUTE(UPPER($H457)," ",""),"D",""),";",REPT(" ",30)),211,30))),0)))))</f>
        <v/>
      </c>
      <c r="K457" s="24" t="n"/>
      <c r="L457" s="8" t="n"/>
      <c r="M457" s="14" t="n"/>
      <c r="N457" s="25">
        <f>IF($C457="","",IF($E457="Falta","-",MAX(0,MIN(10,8+IFERROR(VALUE(TRIM(MID(SUBSTITUTE(SUBSTITUTE(SUBSTITUTE(UPPER($L457)," ",""),"F",""),";",REPT(" ",30)),1,30))),0)+IFERROR(VALUE(TRIM(MID(SUBSTITUTE(SUBSTITUTE(SUBSTITUTE(UPPER($L457)," ",""),"F",""),";",REPT(" ",30)),31,30))),0)+IFERROR(VALUE(TRIM(MID(SUBSTITUTE(SUBSTITUTE(SUBSTITUTE(UPPER($L457)," ",""),"F",""),";",REPT(" ",30)),61,30))),0)+IFERROR(VALUE(TRIM(MID(SUBSTITUTE(SUBSTITUTE(SUBSTITUTE(UPPER($L457)," ",""),"F",""),";",REPT(" ",30)),91,30))),0)+IFERROR(VALUE(TRIM(MID(SUBSTITUTE(SUBSTITUTE(SUBSTITUTE(UPPER($L457)," ",""),"F",""),";",REPT(" ",30)),121,30))),0)+IFERROR(VALUE(TRIM(MID(SUBSTITUTE(SUBSTITUTE(SUBSTITUTE(UPPER($L457)," ",""),"F",""),";",REPT(" ",30)),151,30))),0)+IFERROR(VALUE(TRIM(MID(SUBSTITUTE(SUBSTITUTE(SUBSTITUTE(UPPER($L457)," ",""),"F",""),";",REPT(" ",30)),181,30))),0)+IFERROR(VALUE(TRIM(MID(SUBSTITUTE(SUBSTITUTE(SUBSTITUTE(UPPER($L457)," ",""),"F",""),";",REPT(" ",30)),211,30))),0)))))</f>
        <v/>
      </c>
      <c r="O457" s="24" t="n"/>
      <c r="P457" s="8" t="n"/>
      <c r="Q457" s="14" t="n"/>
      <c r="R457" s="25">
        <f>IF($C457="","",IF($E457="Falta","-",MAX(0,MIN(10,5+IFERROR(VALUE(TRIM(MID(SUBSTITUTE(SUBSTITUTE(SUBSTITUTE(UPPER($P457)," ",""),"C",""),";",REPT(" ",30)),1,30))),0)+IFERROR(VALUE(TRIM(MID(SUBSTITUTE(SUBSTITUTE(SUBSTITUTE(UPPER($P457)," ",""),"C",""),";",REPT(" ",30)),31,30))),0)+IFERROR(VALUE(TRIM(MID(SUBSTITUTE(SUBSTITUTE(SUBSTITUTE(UPPER($P457)," ",""),"C",""),";",REPT(" ",30)),61,30))),0)+IFERROR(VALUE(TRIM(MID(SUBSTITUTE(SUBSTITUTE(SUBSTITUTE(UPPER($P457)," ",""),"C",""),";",REPT(" ",30)),91,30))),0)+IFERROR(VALUE(TRIM(MID(SUBSTITUTE(SUBSTITUTE(SUBSTITUTE(UPPER($P457)," ",""),"C",""),";",REPT(" ",30)),121,30))),0)+IFERROR(VALUE(TRIM(MID(SUBSTITUTE(SUBSTITUTE(SUBSTITUTE(UPPER($P457)," ",""),"C",""),";",REPT(" ",30)),151,30))),0)+IFERROR(VALUE(TRIM(MID(SUBSTITUTE(SUBSTITUTE(SUBSTITUTE(UPPER($P457)," ",""),"C",""),";",REPT(" ",30)),181,30))),0)+IFERROR(VALUE(TRIM(MID(SUBSTITUTE(SUBSTITUTE(SUBSTITUTE(UPPER($P457)," ",""),"C",""),";",REPT(" ",30)),211,30))),0)))))</f>
        <v/>
      </c>
      <c r="S457" s="24" t="n"/>
      <c r="T457" s="8" t="n"/>
      <c r="U457" s="14" t="n"/>
      <c r="V457" s="25">
        <f>IF($C457="","",IF($E457="Falta","-",MAX(0,MIN(10,5+IFERROR(VALUE(TRIM(MID(SUBSTITUTE(SUBSTITUTE(SUBSTITUTE(UPPER($T457)," ",""),"P",""),";",REPT(" ",30)),1,30))),0)+IFERROR(VALUE(TRIM(MID(SUBSTITUTE(SUBSTITUTE(SUBSTITUTE(UPPER($T457)," ",""),"P",""),";",REPT(" ",30)),31,30))),0)+IFERROR(VALUE(TRIM(MID(SUBSTITUTE(SUBSTITUTE(SUBSTITUTE(UPPER($T457)," ",""),"P",""),";",REPT(" ",30)),61,30))),0)+IFERROR(VALUE(TRIM(MID(SUBSTITUTE(SUBSTITUTE(SUBSTITUTE(UPPER($T457)," ",""),"P",""),";",REPT(" ",30)),91,30))),0)+IFERROR(VALUE(TRIM(MID(SUBSTITUTE(SUBSTITUTE(SUBSTITUTE(UPPER($T457)," ",""),"P",""),";",REPT(" ",30)),121,30))),0)+IFERROR(VALUE(TRIM(MID(SUBSTITUTE(SUBSTITUTE(SUBSTITUTE(UPPER($T457)," ",""),"P",""),";",REPT(" ",30)),151,30))),0)+IFERROR(VALUE(TRIM(MID(SUBSTITUTE(SUBSTITUTE(SUBSTITUTE(UPPER($T457)," ",""),"P",""),";",REPT(" ",30)),181,30))),0)+IFERROR(VALUE(TRIM(MID(SUBSTITUTE(SUBSTITUTE(SUBSTITUTE(UPPER($T457)," ",""),"P",""),";",REPT(" ",30)),211,30))),0)))))</f>
        <v/>
      </c>
      <c r="W457" s="24" t="n"/>
      <c r="X457" s="14" t="n"/>
    </row>
    <row r="458">
      <c r="A458" s="8">
        <f>IF($C458="","",91)</f>
        <v/>
      </c>
      <c r="B458" s="8">
        <f>IF($C458="","","5ª Sessão")</f>
        <v/>
      </c>
      <c r="C458" s="8">
        <f>IF(Preenchimento!$B$100="","",Preenchimento!$B$100)</f>
        <v/>
      </c>
      <c r="D458" s="8">
        <f>IF($C458="","",IF(Preenchimento!$C$100="","-",Preenchimento!$C$100))</f>
        <v/>
      </c>
      <c r="E458" s="8" t="n"/>
      <c r="F458" s="8" t="n"/>
      <c r="G458" s="24" t="n"/>
      <c r="H458" s="8" t="n"/>
      <c r="I458" s="14" t="n"/>
      <c r="J458" s="25">
        <f>IF($C458="","",IF($E458="Falta","-",MAX(0,MIN(10,8+IFERROR(VALUE(TRIM(MID(SUBSTITUTE(SUBSTITUTE(SUBSTITUTE(UPPER($H458)," ",""),"D",""),";",REPT(" ",30)),1,30))),0)+IFERROR(VALUE(TRIM(MID(SUBSTITUTE(SUBSTITUTE(SUBSTITUTE(UPPER($H458)," ",""),"D",""),";",REPT(" ",30)),31,30))),0)+IFERROR(VALUE(TRIM(MID(SUBSTITUTE(SUBSTITUTE(SUBSTITUTE(UPPER($H458)," ",""),"D",""),";",REPT(" ",30)),61,30))),0)+IFERROR(VALUE(TRIM(MID(SUBSTITUTE(SUBSTITUTE(SUBSTITUTE(UPPER($H458)," ",""),"D",""),";",REPT(" ",30)),91,30))),0)+IFERROR(VALUE(TRIM(MID(SUBSTITUTE(SUBSTITUTE(SUBSTITUTE(UPPER($H458)," ",""),"D",""),";",REPT(" ",30)),121,30))),0)+IFERROR(VALUE(TRIM(MID(SUBSTITUTE(SUBSTITUTE(SUBSTITUTE(UPPER($H458)," ",""),"D",""),";",REPT(" ",30)),151,30))),0)+IFERROR(VALUE(TRIM(MID(SUBSTITUTE(SUBSTITUTE(SUBSTITUTE(UPPER($H458)," ",""),"D",""),";",REPT(" ",30)),181,30))),0)+IFERROR(VALUE(TRIM(MID(SUBSTITUTE(SUBSTITUTE(SUBSTITUTE(UPPER($H458)," ",""),"D",""),";",REPT(" ",30)),211,30))),0)))))</f>
        <v/>
      </c>
      <c r="K458" s="24" t="n"/>
      <c r="L458" s="8" t="n"/>
      <c r="M458" s="14" t="n"/>
      <c r="N458" s="25">
        <f>IF($C458="","",IF($E458="Falta","-",MAX(0,MIN(10,8+IFERROR(VALUE(TRIM(MID(SUBSTITUTE(SUBSTITUTE(SUBSTITUTE(UPPER($L458)," ",""),"F",""),";",REPT(" ",30)),1,30))),0)+IFERROR(VALUE(TRIM(MID(SUBSTITUTE(SUBSTITUTE(SUBSTITUTE(UPPER($L458)," ",""),"F",""),";",REPT(" ",30)),31,30))),0)+IFERROR(VALUE(TRIM(MID(SUBSTITUTE(SUBSTITUTE(SUBSTITUTE(UPPER($L458)," ",""),"F",""),";",REPT(" ",30)),61,30))),0)+IFERROR(VALUE(TRIM(MID(SUBSTITUTE(SUBSTITUTE(SUBSTITUTE(UPPER($L458)," ",""),"F",""),";",REPT(" ",30)),91,30))),0)+IFERROR(VALUE(TRIM(MID(SUBSTITUTE(SUBSTITUTE(SUBSTITUTE(UPPER($L458)," ",""),"F",""),";",REPT(" ",30)),121,30))),0)+IFERROR(VALUE(TRIM(MID(SUBSTITUTE(SUBSTITUTE(SUBSTITUTE(UPPER($L458)," ",""),"F",""),";",REPT(" ",30)),151,30))),0)+IFERROR(VALUE(TRIM(MID(SUBSTITUTE(SUBSTITUTE(SUBSTITUTE(UPPER($L458)," ",""),"F",""),";",REPT(" ",30)),181,30))),0)+IFERROR(VALUE(TRIM(MID(SUBSTITUTE(SUBSTITUTE(SUBSTITUTE(UPPER($L458)," ",""),"F",""),";",REPT(" ",30)),211,30))),0)))))</f>
        <v/>
      </c>
      <c r="O458" s="24" t="n"/>
      <c r="P458" s="8" t="n"/>
      <c r="Q458" s="14" t="n"/>
      <c r="R458" s="25">
        <f>IF($C458="","",IF($E458="Falta","-",MAX(0,MIN(10,5+IFERROR(VALUE(TRIM(MID(SUBSTITUTE(SUBSTITUTE(SUBSTITUTE(UPPER($P458)," ",""),"C",""),";",REPT(" ",30)),1,30))),0)+IFERROR(VALUE(TRIM(MID(SUBSTITUTE(SUBSTITUTE(SUBSTITUTE(UPPER($P458)," ",""),"C",""),";",REPT(" ",30)),31,30))),0)+IFERROR(VALUE(TRIM(MID(SUBSTITUTE(SUBSTITUTE(SUBSTITUTE(UPPER($P458)," ",""),"C",""),";",REPT(" ",30)),61,30))),0)+IFERROR(VALUE(TRIM(MID(SUBSTITUTE(SUBSTITUTE(SUBSTITUTE(UPPER($P458)," ",""),"C",""),";",REPT(" ",30)),91,30))),0)+IFERROR(VALUE(TRIM(MID(SUBSTITUTE(SUBSTITUTE(SUBSTITUTE(UPPER($P458)," ",""),"C",""),";",REPT(" ",30)),121,30))),0)+IFERROR(VALUE(TRIM(MID(SUBSTITUTE(SUBSTITUTE(SUBSTITUTE(UPPER($P458)," ",""),"C",""),";",REPT(" ",30)),151,30))),0)+IFERROR(VALUE(TRIM(MID(SUBSTITUTE(SUBSTITUTE(SUBSTITUTE(UPPER($P458)," ",""),"C",""),";",REPT(" ",30)),181,30))),0)+IFERROR(VALUE(TRIM(MID(SUBSTITUTE(SUBSTITUTE(SUBSTITUTE(UPPER($P458)," ",""),"C",""),";",REPT(" ",30)),211,30))),0)))))</f>
        <v/>
      </c>
      <c r="S458" s="24" t="n"/>
      <c r="T458" s="8" t="n"/>
      <c r="U458" s="14" t="n"/>
      <c r="V458" s="25">
        <f>IF($C458="","",IF($E458="Falta","-",MAX(0,MIN(10,5+IFERROR(VALUE(TRIM(MID(SUBSTITUTE(SUBSTITUTE(SUBSTITUTE(UPPER($T458)," ",""),"P",""),";",REPT(" ",30)),1,30))),0)+IFERROR(VALUE(TRIM(MID(SUBSTITUTE(SUBSTITUTE(SUBSTITUTE(UPPER($T458)," ",""),"P",""),";",REPT(" ",30)),31,30))),0)+IFERROR(VALUE(TRIM(MID(SUBSTITUTE(SUBSTITUTE(SUBSTITUTE(UPPER($T458)," ",""),"P",""),";",REPT(" ",30)),61,30))),0)+IFERROR(VALUE(TRIM(MID(SUBSTITUTE(SUBSTITUTE(SUBSTITUTE(UPPER($T458)," ",""),"P",""),";",REPT(" ",30)),91,30))),0)+IFERROR(VALUE(TRIM(MID(SUBSTITUTE(SUBSTITUTE(SUBSTITUTE(UPPER($T458)," ",""),"P",""),";",REPT(" ",30)),121,30))),0)+IFERROR(VALUE(TRIM(MID(SUBSTITUTE(SUBSTITUTE(SUBSTITUTE(UPPER($T458)," ",""),"P",""),";",REPT(" ",30)),151,30))),0)+IFERROR(VALUE(TRIM(MID(SUBSTITUTE(SUBSTITUTE(SUBSTITUTE(UPPER($T458)," ",""),"P",""),";",REPT(" ",30)),181,30))),0)+IFERROR(VALUE(TRIM(MID(SUBSTITUTE(SUBSTITUTE(SUBSTITUTE(UPPER($T458)," ",""),"P",""),";",REPT(" ",30)),211,30))),0)))))</f>
        <v/>
      </c>
      <c r="W458" s="24" t="n"/>
      <c r="X458" s="14" t="n"/>
    </row>
    <row r="459">
      <c r="A459" s="6">
        <f>IF($C459="","",92)</f>
        <v/>
      </c>
      <c r="B459" s="6">
        <f>IF($C459="","","1ª Sessão")</f>
        <v/>
      </c>
      <c r="C459" s="6">
        <f>IF(Preenchimento!$B$101="","",Preenchimento!$B$101)</f>
        <v/>
      </c>
      <c r="D459" s="6">
        <f>IF($C459="","",IF(Preenchimento!$C$101="","-",Preenchimento!$C$101))</f>
        <v/>
      </c>
      <c r="E459" s="6" t="n"/>
      <c r="F459" s="6" t="n"/>
      <c r="G459" s="26" t="n"/>
      <c r="H459" s="6" t="n"/>
      <c r="I459" s="13" t="n"/>
      <c r="J459" s="27">
        <f>IF($C459="","",IF($E459="Falta","-",MAX(0,MIN(10,8+IFERROR(VALUE(TRIM(MID(SUBSTITUTE(SUBSTITUTE(SUBSTITUTE(UPPER($H459)," ",""),"D",""),";",REPT(" ",30)),1,30))),0)+IFERROR(VALUE(TRIM(MID(SUBSTITUTE(SUBSTITUTE(SUBSTITUTE(UPPER($H459)," ",""),"D",""),";",REPT(" ",30)),31,30))),0)+IFERROR(VALUE(TRIM(MID(SUBSTITUTE(SUBSTITUTE(SUBSTITUTE(UPPER($H459)," ",""),"D",""),";",REPT(" ",30)),61,30))),0)+IFERROR(VALUE(TRIM(MID(SUBSTITUTE(SUBSTITUTE(SUBSTITUTE(UPPER($H459)," ",""),"D",""),";",REPT(" ",30)),91,30))),0)+IFERROR(VALUE(TRIM(MID(SUBSTITUTE(SUBSTITUTE(SUBSTITUTE(UPPER($H459)," ",""),"D",""),";",REPT(" ",30)),121,30))),0)+IFERROR(VALUE(TRIM(MID(SUBSTITUTE(SUBSTITUTE(SUBSTITUTE(UPPER($H459)," ",""),"D",""),";",REPT(" ",30)),151,30))),0)+IFERROR(VALUE(TRIM(MID(SUBSTITUTE(SUBSTITUTE(SUBSTITUTE(UPPER($H459)," ",""),"D",""),";",REPT(" ",30)),181,30))),0)+IFERROR(VALUE(TRIM(MID(SUBSTITUTE(SUBSTITUTE(SUBSTITUTE(UPPER($H459)," ",""),"D",""),";",REPT(" ",30)),211,30))),0)))))</f>
        <v/>
      </c>
      <c r="K459" s="26" t="n"/>
      <c r="L459" s="6" t="n"/>
      <c r="M459" s="13" t="n"/>
      <c r="N459" s="27">
        <f>IF($C459="","",IF($E459="Falta","-",MAX(0,MIN(10,8+IFERROR(VALUE(TRIM(MID(SUBSTITUTE(SUBSTITUTE(SUBSTITUTE(UPPER($L459)," ",""),"F",""),";",REPT(" ",30)),1,30))),0)+IFERROR(VALUE(TRIM(MID(SUBSTITUTE(SUBSTITUTE(SUBSTITUTE(UPPER($L459)," ",""),"F",""),";",REPT(" ",30)),31,30))),0)+IFERROR(VALUE(TRIM(MID(SUBSTITUTE(SUBSTITUTE(SUBSTITUTE(UPPER($L459)," ",""),"F",""),";",REPT(" ",30)),61,30))),0)+IFERROR(VALUE(TRIM(MID(SUBSTITUTE(SUBSTITUTE(SUBSTITUTE(UPPER($L459)," ",""),"F",""),";",REPT(" ",30)),91,30))),0)+IFERROR(VALUE(TRIM(MID(SUBSTITUTE(SUBSTITUTE(SUBSTITUTE(UPPER($L459)," ",""),"F",""),";",REPT(" ",30)),121,30))),0)+IFERROR(VALUE(TRIM(MID(SUBSTITUTE(SUBSTITUTE(SUBSTITUTE(UPPER($L459)," ",""),"F",""),";",REPT(" ",30)),151,30))),0)+IFERROR(VALUE(TRIM(MID(SUBSTITUTE(SUBSTITUTE(SUBSTITUTE(UPPER($L459)," ",""),"F",""),";",REPT(" ",30)),181,30))),0)+IFERROR(VALUE(TRIM(MID(SUBSTITUTE(SUBSTITUTE(SUBSTITUTE(UPPER($L459)," ",""),"F",""),";",REPT(" ",30)),211,30))),0)))))</f>
        <v/>
      </c>
      <c r="O459" s="26" t="n"/>
      <c r="P459" s="6" t="n"/>
      <c r="Q459" s="13" t="n"/>
      <c r="R459" s="27">
        <f>IF($C459="","",IF($E459="Falta","-",MAX(0,MIN(10,5+IFERROR(VALUE(TRIM(MID(SUBSTITUTE(SUBSTITUTE(SUBSTITUTE(UPPER($P459)," ",""),"C",""),";",REPT(" ",30)),1,30))),0)+IFERROR(VALUE(TRIM(MID(SUBSTITUTE(SUBSTITUTE(SUBSTITUTE(UPPER($P459)," ",""),"C",""),";",REPT(" ",30)),31,30))),0)+IFERROR(VALUE(TRIM(MID(SUBSTITUTE(SUBSTITUTE(SUBSTITUTE(UPPER($P459)," ",""),"C",""),";",REPT(" ",30)),61,30))),0)+IFERROR(VALUE(TRIM(MID(SUBSTITUTE(SUBSTITUTE(SUBSTITUTE(UPPER($P459)," ",""),"C",""),";",REPT(" ",30)),91,30))),0)+IFERROR(VALUE(TRIM(MID(SUBSTITUTE(SUBSTITUTE(SUBSTITUTE(UPPER($P459)," ",""),"C",""),";",REPT(" ",30)),121,30))),0)+IFERROR(VALUE(TRIM(MID(SUBSTITUTE(SUBSTITUTE(SUBSTITUTE(UPPER($P459)," ",""),"C",""),";",REPT(" ",30)),151,30))),0)+IFERROR(VALUE(TRIM(MID(SUBSTITUTE(SUBSTITUTE(SUBSTITUTE(UPPER($P459)," ",""),"C",""),";",REPT(" ",30)),181,30))),0)+IFERROR(VALUE(TRIM(MID(SUBSTITUTE(SUBSTITUTE(SUBSTITUTE(UPPER($P459)," ",""),"C",""),";",REPT(" ",30)),211,30))),0)))))</f>
        <v/>
      </c>
      <c r="S459" s="26" t="n"/>
      <c r="T459" s="6" t="n"/>
      <c r="U459" s="13" t="n"/>
      <c r="V459" s="27">
        <f>IF($C459="","",IF($E459="Falta","-",MAX(0,MIN(10,5+IFERROR(VALUE(TRIM(MID(SUBSTITUTE(SUBSTITUTE(SUBSTITUTE(UPPER($T459)," ",""),"P",""),";",REPT(" ",30)),1,30))),0)+IFERROR(VALUE(TRIM(MID(SUBSTITUTE(SUBSTITUTE(SUBSTITUTE(UPPER($T459)," ",""),"P",""),";",REPT(" ",30)),31,30))),0)+IFERROR(VALUE(TRIM(MID(SUBSTITUTE(SUBSTITUTE(SUBSTITUTE(UPPER($T459)," ",""),"P",""),";",REPT(" ",30)),61,30))),0)+IFERROR(VALUE(TRIM(MID(SUBSTITUTE(SUBSTITUTE(SUBSTITUTE(UPPER($T459)," ",""),"P",""),";",REPT(" ",30)),91,30))),0)+IFERROR(VALUE(TRIM(MID(SUBSTITUTE(SUBSTITUTE(SUBSTITUTE(UPPER($T459)," ",""),"P",""),";",REPT(" ",30)),121,30))),0)+IFERROR(VALUE(TRIM(MID(SUBSTITUTE(SUBSTITUTE(SUBSTITUTE(UPPER($T459)," ",""),"P",""),";",REPT(" ",30)),151,30))),0)+IFERROR(VALUE(TRIM(MID(SUBSTITUTE(SUBSTITUTE(SUBSTITUTE(UPPER($T459)," ",""),"P",""),";",REPT(" ",30)),181,30))),0)+IFERROR(VALUE(TRIM(MID(SUBSTITUTE(SUBSTITUTE(SUBSTITUTE(UPPER($T459)," ",""),"P",""),";",REPT(" ",30)),211,30))),0)))))</f>
        <v/>
      </c>
      <c r="W459" s="26" t="n"/>
      <c r="X459" s="13" t="n"/>
    </row>
    <row r="460">
      <c r="A460" s="6">
        <f>IF($C460="","",92)</f>
        <v/>
      </c>
      <c r="B460" s="6">
        <f>IF($C460="","","2ª Sessão")</f>
        <v/>
      </c>
      <c r="C460" s="6">
        <f>IF(Preenchimento!$B$101="","",Preenchimento!$B$101)</f>
        <v/>
      </c>
      <c r="D460" s="6">
        <f>IF($C460="","",IF(Preenchimento!$C$101="","-",Preenchimento!$C$101))</f>
        <v/>
      </c>
      <c r="E460" s="6" t="n"/>
      <c r="F460" s="6" t="n"/>
      <c r="G460" s="26" t="n"/>
      <c r="H460" s="6" t="n"/>
      <c r="I460" s="13" t="n"/>
      <c r="J460" s="27">
        <f>IF($C460="","",IF($E460="Falta","-",MAX(0,MIN(10,8+IFERROR(VALUE(TRIM(MID(SUBSTITUTE(SUBSTITUTE(SUBSTITUTE(UPPER($H460)," ",""),"D",""),";",REPT(" ",30)),1,30))),0)+IFERROR(VALUE(TRIM(MID(SUBSTITUTE(SUBSTITUTE(SUBSTITUTE(UPPER($H460)," ",""),"D",""),";",REPT(" ",30)),31,30))),0)+IFERROR(VALUE(TRIM(MID(SUBSTITUTE(SUBSTITUTE(SUBSTITUTE(UPPER($H460)," ",""),"D",""),";",REPT(" ",30)),61,30))),0)+IFERROR(VALUE(TRIM(MID(SUBSTITUTE(SUBSTITUTE(SUBSTITUTE(UPPER($H460)," ",""),"D",""),";",REPT(" ",30)),91,30))),0)+IFERROR(VALUE(TRIM(MID(SUBSTITUTE(SUBSTITUTE(SUBSTITUTE(UPPER($H460)," ",""),"D",""),";",REPT(" ",30)),121,30))),0)+IFERROR(VALUE(TRIM(MID(SUBSTITUTE(SUBSTITUTE(SUBSTITUTE(UPPER($H460)," ",""),"D",""),";",REPT(" ",30)),151,30))),0)+IFERROR(VALUE(TRIM(MID(SUBSTITUTE(SUBSTITUTE(SUBSTITUTE(UPPER($H460)," ",""),"D",""),";",REPT(" ",30)),181,30))),0)+IFERROR(VALUE(TRIM(MID(SUBSTITUTE(SUBSTITUTE(SUBSTITUTE(UPPER($H460)," ",""),"D",""),";",REPT(" ",30)),211,30))),0)))))</f>
        <v/>
      </c>
      <c r="K460" s="26" t="n"/>
      <c r="L460" s="6" t="n"/>
      <c r="M460" s="13" t="n"/>
      <c r="N460" s="27">
        <f>IF($C460="","",IF($E460="Falta","-",MAX(0,MIN(10,8+IFERROR(VALUE(TRIM(MID(SUBSTITUTE(SUBSTITUTE(SUBSTITUTE(UPPER($L460)," ",""),"F",""),";",REPT(" ",30)),1,30))),0)+IFERROR(VALUE(TRIM(MID(SUBSTITUTE(SUBSTITUTE(SUBSTITUTE(UPPER($L460)," ",""),"F",""),";",REPT(" ",30)),31,30))),0)+IFERROR(VALUE(TRIM(MID(SUBSTITUTE(SUBSTITUTE(SUBSTITUTE(UPPER($L460)," ",""),"F",""),";",REPT(" ",30)),61,30))),0)+IFERROR(VALUE(TRIM(MID(SUBSTITUTE(SUBSTITUTE(SUBSTITUTE(UPPER($L460)," ",""),"F",""),";",REPT(" ",30)),91,30))),0)+IFERROR(VALUE(TRIM(MID(SUBSTITUTE(SUBSTITUTE(SUBSTITUTE(UPPER($L460)," ",""),"F",""),";",REPT(" ",30)),121,30))),0)+IFERROR(VALUE(TRIM(MID(SUBSTITUTE(SUBSTITUTE(SUBSTITUTE(UPPER($L460)," ",""),"F",""),";",REPT(" ",30)),151,30))),0)+IFERROR(VALUE(TRIM(MID(SUBSTITUTE(SUBSTITUTE(SUBSTITUTE(UPPER($L460)," ",""),"F",""),";",REPT(" ",30)),181,30))),0)+IFERROR(VALUE(TRIM(MID(SUBSTITUTE(SUBSTITUTE(SUBSTITUTE(UPPER($L460)," ",""),"F",""),";",REPT(" ",30)),211,30))),0)))))</f>
        <v/>
      </c>
      <c r="O460" s="26" t="n"/>
      <c r="P460" s="6" t="n"/>
      <c r="Q460" s="13" t="n"/>
      <c r="R460" s="27">
        <f>IF($C460="","",IF($E460="Falta","-",MAX(0,MIN(10,5+IFERROR(VALUE(TRIM(MID(SUBSTITUTE(SUBSTITUTE(SUBSTITUTE(UPPER($P460)," ",""),"C",""),";",REPT(" ",30)),1,30))),0)+IFERROR(VALUE(TRIM(MID(SUBSTITUTE(SUBSTITUTE(SUBSTITUTE(UPPER($P460)," ",""),"C",""),";",REPT(" ",30)),31,30))),0)+IFERROR(VALUE(TRIM(MID(SUBSTITUTE(SUBSTITUTE(SUBSTITUTE(UPPER($P460)," ",""),"C",""),";",REPT(" ",30)),61,30))),0)+IFERROR(VALUE(TRIM(MID(SUBSTITUTE(SUBSTITUTE(SUBSTITUTE(UPPER($P460)," ",""),"C",""),";",REPT(" ",30)),91,30))),0)+IFERROR(VALUE(TRIM(MID(SUBSTITUTE(SUBSTITUTE(SUBSTITUTE(UPPER($P460)," ",""),"C",""),";",REPT(" ",30)),121,30))),0)+IFERROR(VALUE(TRIM(MID(SUBSTITUTE(SUBSTITUTE(SUBSTITUTE(UPPER($P460)," ",""),"C",""),";",REPT(" ",30)),151,30))),0)+IFERROR(VALUE(TRIM(MID(SUBSTITUTE(SUBSTITUTE(SUBSTITUTE(UPPER($P460)," ",""),"C",""),";",REPT(" ",30)),181,30))),0)+IFERROR(VALUE(TRIM(MID(SUBSTITUTE(SUBSTITUTE(SUBSTITUTE(UPPER($P460)," ",""),"C",""),";",REPT(" ",30)),211,30))),0)))))</f>
        <v/>
      </c>
      <c r="S460" s="26" t="n"/>
      <c r="T460" s="6" t="n"/>
      <c r="U460" s="13" t="n"/>
      <c r="V460" s="27">
        <f>IF($C460="","",IF($E460="Falta","-",MAX(0,MIN(10,5+IFERROR(VALUE(TRIM(MID(SUBSTITUTE(SUBSTITUTE(SUBSTITUTE(UPPER($T460)," ",""),"P",""),";",REPT(" ",30)),1,30))),0)+IFERROR(VALUE(TRIM(MID(SUBSTITUTE(SUBSTITUTE(SUBSTITUTE(UPPER($T460)," ",""),"P",""),";",REPT(" ",30)),31,30))),0)+IFERROR(VALUE(TRIM(MID(SUBSTITUTE(SUBSTITUTE(SUBSTITUTE(UPPER($T460)," ",""),"P",""),";",REPT(" ",30)),61,30))),0)+IFERROR(VALUE(TRIM(MID(SUBSTITUTE(SUBSTITUTE(SUBSTITUTE(UPPER($T460)," ",""),"P",""),";",REPT(" ",30)),91,30))),0)+IFERROR(VALUE(TRIM(MID(SUBSTITUTE(SUBSTITUTE(SUBSTITUTE(UPPER($T460)," ",""),"P",""),";",REPT(" ",30)),121,30))),0)+IFERROR(VALUE(TRIM(MID(SUBSTITUTE(SUBSTITUTE(SUBSTITUTE(UPPER($T460)," ",""),"P",""),";",REPT(" ",30)),151,30))),0)+IFERROR(VALUE(TRIM(MID(SUBSTITUTE(SUBSTITUTE(SUBSTITUTE(UPPER($T460)," ",""),"P",""),";",REPT(" ",30)),181,30))),0)+IFERROR(VALUE(TRIM(MID(SUBSTITUTE(SUBSTITUTE(SUBSTITUTE(UPPER($T460)," ",""),"P",""),";",REPT(" ",30)),211,30))),0)))))</f>
        <v/>
      </c>
      <c r="W460" s="26" t="n"/>
      <c r="X460" s="13" t="n"/>
    </row>
    <row r="461">
      <c r="A461" s="6">
        <f>IF($C461="","",92)</f>
        <v/>
      </c>
      <c r="B461" s="6">
        <f>IF($C461="","","3ª Sessão")</f>
        <v/>
      </c>
      <c r="C461" s="6">
        <f>IF(Preenchimento!$B$101="","",Preenchimento!$B$101)</f>
        <v/>
      </c>
      <c r="D461" s="6">
        <f>IF($C461="","",IF(Preenchimento!$C$101="","-",Preenchimento!$C$101))</f>
        <v/>
      </c>
      <c r="E461" s="6" t="n"/>
      <c r="F461" s="6" t="n"/>
      <c r="G461" s="26" t="n"/>
      <c r="H461" s="6" t="n"/>
      <c r="I461" s="13" t="n"/>
      <c r="J461" s="27">
        <f>IF($C461="","",IF($E461="Falta","-",MAX(0,MIN(10,8+IFERROR(VALUE(TRIM(MID(SUBSTITUTE(SUBSTITUTE(SUBSTITUTE(UPPER($H461)," ",""),"D",""),";",REPT(" ",30)),1,30))),0)+IFERROR(VALUE(TRIM(MID(SUBSTITUTE(SUBSTITUTE(SUBSTITUTE(UPPER($H461)," ",""),"D",""),";",REPT(" ",30)),31,30))),0)+IFERROR(VALUE(TRIM(MID(SUBSTITUTE(SUBSTITUTE(SUBSTITUTE(UPPER($H461)," ",""),"D",""),";",REPT(" ",30)),61,30))),0)+IFERROR(VALUE(TRIM(MID(SUBSTITUTE(SUBSTITUTE(SUBSTITUTE(UPPER($H461)," ",""),"D",""),";",REPT(" ",30)),91,30))),0)+IFERROR(VALUE(TRIM(MID(SUBSTITUTE(SUBSTITUTE(SUBSTITUTE(UPPER($H461)," ",""),"D",""),";",REPT(" ",30)),121,30))),0)+IFERROR(VALUE(TRIM(MID(SUBSTITUTE(SUBSTITUTE(SUBSTITUTE(UPPER($H461)," ",""),"D",""),";",REPT(" ",30)),151,30))),0)+IFERROR(VALUE(TRIM(MID(SUBSTITUTE(SUBSTITUTE(SUBSTITUTE(UPPER($H461)," ",""),"D",""),";",REPT(" ",30)),181,30))),0)+IFERROR(VALUE(TRIM(MID(SUBSTITUTE(SUBSTITUTE(SUBSTITUTE(UPPER($H461)," ",""),"D",""),";",REPT(" ",30)),211,30))),0)))))</f>
        <v/>
      </c>
      <c r="K461" s="26" t="n"/>
      <c r="L461" s="6" t="n"/>
      <c r="M461" s="13" t="n"/>
      <c r="N461" s="27">
        <f>IF($C461="","",IF($E461="Falta","-",MAX(0,MIN(10,8+IFERROR(VALUE(TRIM(MID(SUBSTITUTE(SUBSTITUTE(SUBSTITUTE(UPPER($L461)," ",""),"F",""),";",REPT(" ",30)),1,30))),0)+IFERROR(VALUE(TRIM(MID(SUBSTITUTE(SUBSTITUTE(SUBSTITUTE(UPPER($L461)," ",""),"F",""),";",REPT(" ",30)),31,30))),0)+IFERROR(VALUE(TRIM(MID(SUBSTITUTE(SUBSTITUTE(SUBSTITUTE(UPPER($L461)," ",""),"F",""),";",REPT(" ",30)),61,30))),0)+IFERROR(VALUE(TRIM(MID(SUBSTITUTE(SUBSTITUTE(SUBSTITUTE(UPPER($L461)," ",""),"F",""),";",REPT(" ",30)),91,30))),0)+IFERROR(VALUE(TRIM(MID(SUBSTITUTE(SUBSTITUTE(SUBSTITUTE(UPPER($L461)," ",""),"F",""),";",REPT(" ",30)),121,30))),0)+IFERROR(VALUE(TRIM(MID(SUBSTITUTE(SUBSTITUTE(SUBSTITUTE(UPPER($L461)," ",""),"F",""),";",REPT(" ",30)),151,30))),0)+IFERROR(VALUE(TRIM(MID(SUBSTITUTE(SUBSTITUTE(SUBSTITUTE(UPPER($L461)," ",""),"F",""),";",REPT(" ",30)),181,30))),0)+IFERROR(VALUE(TRIM(MID(SUBSTITUTE(SUBSTITUTE(SUBSTITUTE(UPPER($L461)," ",""),"F",""),";",REPT(" ",30)),211,30))),0)))))</f>
        <v/>
      </c>
      <c r="O461" s="26" t="n"/>
      <c r="P461" s="6" t="n"/>
      <c r="Q461" s="13" t="n"/>
      <c r="R461" s="27">
        <f>IF($C461="","",IF($E461="Falta","-",MAX(0,MIN(10,5+IFERROR(VALUE(TRIM(MID(SUBSTITUTE(SUBSTITUTE(SUBSTITUTE(UPPER($P461)," ",""),"C",""),";",REPT(" ",30)),1,30))),0)+IFERROR(VALUE(TRIM(MID(SUBSTITUTE(SUBSTITUTE(SUBSTITUTE(UPPER($P461)," ",""),"C",""),";",REPT(" ",30)),31,30))),0)+IFERROR(VALUE(TRIM(MID(SUBSTITUTE(SUBSTITUTE(SUBSTITUTE(UPPER($P461)," ",""),"C",""),";",REPT(" ",30)),61,30))),0)+IFERROR(VALUE(TRIM(MID(SUBSTITUTE(SUBSTITUTE(SUBSTITUTE(UPPER($P461)," ",""),"C",""),";",REPT(" ",30)),91,30))),0)+IFERROR(VALUE(TRIM(MID(SUBSTITUTE(SUBSTITUTE(SUBSTITUTE(UPPER($P461)," ",""),"C",""),";",REPT(" ",30)),121,30))),0)+IFERROR(VALUE(TRIM(MID(SUBSTITUTE(SUBSTITUTE(SUBSTITUTE(UPPER($P461)," ",""),"C",""),";",REPT(" ",30)),151,30))),0)+IFERROR(VALUE(TRIM(MID(SUBSTITUTE(SUBSTITUTE(SUBSTITUTE(UPPER($P461)," ",""),"C",""),";",REPT(" ",30)),181,30))),0)+IFERROR(VALUE(TRIM(MID(SUBSTITUTE(SUBSTITUTE(SUBSTITUTE(UPPER($P461)," ",""),"C",""),";",REPT(" ",30)),211,30))),0)))))</f>
        <v/>
      </c>
      <c r="S461" s="26" t="n"/>
      <c r="T461" s="6" t="n"/>
      <c r="U461" s="13" t="n"/>
      <c r="V461" s="27">
        <f>IF($C461="","",IF($E461="Falta","-",MAX(0,MIN(10,5+IFERROR(VALUE(TRIM(MID(SUBSTITUTE(SUBSTITUTE(SUBSTITUTE(UPPER($T461)," ",""),"P",""),";",REPT(" ",30)),1,30))),0)+IFERROR(VALUE(TRIM(MID(SUBSTITUTE(SUBSTITUTE(SUBSTITUTE(UPPER($T461)," ",""),"P",""),";",REPT(" ",30)),31,30))),0)+IFERROR(VALUE(TRIM(MID(SUBSTITUTE(SUBSTITUTE(SUBSTITUTE(UPPER($T461)," ",""),"P",""),";",REPT(" ",30)),61,30))),0)+IFERROR(VALUE(TRIM(MID(SUBSTITUTE(SUBSTITUTE(SUBSTITUTE(UPPER($T461)," ",""),"P",""),";",REPT(" ",30)),91,30))),0)+IFERROR(VALUE(TRIM(MID(SUBSTITUTE(SUBSTITUTE(SUBSTITUTE(UPPER($T461)," ",""),"P",""),";",REPT(" ",30)),121,30))),0)+IFERROR(VALUE(TRIM(MID(SUBSTITUTE(SUBSTITUTE(SUBSTITUTE(UPPER($T461)," ",""),"P",""),";",REPT(" ",30)),151,30))),0)+IFERROR(VALUE(TRIM(MID(SUBSTITUTE(SUBSTITUTE(SUBSTITUTE(UPPER($T461)," ",""),"P",""),";",REPT(" ",30)),181,30))),0)+IFERROR(VALUE(TRIM(MID(SUBSTITUTE(SUBSTITUTE(SUBSTITUTE(UPPER($T461)," ",""),"P",""),";",REPT(" ",30)),211,30))),0)))))</f>
        <v/>
      </c>
      <c r="W461" s="26" t="n"/>
      <c r="X461" s="13" t="n"/>
    </row>
    <row r="462">
      <c r="A462" s="6">
        <f>IF($C462="","",92)</f>
        <v/>
      </c>
      <c r="B462" s="6">
        <f>IF($C462="","","4ª Sessão")</f>
        <v/>
      </c>
      <c r="C462" s="6">
        <f>IF(Preenchimento!$B$101="","",Preenchimento!$B$101)</f>
        <v/>
      </c>
      <c r="D462" s="6">
        <f>IF($C462="","",IF(Preenchimento!$C$101="","-",Preenchimento!$C$101))</f>
        <v/>
      </c>
      <c r="E462" s="6" t="n"/>
      <c r="F462" s="6" t="n"/>
      <c r="G462" s="26" t="n"/>
      <c r="H462" s="6" t="n"/>
      <c r="I462" s="13" t="n"/>
      <c r="J462" s="27">
        <f>IF($C462="","",IF($E462="Falta","-",MAX(0,MIN(10,8+IFERROR(VALUE(TRIM(MID(SUBSTITUTE(SUBSTITUTE(SUBSTITUTE(UPPER($H462)," ",""),"D",""),";",REPT(" ",30)),1,30))),0)+IFERROR(VALUE(TRIM(MID(SUBSTITUTE(SUBSTITUTE(SUBSTITUTE(UPPER($H462)," ",""),"D",""),";",REPT(" ",30)),31,30))),0)+IFERROR(VALUE(TRIM(MID(SUBSTITUTE(SUBSTITUTE(SUBSTITUTE(UPPER($H462)," ",""),"D",""),";",REPT(" ",30)),61,30))),0)+IFERROR(VALUE(TRIM(MID(SUBSTITUTE(SUBSTITUTE(SUBSTITUTE(UPPER($H462)," ",""),"D",""),";",REPT(" ",30)),91,30))),0)+IFERROR(VALUE(TRIM(MID(SUBSTITUTE(SUBSTITUTE(SUBSTITUTE(UPPER($H462)," ",""),"D",""),";",REPT(" ",30)),121,30))),0)+IFERROR(VALUE(TRIM(MID(SUBSTITUTE(SUBSTITUTE(SUBSTITUTE(UPPER($H462)," ",""),"D",""),";",REPT(" ",30)),151,30))),0)+IFERROR(VALUE(TRIM(MID(SUBSTITUTE(SUBSTITUTE(SUBSTITUTE(UPPER($H462)," ",""),"D",""),";",REPT(" ",30)),181,30))),0)+IFERROR(VALUE(TRIM(MID(SUBSTITUTE(SUBSTITUTE(SUBSTITUTE(UPPER($H462)," ",""),"D",""),";",REPT(" ",30)),211,30))),0)))))</f>
        <v/>
      </c>
      <c r="K462" s="26" t="n"/>
      <c r="L462" s="6" t="n"/>
      <c r="M462" s="13" t="n"/>
      <c r="N462" s="27">
        <f>IF($C462="","",IF($E462="Falta","-",MAX(0,MIN(10,8+IFERROR(VALUE(TRIM(MID(SUBSTITUTE(SUBSTITUTE(SUBSTITUTE(UPPER($L462)," ",""),"F",""),";",REPT(" ",30)),1,30))),0)+IFERROR(VALUE(TRIM(MID(SUBSTITUTE(SUBSTITUTE(SUBSTITUTE(UPPER($L462)," ",""),"F",""),";",REPT(" ",30)),31,30))),0)+IFERROR(VALUE(TRIM(MID(SUBSTITUTE(SUBSTITUTE(SUBSTITUTE(UPPER($L462)," ",""),"F",""),";",REPT(" ",30)),61,30))),0)+IFERROR(VALUE(TRIM(MID(SUBSTITUTE(SUBSTITUTE(SUBSTITUTE(UPPER($L462)," ",""),"F",""),";",REPT(" ",30)),91,30))),0)+IFERROR(VALUE(TRIM(MID(SUBSTITUTE(SUBSTITUTE(SUBSTITUTE(UPPER($L462)," ",""),"F",""),";",REPT(" ",30)),121,30))),0)+IFERROR(VALUE(TRIM(MID(SUBSTITUTE(SUBSTITUTE(SUBSTITUTE(UPPER($L462)," ",""),"F",""),";",REPT(" ",30)),151,30))),0)+IFERROR(VALUE(TRIM(MID(SUBSTITUTE(SUBSTITUTE(SUBSTITUTE(UPPER($L462)," ",""),"F",""),";",REPT(" ",30)),181,30))),0)+IFERROR(VALUE(TRIM(MID(SUBSTITUTE(SUBSTITUTE(SUBSTITUTE(UPPER($L462)," ",""),"F",""),";",REPT(" ",30)),211,30))),0)))))</f>
        <v/>
      </c>
      <c r="O462" s="26" t="n"/>
      <c r="P462" s="6" t="n"/>
      <c r="Q462" s="13" t="n"/>
      <c r="R462" s="27">
        <f>IF($C462="","",IF($E462="Falta","-",MAX(0,MIN(10,5+IFERROR(VALUE(TRIM(MID(SUBSTITUTE(SUBSTITUTE(SUBSTITUTE(UPPER($P462)," ",""),"C",""),";",REPT(" ",30)),1,30))),0)+IFERROR(VALUE(TRIM(MID(SUBSTITUTE(SUBSTITUTE(SUBSTITUTE(UPPER($P462)," ",""),"C",""),";",REPT(" ",30)),31,30))),0)+IFERROR(VALUE(TRIM(MID(SUBSTITUTE(SUBSTITUTE(SUBSTITUTE(UPPER($P462)," ",""),"C",""),";",REPT(" ",30)),61,30))),0)+IFERROR(VALUE(TRIM(MID(SUBSTITUTE(SUBSTITUTE(SUBSTITUTE(UPPER($P462)," ",""),"C",""),";",REPT(" ",30)),91,30))),0)+IFERROR(VALUE(TRIM(MID(SUBSTITUTE(SUBSTITUTE(SUBSTITUTE(UPPER($P462)," ",""),"C",""),";",REPT(" ",30)),121,30))),0)+IFERROR(VALUE(TRIM(MID(SUBSTITUTE(SUBSTITUTE(SUBSTITUTE(UPPER($P462)," ",""),"C",""),";",REPT(" ",30)),151,30))),0)+IFERROR(VALUE(TRIM(MID(SUBSTITUTE(SUBSTITUTE(SUBSTITUTE(UPPER($P462)," ",""),"C",""),";",REPT(" ",30)),181,30))),0)+IFERROR(VALUE(TRIM(MID(SUBSTITUTE(SUBSTITUTE(SUBSTITUTE(UPPER($P462)," ",""),"C",""),";",REPT(" ",30)),211,30))),0)))))</f>
        <v/>
      </c>
      <c r="S462" s="26" t="n"/>
      <c r="T462" s="6" t="n"/>
      <c r="U462" s="13" t="n"/>
      <c r="V462" s="27">
        <f>IF($C462="","",IF($E462="Falta","-",MAX(0,MIN(10,5+IFERROR(VALUE(TRIM(MID(SUBSTITUTE(SUBSTITUTE(SUBSTITUTE(UPPER($T462)," ",""),"P",""),";",REPT(" ",30)),1,30))),0)+IFERROR(VALUE(TRIM(MID(SUBSTITUTE(SUBSTITUTE(SUBSTITUTE(UPPER($T462)," ",""),"P",""),";",REPT(" ",30)),31,30))),0)+IFERROR(VALUE(TRIM(MID(SUBSTITUTE(SUBSTITUTE(SUBSTITUTE(UPPER($T462)," ",""),"P",""),";",REPT(" ",30)),61,30))),0)+IFERROR(VALUE(TRIM(MID(SUBSTITUTE(SUBSTITUTE(SUBSTITUTE(UPPER($T462)," ",""),"P",""),";",REPT(" ",30)),91,30))),0)+IFERROR(VALUE(TRIM(MID(SUBSTITUTE(SUBSTITUTE(SUBSTITUTE(UPPER($T462)," ",""),"P",""),";",REPT(" ",30)),121,30))),0)+IFERROR(VALUE(TRIM(MID(SUBSTITUTE(SUBSTITUTE(SUBSTITUTE(UPPER($T462)," ",""),"P",""),";",REPT(" ",30)),151,30))),0)+IFERROR(VALUE(TRIM(MID(SUBSTITUTE(SUBSTITUTE(SUBSTITUTE(UPPER($T462)," ",""),"P",""),";",REPT(" ",30)),181,30))),0)+IFERROR(VALUE(TRIM(MID(SUBSTITUTE(SUBSTITUTE(SUBSTITUTE(UPPER($T462)," ",""),"P",""),";",REPT(" ",30)),211,30))),0)))))</f>
        <v/>
      </c>
      <c r="W462" s="26" t="n"/>
      <c r="X462" s="13" t="n"/>
    </row>
    <row r="463">
      <c r="A463" s="6">
        <f>IF($C463="","",92)</f>
        <v/>
      </c>
      <c r="B463" s="6">
        <f>IF($C463="","","5ª Sessão")</f>
        <v/>
      </c>
      <c r="C463" s="6">
        <f>IF(Preenchimento!$B$101="","",Preenchimento!$B$101)</f>
        <v/>
      </c>
      <c r="D463" s="6">
        <f>IF($C463="","",IF(Preenchimento!$C$101="","-",Preenchimento!$C$101))</f>
        <v/>
      </c>
      <c r="E463" s="6" t="n"/>
      <c r="F463" s="6" t="n"/>
      <c r="G463" s="26" t="n"/>
      <c r="H463" s="6" t="n"/>
      <c r="I463" s="13" t="n"/>
      <c r="J463" s="27">
        <f>IF($C463="","",IF($E463="Falta","-",MAX(0,MIN(10,8+IFERROR(VALUE(TRIM(MID(SUBSTITUTE(SUBSTITUTE(SUBSTITUTE(UPPER($H463)," ",""),"D",""),";",REPT(" ",30)),1,30))),0)+IFERROR(VALUE(TRIM(MID(SUBSTITUTE(SUBSTITUTE(SUBSTITUTE(UPPER($H463)," ",""),"D",""),";",REPT(" ",30)),31,30))),0)+IFERROR(VALUE(TRIM(MID(SUBSTITUTE(SUBSTITUTE(SUBSTITUTE(UPPER($H463)," ",""),"D",""),";",REPT(" ",30)),61,30))),0)+IFERROR(VALUE(TRIM(MID(SUBSTITUTE(SUBSTITUTE(SUBSTITUTE(UPPER($H463)," ",""),"D",""),";",REPT(" ",30)),91,30))),0)+IFERROR(VALUE(TRIM(MID(SUBSTITUTE(SUBSTITUTE(SUBSTITUTE(UPPER($H463)," ",""),"D",""),";",REPT(" ",30)),121,30))),0)+IFERROR(VALUE(TRIM(MID(SUBSTITUTE(SUBSTITUTE(SUBSTITUTE(UPPER($H463)," ",""),"D",""),";",REPT(" ",30)),151,30))),0)+IFERROR(VALUE(TRIM(MID(SUBSTITUTE(SUBSTITUTE(SUBSTITUTE(UPPER($H463)," ",""),"D",""),";",REPT(" ",30)),181,30))),0)+IFERROR(VALUE(TRIM(MID(SUBSTITUTE(SUBSTITUTE(SUBSTITUTE(UPPER($H463)," ",""),"D",""),";",REPT(" ",30)),211,30))),0)))))</f>
        <v/>
      </c>
      <c r="K463" s="26" t="n"/>
      <c r="L463" s="6" t="n"/>
      <c r="M463" s="13" t="n"/>
      <c r="N463" s="27">
        <f>IF($C463="","",IF($E463="Falta","-",MAX(0,MIN(10,8+IFERROR(VALUE(TRIM(MID(SUBSTITUTE(SUBSTITUTE(SUBSTITUTE(UPPER($L463)," ",""),"F",""),";",REPT(" ",30)),1,30))),0)+IFERROR(VALUE(TRIM(MID(SUBSTITUTE(SUBSTITUTE(SUBSTITUTE(UPPER($L463)," ",""),"F",""),";",REPT(" ",30)),31,30))),0)+IFERROR(VALUE(TRIM(MID(SUBSTITUTE(SUBSTITUTE(SUBSTITUTE(UPPER($L463)," ",""),"F",""),";",REPT(" ",30)),61,30))),0)+IFERROR(VALUE(TRIM(MID(SUBSTITUTE(SUBSTITUTE(SUBSTITUTE(UPPER($L463)," ",""),"F",""),";",REPT(" ",30)),91,30))),0)+IFERROR(VALUE(TRIM(MID(SUBSTITUTE(SUBSTITUTE(SUBSTITUTE(UPPER($L463)," ",""),"F",""),";",REPT(" ",30)),121,30))),0)+IFERROR(VALUE(TRIM(MID(SUBSTITUTE(SUBSTITUTE(SUBSTITUTE(UPPER($L463)," ",""),"F",""),";",REPT(" ",30)),151,30))),0)+IFERROR(VALUE(TRIM(MID(SUBSTITUTE(SUBSTITUTE(SUBSTITUTE(UPPER($L463)," ",""),"F",""),";",REPT(" ",30)),181,30))),0)+IFERROR(VALUE(TRIM(MID(SUBSTITUTE(SUBSTITUTE(SUBSTITUTE(UPPER($L463)," ",""),"F",""),";",REPT(" ",30)),211,30))),0)))))</f>
        <v/>
      </c>
      <c r="O463" s="26" t="n"/>
      <c r="P463" s="6" t="n"/>
      <c r="Q463" s="13" t="n"/>
      <c r="R463" s="27">
        <f>IF($C463="","",IF($E463="Falta","-",MAX(0,MIN(10,5+IFERROR(VALUE(TRIM(MID(SUBSTITUTE(SUBSTITUTE(SUBSTITUTE(UPPER($P463)," ",""),"C",""),";",REPT(" ",30)),1,30))),0)+IFERROR(VALUE(TRIM(MID(SUBSTITUTE(SUBSTITUTE(SUBSTITUTE(UPPER($P463)," ",""),"C",""),";",REPT(" ",30)),31,30))),0)+IFERROR(VALUE(TRIM(MID(SUBSTITUTE(SUBSTITUTE(SUBSTITUTE(UPPER($P463)," ",""),"C",""),";",REPT(" ",30)),61,30))),0)+IFERROR(VALUE(TRIM(MID(SUBSTITUTE(SUBSTITUTE(SUBSTITUTE(UPPER($P463)," ",""),"C",""),";",REPT(" ",30)),91,30))),0)+IFERROR(VALUE(TRIM(MID(SUBSTITUTE(SUBSTITUTE(SUBSTITUTE(UPPER($P463)," ",""),"C",""),";",REPT(" ",30)),121,30))),0)+IFERROR(VALUE(TRIM(MID(SUBSTITUTE(SUBSTITUTE(SUBSTITUTE(UPPER($P463)," ",""),"C",""),";",REPT(" ",30)),151,30))),0)+IFERROR(VALUE(TRIM(MID(SUBSTITUTE(SUBSTITUTE(SUBSTITUTE(UPPER($P463)," ",""),"C",""),";",REPT(" ",30)),181,30))),0)+IFERROR(VALUE(TRIM(MID(SUBSTITUTE(SUBSTITUTE(SUBSTITUTE(UPPER($P463)," ",""),"C",""),";",REPT(" ",30)),211,30))),0)))))</f>
        <v/>
      </c>
      <c r="S463" s="26" t="n"/>
      <c r="T463" s="6" t="n"/>
      <c r="U463" s="13" t="n"/>
      <c r="V463" s="27">
        <f>IF($C463="","",IF($E463="Falta","-",MAX(0,MIN(10,5+IFERROR(VALUE(TRIM(MID(SUBSTITUTE(SUBSTITUTE(SUBSTITUTE(UPPER($T463)," ",""),"P",""),";",REPT(" ",30)),1,30))),0)+IFERROR(VALUE(TRIM(MID(SUBSTITUTE(SUBSTITUTE(SUBSTITUTE(UPPER($T463)," ",""),"P",""),";",REPT(" ",30)),31,30))),0)+IFERROR(VALUE(TRIM(MID(SUBSTITUTE(SUBSTITUTE(SUBSTITUTE(UPPER($T463)," ",""),"P",""),";",REPT(" ",30)),61,30))),0)+IFERROR(VALUE(TRIM(MID(SUBSTITUTE(SUBSTITUTE(SUBSTITUTE(UPPER($T463)," ",""),"P",""),";",REPT(" ",30)),91,30))),0)+IFERROR(VALUE(TRIM(MID(SUBSTITUTE(SUBSTITUTE(SUBSTITUTE(UPPER($T463)," ",""),"P",""),";",REPT(" ",30)),121,30))),0)+IFERROR(VALUE(TRIM(MID(SUBSTITUTE(SUBSTITUTE(SUBSTITUTE(UPPER($T463)," ",""),"P",""),";",REPT(" ",30)),151,30))),0)+IFERROR(VALUE(TRIM(MID(SUBSTITUTE(SUBSTITUTE(SUBSTITUTE(UPPER($T463)," ",""),"P",""),";",REPT(" ",30)),181,30))),0)+IFERROR(VALUE(TRIM(MID(SUBSTITUTE(SUBSTITUTE(SUBSTITUTE(UPPER($T463)," ",""),"P",""),";",REPT(" ",30)),211,30))),0)))))</f>
        <v/>
      </c>
      <c r="W463" s="26" t="n"/>
      <c r="X463" s="13" t="n"/>
    </row>
    <row r="464">
      <c r="A464" s="8">
        <f>IF($C464="","",93)</f>
        <v/>
      </c>
      <c r="B464" s="8">
        <f>IF($C464="","","1ª Sessão")</f>
        <v/>
      </c>
      <c r="C464" s="8">
        <f>IF(Preenchimento!$B$102="","",Preenchimento!$B$102)</f>
        <v/>
      </c>
      <c r="D464" s="8">
        <f>IF($C464="","",IF(Preenchimento!$C$102="","-",Preenchimento!$C$102))</f>
        <v/>
      </c>
      <c r="E464" s="8" t="n"/>
      <c r="F464" s="8" t="n"/>
      <c r="G464" s="24" t="n"/>
      <c r="H464" s="8" t="n"/>
      <c r="I464" s="14" t="n"/>
      <c r="J464" s="25">
        <f>IF($C464="","",IF($E464="Falta","-",MAX(0,MIN(10,8+IFERROR(VALUE(TRIM(MID(SUBSTITUTE(SUBSTITUTE(SUBSTITUTE(UPPER($H464)," ",""),"D",""),";",REPT(" ",30)),1,30))),0)+IFERROR(VALUE(TRIM(MID(SUBSTITUTE(SUBSTITUTE(SUBSTITUTE(UPPER($H464)," ",""),"D",""),";",REPT(" ",30)),31,30))),0)+IFERROR(VALUE(TRIM(MID(SUBSTITUTE(SUBSTITUTE(SUBSTITUTE(UPPER($H464)," ",""),"D",""),";",REPT(" ",30)),61,30))),0)+IFERROR(VALUE(TRIM(MID(SUBSTITUTE(SUBSTITUTE(SUBSTITUTE(UPPER($H464)," ",""),"D",""),";",REPT(" ",30)),91,30))),0)+IFERROR(VALUE(TRIM(MID(SUBSTITUTE(SUBSTITUTE(SUBSTITUTE(UPPER($H464)," ",""),"D",""),";",REPT(" ",30)),121,30))),0)+IFERROR(VALUE(TRIM(MID(SUBSTITUTE(SUBSTITUTE(SUBSTITUTE(UPPER($H464)," ",""),"D",""),";",REPT(" ",30)),151,30))),0)+IFERROR(VALUE(TRIM(MID(SUBSTITUTE(SUBSTITUTE(SUBSTITUTE(UPPER($H464)," ",""),"D",""),";",REPT(" ",30)),181,30))),0)+IFERROR(VALUE(TRIM(MID(SUBSTITUTE(SUBSTITUTE(SUBSTITUTE(UPPER($H464)," ",""),"D",""),";",REPT(" ",30)),211,30))),0)))))</f>
        <v/>
      </c>
      <c r="K464" s="24" t="n"/>
      <c r="L464" s="8" t="n"/>
      <c r="M464" s="14" t="n"/>
      <c r="N464" s="25">
        <f>IF($C464="","",IF($E464="Falta","-",MAX(0,MIN(10,8+IFERROR(VALUE(TRIM(MID(SUBSTITUTE(SUBSTITUTE(SUBSTITUTE(UPPER($L464)," ",""),"F",""),";",REPT(" ",30)),1,30))),0)+IFERROR(VALUE(TRIM(MID(SUBSTITUTE(SUBSTITUTE(SUBSTITUTE(UPPER($L464)," ",""),"F",""),";",REPT(" ",30)),31,30))),0)+IFERROR(VALUE(TRIM(MID(SUBSTITUTE(SUBSTITUTE(SUBSTITUTE(UPPER($L464)," ",""),"F",""),";",REPT(" ",30)),61,30))),0)+IFERROR(VALUE(TRIM(MID(SUBSTITUTE(SUBSTITUTE(SUBSTITUTE(UPPER($L464)," ",""),"F",""),";",REPT(" ",30)),91,30))),0)+IFERROR(VALUE(TRIM(MID(SUBSTITUTE(SUBSTITUTE(SUBSTITUTE(UPPER($L464)," ",""),"F",""),";",REPT(" ",30)),121,30))),0)+IFERROR(VALUE(TRIM(MID(SUBSTITUTE(SUBSTITUTE(SUBSTITUTE(UPPER($L464)," ",""),"F",""),";",REPT(" ",30)),151,30))),0)+IFERROR(VALUE(TRIM(MID(SUBSTITUTE(SUBSTITUTE(SUBSTITUTE(UPPER($L464)," ",""),"F",""),";",REPT(" ",30)),181,30))),0)+IFERROR(VALUE(TRIM(MID(SUBSTITUTE(SUBSTITUTE(SUBSTITUTE(UPPER($L464)," ",""),"F",""),";",REPT(" ",30)),211,30))),0)))))</f>
        <v/>
      </c>
      <c r="O464" s="24" t="n"/>
      <c r="P464" s="8" t="n"/>
      <c r="Q464" s="14" t="n"/>
      <c r="R464" s="25">
        <f>IF($C464="","",IF($E464="Falta","-",MAX(0,MIN(10,5+IFERROR(VALUE(TRIM(MID(SUBSTITUTE(SUBSTITUTE(SUBSTITUTE(UPPER($P464)," ",""),"C",""),";",REPT(" ",30)),1,30))),0)+IFERROR(VALUE(TRIM(MID(SUBSTITUTE(SUBSTITUTE(SUBSTITUTE(UPPER($P464)," ",""),"C",""),";",REPT(" ",30)),31,30))),0)+IFERROR(VALUE(TRIM(MID(SUBSTITUTE(SUBSTITUTE(SUBSTITUTE(UPPER($P464)," ",""),"C",""),";",REPT(" ",30)),61,30))),0)+IFERROR(VALUE(TRIM(MID(SUBSTITUTE(SUBSTITUTE(SUBSTITUTE(UPPER($P464)," ",""),"C",""),";",REPT(" ",30)),91,30))),0)+IFERROR(VALUE(TRIM(MID(SUBSTITUTE(SUBSTITUTE(SUBSTITUTE(UPPER($P464)," ",""),"C",""),";",REPT(" ",30)),121,30))),0)+IFERROR(VALUE(TRIM(MID(SUBSTITUTE(SUBSTITUTE(SUBSTITUTE(UPPER($P464)," ",""),"C",""),";",REPT(" ",30)),151,30))),0)+IFERROR(VALUE(TRIM(MID(SUBSTITUTE(SUBSTITUTE(SUBSTITUTE(UPPER($P464)," ",""),"C",""),";",REPT(" ",30)),181,30))),0)+IFERROR(VALUE(TRIM(MID(SUBSTITUTE(SUBSTITUTE(SUBSTITUTE(UPPER($P464)," ",""),"C",""),";",REPT(" ",30)),211,30))),0)))))</f>
        <v/>
      </c>
      <c r="S464" s="24" t="n"/>
      <c r="T464" s="8" t="n"/>
      <c r="U464" s="14" t="n"/>
      <c r="V464" s="25">
        <f>IF($C464="","",IF($E464="Falta","-",MAX(0,MIN(10,5+IFERROR(VALUE(TRIM(MID(SUBSTITUTE(SUBSTITUTE(SUBSTITUTE(UPPER($T464)," ",""),"P",""),";",REPT(" ",30)),1,30))),0)+IFERROR(VALUE(TRIM(MID(SUBSTITUTE(SUBSTITUTE(SUBSTITUTE(UPPER($T464)," ",""),"P",""),";",REPT(" ",30)),31,30))),0)+IFERROR(VALUE(TRIM(MID(SUBSTITUTE(SUBSTITUTE(SUBSTITUTE(UPPER($T464)," ",""),"P",""),";",REPT(" ",30)),61,30))),0)+IFERROR(VALUE(TRIM(MID(SUBSTITUTE(SUBSTITUTE(SUBSTITUTE(UPPER($T464)," ",""),"P",""),";",REPT(" ",30)),91,30))),0)+IFERROR(VALUE(TRIM(MID(SUBSTITUTE(SUBSTITUTE(SUBSTITUTE(UPPER($T464)," ",""),"P",""),";",REPT(" ",30)),121,30))),0)+IFERROR(VALUE(TRIM(MID(SUBSTITUTE(SUBSTITUTE(SUBSTITUTE(UPPER($T464)," ",""),"P",""),";",REPT(" ",30)),151,30))),0)+IFERROR(VALUE(TRIM(MID(SUBSTITUTE(SUBSTITUTE(SUBSTITUTE(UPPER($T464)," ",""),"P",""),";",REPT(" ",30)),181,30))),0)+IFERROR(VALUE(TRIM(MID(SUBSTITUTE(SUBSTITUTE(SUBSTITUTE(UPPER($T464)," ",""),"P",""),";",REPT(" ",30)),211,30))),0)))))</f>
        <v/>
      </c>
      <c r="W464" s="24" t="n"/>
      <c r="X464" s="14" t="n"/>
    </row>
    <row r="465">
      <c r="A465" s="8">
        <f>IF($C465="","",93)</f>
        <v/>
      </c>
      <c r="B465" s="8">
        <f>IF($C465="","","2ª Sessão")</f>
        <v/>
      </c>
      <c r="C465" s="8">
        <f>IF(Preenchimento!$B$102="","",Preenchimento!$B$102)</f>
        <v/>
      </c>
      <c r="D465" s="8">
        <f>IF($C465="","",IF(Preenchimento!$C$102="","-",Preenchimento!$C$102))</f>
        <v/>
      </c>
      <c r="E465" s="8" t="n"/>
      <c r="F465" s="8" t="n"/>
      <c r="G465" s="24" t="n"/>
      <c r="H465" s="8" t="n"/>
      <c r="I465" s="14" t="n"/>
      <c r="J465" s="25">
        <f>IF($C465="","",IF($E465="Falta","-",MAX(0,MIN(10,8+IFERROR(VALUE(TRIM(MID(SUBSTITUTE(SUBSTITUTE(SUBSTITUTE(UPPER($H465)," ",""),"D",""),";",REPT(" ",30)),1,30))),0)+IFERROR(VALUE(TRIM(MID(SUBSTITUTE(SUBSTITUTE(SUBSTITUTE(UPPER($H465)," ",""),"D",""),";",REPT(" ",30)),31,30))),0)+IFERROR(VALUE(TRIM(MID(SUBSTITUTE(SUBSTITUTE(SUBSTITUTE(UPPER($H465)," ",""),"D",""),";",REPT(" ",30)),61,30))),0)+IFERROR(VALUE(TRIM(MID(SUBSTITUTE(SUBSTITUTE(SUBSTITUTE(UPPER($H465)," ",""),"D",""),";",REPT(" ",30)),91,30))),0)+IFERROR(VALUE(TRIM(MID(SUBSTITUTE(SUBSTITUTE(SUBSTITUTE(UPPER($H465)," ",""),"D",""),";",REPT(" ",30)),121,30))),0)+IFERROR(VALUE(TRIM(MID(SUBSTITUTE(SUBSTITUTE(SUBSTITUTE(UPPER($H465)," ",""),"D",""),";",REPT(" ",30)),151,30))),0)+IFERROR(VALUE(TRIM(MID(SUBSTITUTE(SUBSTITUTE(SUBSTITUTE(UPPER($H465)," ",""),"D",""),";",REPT(" ",30)),181,30))),0)+IFERROR(VALUE(TRIM(MID(SUBSTITUTE(SUBSTITUTE(SUBSTITUTE(UPPER($H465)," ",""),"D",""),";",REPT(" ",30)),211,30))),0)))))</f>
        <v/>
      </c>
      <c r="K465" s="24" t="n"/>
      <c r="L465" s="8" t="n"/>
      <c r="M465" s="14" t="n"/>
      <c r="N465" s="25">
        <f>IF($C465="","",IF($E465="Falta","-",MAX(0,MIN(10,8+IFERROR(VALUE(TRIM(MID(SUBSTITUTE(SUBSTITUTE(SUBSTITUTE(UPPER($L465)," ",""),"F",""),";",REPT(" ",30)),1,30))),0)+IFERROR(VALUE(TRIM(MID(SUBSTITUTE(SUBSTITUTE(SUBSTITUTE(UPPER($L465)," ",""),"F",""),";",REPT(" ",30)),31,30))),0)+IFERROR(VALUE(TRIM(MID(SUBSTITUTE(SUBSTITUTE(SUBSTITUTE(UPPER($L465)," ",""),"F",""),";",REPT(" ",30)),61,30))),0)+IFERROR(VALUE(TRIM(MID(SUBSTITUTE(SUBSTITUTE(SUBSTITUTE(UPPER($L465)," ",""),"F",""),";",REPT(" ",30)),91,30))),0)+IFERROR(VALUE(TRIM(MID(SUBSTITUTE(SUBSTITUTE(SUBSTITUTE(UPPER($L465)," ",""),"F",""),";",REPT(" ",30)),121,30))),0)+IFERROR(VALUE(TRIM(MID(SUBSTITUTE(SUBSTITUTE(SUBSTITUTE(UPPER($L465)," ",""),"F",""),";",REPT(" ",30)),151,30))),0)+IFERROR(VALUE(TRIM(MID(SUBSTITUTE(SUBSTITUTE(SUBSTITUTE(UPPER($L465)," ",""),"F",""),";",REPT(" ",30)),181,30))),0)+IFERROR(VALUE(TRIM(MID(SUBSTITUTE(SUBSTITUTE(SUBSTITUTE(UPPER($L465)," ",""),"F",""),";",REPT(" ",30)),211,30))),0)))))</f>
        <v/>
      </c>
      <c r="O465" s="24" t="n"/>
      <c r="P465" s="8" t="n"/>
      <c r="Q465" s="14" t="n"/>
      <c r="R465" s="25">
        <f>IF($C465="","",IF($E465="Falta","-",MAX(0,MIN(10,5+IFERROR(VALUE(TRIM(MID(SUBSTITUTE(SUBSTITUTE(SUBSTITUTE(UPPER($P465)," ",""),"C",""),";",REPT(" ",30)),1,30))),0)+IFERROR(VALUE(TRIM(MID(SUBSTITUTE(SUBSTITUTE(SUBSTITUTE(UPPER($P465)," ",""),"C",""),";",REPT(" ",30)),31,30))),0)+IFERROR(VALUE(TRIM(MID(SUBSTITUTE(SUBSTITUTE(SUBSTITUTE(UPPER($P465)," ",""),"C",""),";",REPT(" ",30)),61,30))),0)+IFERROR(VALUE(TRIM(MID(SUBSTITUTE(SUBSTITUTE(SUBSTITUTE(UPPER($P465)," ",""),"C",""),";",REPT(" ",30)),91,30))),0)+IFERROR(VALUE(TRIM(MID(SUBSTITUTE(SUBSTITUTE(SUBSTITUTE(UPPER($P465)," ",""),"C",""),";",REPT(" ",30)),121,30))),0)+IFERROR(VALUE(TRIM(MID(SUBSTITUTE(SUBSTITUTE(SUBSTITUTE(UPPER($P465)," ",""),"C",""),";",REPT(" ",30)),151,30))),0)+IFERROR(VALUE(TRIM(MID(SUBSTITUTE(SUBSTITUTE(SUBSTITUTE(UPPER($P465)," ",""),"C",""),";",REPT(" ",30)),181,30))),0)+IFERROR(VALUE(TRIM(MID(SUBSTITUTE(SUBSTITUTE(SUBSTITUTE(UPPER($P465)," ",""),"C",""),";",REPT(" ",30)),211,30))),0)))))</f>
        <v/>
      </c>
      <c r="S465" s="24" t="n"/>
      <c r="T465" s="8" t="n"/>
      <c r="U465" s="14" t="n"/>
      <c r="V465" s="25">
        <f>IF($C465="","",IF($E465="Falta","-",MAX(0,MIN(10,5+IFERROR(VALUE(TRIM(MID(SUBSTITUTE(SUBSTITUTE(SUBSTITUTE(UPPER($T465)," ",""),"P",""),";",REPT(" ",30)),1,30))),0)+IFERROR(VALUE(TRIM(MID(SUBSTITUTE(SUBSTITUTE(SUBSTITUTE(UPPER($T465)," ",""),"P",""),";",REPT(" ",30)),31,30))),0)+IFERROR(VALUE(TRIM(MID(SUBSTITUTE(SUBSTITUTE(SUBSTITUTE(UPPER($T465)," ",""),"P",""),";",REPT(" ",30)),61,30))),0)+IFERROR(VALUE(TRIM(MID(SUBSTITUTE(SUBSTITUTE(SUBSTITUTE(UPPER($T465)," ",""),"P",""),";",REPT(" ",30)),91,30))),0)+IFERROR(VALUE(TRIM(MID(SUBSTITUTE(SUBSTITUTE(SUBSTITUTE(UPPER($T465)," ",""),"P",""),";",REPT(" ",30)),121,30))),0)+IFERROR(VALUE(TRIM(MID(SUBSTITUTE(SUBSTITUTE(SUBSTITUTE(UPPER($T465)," ",""),"P",""),";",REPT(" ",30)),151,30))),0)+IFERROR(VALUE(TRIM(MID(SUBSTITUTE(SUBSTITUTE(SUBSTITUTE(UPPER($T465)," ",""),"P",""),";",REPT(" ",30)),181,30))),0)+IFERROR(VALUE(TRIM(MID(SUBSTITUTE(SUBSTITUTE(SUBSTITUTE(UPPER($T465)," ",""),"P",""),";",REPT(" ",30)),211,30))),0)))))</f>
        <v/>
      </c>
      <c r="W465" s="24" t="n"/>
      <c r="X465" s="14" t="n"/>
    </row>
    <row r="466">
      <c r="A466" s="8">
        <f>IF($C466="","",93)</f>
        <v/>
      </c>
      <c r="B466" s="8">
        <f>IF($C466="","","3ª Sessão")</f>
        <v/>
      </c>
      <c r="C466" s="8">
        <f>IF(Preenchimento!$B$102="","",Preenchimento!$B$102)</f>
        <v/>
      </c>
      <c r="D466" s="8">
        <f>IF($C466="","",IF(Preenchimento!$C$102="","-",Preenchimento!$C$102))</f>
        <v/>
      </c>
      <c r="E466" s="8" t="n"/>
      <c r="F466" s="8" t="n"/>
      <c r="G466" s="24" t="n"/>
      <c r="H466" s="8" t="n"/>
      <c r="I466" s="14" t="n"/>
      <c r="J466" s="25">
        <f>IF($C466="","",IF($E466="Falta","-",MAX(0,MIN(10,8+IFERROR(VALUE(TRIM(MID(SUBSTITUTE(SUBSTITUTE(SUBSTITUTE(UPPER($H466)," ",""),"D",""),";",REPT(" ",30)),1,30))),0)+IFERROR(VALUE(TRIM(MID(SUBSTITUTE(SUBSTITUTE(SUBSTITUTE(UPPER($H466)," ",""),"D",""),";",REPT(" ",30)),31,30))),0)+IFERROR(VALUE(TRIM(MID(SUBSTITUTE(SUBSTITUTE(SUBSTITUTE(UPPER($H466)," ",""),"D",""),";",REPT(" ",30)),61,30))),0)+IFERROR(VALUE(TRIM(MID(SUBSTITUTE(SUBSTITUTE(SUBSTITUTE(UPPER($H466)," ",""),"D",""),";",REPT(" ",30)),91,30))),0)+IFERROR(VALUE(TRIM(MID(SUBSTITUTE(SUBSTITUTE(SUBSTITUTE(UPPER($H466)," ",""),"D",""),";",REPT(" ",30)),121,30))),0)+IFERROR(VALUE(TRIM(MID(SUBSTITUTE(SUBSTITUTE(SUBSTITUTE(UPPER($H466)," ",""),"D",""),";",REPT(" ",30)),151,30))),0)+IFERROR(VALUE(TRIM(MID(SUBSTITUTE(SUBSTITUTE(SUBSTITUTE(UPPER($H466)," ",""),"D",""),";",REPT(" ",30)),181,30))),0)+IFERROR(VALUE(TRIM(MID(SUBSTITUTE(SUBSTITUTE(SUBSTITUTE(UPPER($H466)," ",""),"D",""),";",REPT(" ",30)),211,30))),0)))))</f>
        <v/>
      </c>
      <c r="K466" s="24" t="n"/>
      <c r="L466" s="8" t="n"/>
      <c r="M466" s="14" t="n"/>
      <c r="N466" s="25">
        <f>IF($C466="","",IF($E466="Falta","-",MAX(0,MIN(10,8+IFERROR(VALUE(TRIM(MID(SUBSTITUTE(SUBSTITUTE(SUBSTITUTE(UPPER($L466)," ",""),"F",""),";",REPT(" ",30)),1,30))),0)+IFERROR(VALUE(TRIM(MID(SUBSTITUTE(SUBSTITUTE(SUBSTITUTE(UPPER($L466)," ",""),"F",""),";",REPT(" ",30)),31,30))),0)+IFERROR(VALUE(TRIM(MID(SUBSTITUTE(SUBSTITUTE(SUBSTITUTE(UPPER($L466)," ",""),"F",""),";",REPT(" ",30)),61,30))),0)+IFERROR(VALUE(TRIM(MID(SUBSTITUTE(SUBSTITUTE(SUBSTITUTE(UPPER($L466)," ",""),"F",""),";",REPT(" ",30)),91,30))),0)+IFERROR(VALUE(TRIM(MID(SUBSTITUTE(SUBSTITUTE(SUBSTITUTE(UPPER($L466)," ",""),"F",""),";",REPT(" ",30)),121,30))),0)+IFERROR(VALUE(TRIM(MID(SUBSTITUTE(SUBSTITUTE(SUBSTITUTE(UPPER($L466)," ",""),"F",""),";",REPT(" ",30)),151,30))),0)+IFERROR(VALUE(TRIM(MID(SUBSTITUTE(SUBSTITUTE(SUBSTITUTE(UPPER($L466)," ",""),"F",""),";",REPT(" ",30)),181,30))),0)+IFERROR(VALUE(TRIM(MID(SUBSTITUTE(SUBSTITUTE(SUBSTITUTE(UPPER($L466)," ",""),"F",""),";",REPT(" ",30)),211,30))),0)))))</f>
        <v/>
      </c>
      <c r="O466" s="24" t="n"/>
      <c r="P466" s="8" t="n"/>
      <c r="Q466" s="14" t="n"/>
      <c r="R466" s="25">
        <f>IF($C466="","",IF($E466="Falta","-",MAX(0,MIN(10,5+IFERROR(VALUE(TRIM(MID(SUBSTITUTE(SUBSTITUTE(SUBSTITUTE(UPPER($P466)," ",""),"C",""),";",REPT(" ",30)),1,30))),0)+IFERROR(VALUE(TRIM(MID(SUBSTITUTE(SUBSTITUTE(SUBSTITUTE(UPPER($P466)," ",""),"C",""),";",REPT(" ",30)),31,30))),0)+IFERROR(VALUE(TRIM(MID(SUBSTITUTE(SUBSTITUTE(SUBSTITUTE(UPPER($P466)," ",""),"C",""),";",REPT(" ",30)),61,30))),0)+IFERROR(VALUE(TRIM(MID(SUBSTITUTE(SUBSTITUTE(SUBSTITUTE(UPPER($P466)," ",""),"C",""),";",REPT(" ",30)),91,30))),0)+IFERROR(VALUE(TRIM(MID(SUBSTITUTE(SUBSTITUTE(SUBSTITUTE(UPPER($P466)," ",""),"C",""),";",REPT(" ",30)),121,30))),0)+IFERROR(VALUE(TRIM(MID(SUBSTITUTE(SUBSTITUTE(SUBSTITUTE(UPPER($P466)," ",""),"C",""),";",REPT(" ",30)),151,30))),0)+IFERROR(VALUE(TRIM(MID(SUBSTITUTE(SUBSTITUTE(SUBSTITUTE(UPPER($P466)," ",""),"C",""),";",REPT(" ",30)),181,30))),0)+IFERROR(VALUE(TRIM(MID(SUBSTITUTE(SUBSTITUTE(SUBSTITUTE(UPPER($P466)," ",""),"C",""),";",REPT(" ",30)),211,30))),0)))))</f>
        <v/>
      </c>
      <c r="S466" s="24" t="n"/>
      <c r="T466" s="8" t="n"/>
      <c r="U466" s="14" t="n"/>
      <c r="V466" s="25">
        <f>IF($C466="","",IF($E466="Falta","-",MAX(0,MIN(10,5+IFERROR(VALUE(TRIM(MID(SUBSTITUTE(SUBSTITUTE(SUBSTITUTE(UPPER($T466)," ",""),"P",""),";",REPT(" ",30)),1,30))),0)+IFERROR(VALUE(TRIM(MID(SUBSTITUTE(SUBSTITUTE(SUBSTITUTE(UPPER($T466)," ",""),"P",""),";",REPT(" ",30)),31,30))),0)+IFERROR(VALUE(TRIM(MID(SUBSTITUTE(SUBSTITUTE(SUBSTITUTE(UPPER($T466)," ",""),"P",""),";",REPT(" ",30)),61,30))),0)+IFERROR(VALUE(TRIM(MID(SUBSTITUTE(SUBSTITUTE(SUBSTITUTE(UPPER($T466)," ",""),"P",""),";",REPT(" ",30)),91,30))),0)+IFERROR(VALUE(TRIM(MID(SUBSTITUTE(SUBSTITUTE(SUBSTITUTE(UPPER($T466)," ",""),"P",""),";",REPT(" ",30)),121,30))),0)+IFERROR(VALUE(TRIM(MID(SUBSTITUTE(SUBSTITUTE(SUBSTITUTE(UPPER($T466)," ",""),"P",""),";",REPT(" ",30)),151,30))),0)+IFERROR(VALUE(TRIM(MID(SUBSTITUTE(SUBSTITUTE(SUBSTITUTE(UPPER($T466)," ",""),"P",""),";",REPT(" ",30)),181,30))),0)+IFERROR(VALUE(TRIM(MID(SUBSTITUTE(SUBSTITUTE(SUBSTITUTE(UPPER($T466)," ",""),"P",""),";",REPT(" ",30)),211,30))),0)))))</f>
        <v/>
      </c>
      <c r="W466" s="24" t="n"/>
      <c r="X466" s="14" t="n"/>
    </row>
    <row r="467">
      <c r="A467" s="8">
        <f>IF($C467="","",93)</f>
        <v/>
      </c>
      <c r="B467" s="8">
        <f>IF($C467="","","4ª Sessão")</f>
        <v/>
      </c>
      <c r="C467" s="8">
        <f>IF(Preenchimento!$B$102="","",Preenchimento!$B$102)</f>
        <v/>
      </c>
      <c r="D467" s="8">
        <f>IF($C467="","",IF(Preenchimento!$C$102="","-",Preenchimento!$C$102))</f>
        <v/>
      </c>
      <c r="E467" s="8" t="n"/>
      <c r="F467" s="8" t="n"/>
      <c r="G467" s="24" t="n"/>
      <c r="H467" s="8" t="n"/>
      <c r="I467" s="14" t="n"/>
      <c r="J467" s="25">
        <f>IF($C467="","",IF($E467="Falta","-",MAX(0,MIN(10,8+IFERROR(VALUE(TRIM(MID(SUBSTITUTE(SUBSTITUTE(SUBSTITUTE(UPPER($H467)," ",""),"D",""),";",REPT(" ",30)),1,30))),0)+IFERROR(VALUE(TRIM(MID(SUBSTITUTE(SUBSTITUTE(SUBSTITUTE(UPPER($H467)," ",""),"D",""),";",REPT(" ",30)),31,30))),0)+IFERROR(VALUE(TRIM(MID(SUBSTITUTE(SUBSTITUTE(SUBSTITUTE(UPPER($H467)," ",""),"D",""),";",REPT(" ",30)),61,30))),0)+IFERROR(VALUE(TRIM(MID(SUBSTITUTE(SUBSTITUTE(SUBSTITUTE(UPPER($H467)," ",""),"D",""),";",REPT(" ",30)),91,30))),0)+IFERROR(VALUE(TRIM(MID(SUBSTITUTE(SUBSTITUTE(SUBSTITUTE(UPPER($H467)," ",""),"D",""),";",REPT(" ",30)),121,30))),0)+IFERROR(VALUE(TRIM(MID(SUBSTITUTE(SUBSTITUTE(SUBSTITUTE(UPPER($H467)," ",""),"D",""),";",REPT(" ",30)),151,30))),0)+IFERROR(VALUE(TRIM(MID(SUBSTITUTE(SUBSTITUTE(SUBSTITUTE(UPPER($H467)," ",""),"D",""),";",REPT(" ",30)),181,30))),0)+IFERROR(VALUE(TRIM(MID(SUBSTITUTE(SUBSTITUTE(SUBSTITUTE(UPPER($H467)," ",""),"D",""),";",REPT(" ",30)),211,30))),0)))))</f>
        <v/>
      </c>
      <c r="K467" s="24" t="n"/>
      <c r="L467" s="8" t="n"/>
      <c r="M467" s="14" t="n"/>
      <c r="N467" s="25">
        <f>IF($C467="","",IF($E467="Falta","-",MAX(0,MIN(10,8+IFERROR(VALUE(TRIM(MID(SUBSTITUTE(SUBSTITUTE(SUBSTITUTE(UPPER($L467)," ",""),"F",""),";",REPT(" ",30)),1,30))),0)+IFERROR(VALUE(TRIM(MID(SUBSTITUTE(SUBSTITUTE(SUBSTITUTE(UPPER($L467)," ",""),"F",""),";",REPT(" ",30)),31,30))),0)+IFERROR(VALUE(TRIM(MID(SUBSTITUTE(SUBSTITUTE(SUBSTITUTE(UPPER($L467)," ",""),"F",""),";",REPT(" ",30)),61,30))),0)+IFERROR(VALUE(TRIM(MID(SUBSTITUTE(SUBSTITUTE(SUBSTITUTE(UPPER($L467)," ",""),"F",""),";",REPT(" ",30)),91,30))),0)+IFERROR(VALUE(TRIM(MID(SUBSTITUTE(SUBSTITUTE(SUBSTITUTE(UPPER($L467)," ",""),"F",""),";",REPT(" ",30)),121,30))),0)+IFERROR(VALUE(TRIM(MID(SUBSTITUTE(SUBSTITUTE(SUBSTITUTE(UPPER($L467)," ",""),"F",""),";",REPT(" ",30)),151,30))),0)+IFERROR(VALUE(TRIM(MID(SUBSTITUTE(SUBSTITUTE(SUBSTITUTE(UPPER($L467)," ",""),"F",""),";",REPT(" ",30)),181,30))),0)+IFERROR(VALUE(TRIM(MID(SUBSTITUTE(SUBSTITUTE(SUBSTITUTE(UPPER($L467)," ",""),"F",""),";",REPT(" ",30)),211,30))),0)))))</f>
        <v/>
      </c>
      <c r="O467" s="24" t="n"/>
      <c r="P467" s="8" t="n"/>
      <c r="Q467" s="14" t="n"/>
      <c r="R467" s="25">
        <f>IF($C467="","",IF($E467="Falta","-",MAX(0,MIN(10,5+IFERROR(VALUE(TRIM(MID(SUBSTITUTE(SUBSTITUTE(SUBSTITUTE(UPPER($P467)," ",""),"C",""),";",REPT(" ",30)),1,30))),0)+IFERROR(VALUE(TRIM(MID(SUBSTITUTE(SUBSTITUTE(SUBSTITUTE(UPPER($P467)," ",""),"C",""),";",REPT(" ",30)),31,30))),0)+IFERROR(VALUE(TRIM(MID(SUBSTITUTE(SUBSTITUTE(SUBSTITUTE(UPPER($P467)," ",""),"C",""),";",REPT(" ",30)),61,30))),0)+IFERROR(VALUE(TRIM(MID(SUBSTITUTE(SUBSTITUTE(SUBSTITUTE(UPPER($P467)," ",""),"C",""),";",REPT(" ",30)),91,30))),0)+IFERROR(VALUE(TRIM(MID(SUBSTITUTE(SUBSTITUTE(SUBSTITUTE(UPPER($P467)," ",""),"C",""),";",REPT(" ",30)),121,30))),0)+IFERROR(VALUE(TRIM(MID(SUBSTITUTE(SUBSTITUTE(SUBSTITUTE(UPPER($P467)," ",""),"C",""),";",REPT(" ",30)),151,30))),0)+IFERROR(VALUE(TRIM(MID(SUBSTITUTE(SUBSTITUTE(SUBSTITUTE(UPPER($P467)," ",""),"C",""),";",REPT(" ",30)),181,30))),0)+IFERROR(VALUE(TRIM(MID(SUBSTITUTE(SUBSTITUTE(SUBSTITUTE(UPPER($P467)," ",""),"C",""),";",REPT(" ",30)),211,30))),0)))))</f>
        <v/>
      </c>
      <c r="S467" s="24" t="n"/>
      <c r="T467" s="8" t="n"/>
      <c r="U467" s="14" t="n"/>
      <c r="V467" s="25">
        <f>IF($C467="","",IF($E467="Falta","-",MAX(0,MIN(10,5+IFERROR(VALUE(TRIM(MID(SUBSTITUTE(SUBSTITUTE(SUBSTITUTE(UPPER($T467)," ",""),"P",""),";",REPT(" ",30)),1,30))),0)+IFERROR(VALUE(TRIM(MID(SUBSTITUTE(SUBSTITUTE(SUBSTITUTE(UPPER($T467)," ",""),"P",""),";",REPT(" ",30)),31,30))),0)+IFERROR(VALUE(TRIM(MID(SUBSTITUTE(SUBSTITUTE(SUBSTITUTE(UPPER($T467)," ",""),"P",""),";",REPT(" ",30)),61,30))),0)+IFERROR(VALUE(TRIM(MID(SUBSTITUTE(SUBSTITUTE(SUBSTITUTE(UPPER($T467)," ",""),"P",""),";",REPT(" ",30)),91,30))),0)+IFERROR(VALUE(TRIM(MID(SUBSTITUTE(SUBSTITUTE(SUBSTITUTE(UPPER($T467)," ",""),"P",""),";",REPT(" ",30)),121,30))),0)+IFERROR(VALUE(TRIM(MID(SUBSTITUTE(SUBSTITUTE(SUBSTITUTE(UPPER($T467)," ",""),"P",""),";",REPT(" ",30)),151,30))),0)+IFERROR(VALUE(TRIM(MID(SUBSTITUTE(SUBSTITUTE(SUBSTITUTE(UPPER($T467)," ",""),"P",""),";",REPT(" ",30)),181,30))),0)+IFERROR(VALUE(TRIM(MID(SUBSTITUTE(SUBSTITUTE(SUBSTITUTE(UPPER($T467)," ",""),"P",""),";",REPT(" ",30)),211,30))),0)))))</f>
        <v/>
      </c>
      <c r="W467" s="24" t="n"/>
      <c r="X467" s="14" t="n"/>
    </row>
    <row r="468">
      <c r="A468" s="8">
        <f>IF($C468="","",93)</f>
        <v/>
      </c>
      <c r="B468" s="8">
        <f>IF($C468="","","5ª Sessão")</f>
        <v/>
      </c>
      <c r="C468" s="8">
        <f>IF(Preenchimento!$B$102="","",Preenchimento!$B$102)</f>
        <v/>
      </c>
      <c r="D468" s="8">
        <f>IF($C468="","",IF(Preenchimento!$C$102="","-",Preenchimento!$C$102))</f>
        <v/>
      </c>
      <c r="E468" s="8" t="n"/>
      <c r="F468" s="8" t="n"/>
      <c r="G468" s="24" t="n"/>
      <c r="H468" s="8" t="n"/>
      <c r="I468" s="14" t="n"/>
      <c r="J468" s="25">
        <f>IF($C468="","",IF($E468="Falta","-",MAX(0,MIN(10,8+IFERROR(VALUE(TRIM(MID(SUBSTITUTE(SUBSTITUTE(SUBSTITUTE(UPPER($H468)," ",""),"D",""),";",REPT(" ",30)),1,30))),0)+IFERROR(VALUE(TRIM(MID(SUBSTITUTE(SUBSTITUTE(SUBSTITUTE(UPPER($H468)," ",""),"D",""),";",REPT(" ",30)),31,30))),0)+IFERROR(VALUE(TRIM(MID(SUBSTITUTE(SUBSTITUTE(SUBSTITUTE(UPPER($H468)," ",""),"D",""),";",REPT(" ",30)),61,30))),0)+IFERROR(VALUE(TRIM(MID(SUBSTITUTE(SUBSTITUTE(SUBSTITUTE(UPPER($H468)," ",""),"D",""),";",REPT(" ",30)),91,30))),0)+IFERROR(VALUE(TRIM(MID(SUBSTITUTE(SUBSTITUTE(SUBSTITUTE(UPPER($H468)," ",""),"D",""),";",REPT(" ",30)),121,30))),0)+IFERROR(VALUE(TRIM(MID(SUBSTITUTE(SUBSTITUTE(SUBSTITUTE(UPPER($H468)," ",""),"D",""),";",REPT(" ",30)),151,30))),0)+IFERROR(VALUE(TRIM(MID(SUBSTITUTE(SUBSTITUTE(SUBSTITUTE(UPPER($H468)," ",""),"D",""),";",REPT(" ",30)),181,30))),0)+IFERROR(VALUE(TRIM(MID(SUBSTITUTE(SUBSTITUTE(SUBSTITUTE(UPPER($H468)," ",""),"D",""),";",REPT(" ",30)),211,30))),0)))))</f>
        <v/>
      </c>
      <c r="K468" s="24" t="n"/>
      <c r="L468" s="8" t="n"/>
      <c r="M468" s="14" t="n"/>
      <c r="N468" s="25">
        <f>IF($C468="","",IF($E468="Falta","-",MAX(0,MIN(10,8+IFERROR(VALUE(TRIM(MID(SUBSTITUTE(SUBSTITUTE(SUBSTITUTE(UPPER($L468)," ",""),"F",""),";",REPT(" ",30)),1,30))),0)+IFERROR(VALUE(TRIM(MID(SUBSTITUTE(SUBSTITUTE(SUBSTITUTE(UPPER($L468)," ",""),"F",""),";",REPT(" ",30)),31,30))),0)+IFERROR(VALUE(TRIM(MID(SUBSTITUTE(SUBSTITUTE(SUBSTITUTE(UPPER($L468)," ",""),"F",""),";",REPT(" ",30)),61,30))),0)+IFERROR(VALUE(TRIM(MID(SUBSTITUTE(SUBSTITUTE(SUBSTITUTE(UPPER($L468)," ",""),"F",""),";",REPT(" ",30)),91,30))),0)+IFERROR(VALUE(TRIM(MID(SUBSTITUTE(SUBSTITUTE(SUBSTITUTE(UPPER($L468)," ",""),"F",""),";",REPT(" ",30)),121,30))),0)+IFERROR(VALUE(TRIM(MID(SUBSTITUTE(SUBSTITUTE(SUBSTITUTE(UPPER($L468)," ",""),"F",""),";",REPT(" ",30)),151,30))),0)+IFERROR(VALUE(TRIM(MID(SUBSTITUTE(SUBSTITUTE(SUBSTITUTE(UPPER($L468)," ",""),"F",""),";",REPT(" ",30)),181,30))),0)+IFERROR(VALUE(TRIM(MID(SUBSTITUTE(SUBSTITUTE(SUBSTITUTE(UPPER($L468)," ",""),"F",""),";",REPT(" ",30)),211,30))),0)))))</f>
        <v/>
      </c>
      <c r="O468" s="24" t="n"/>
      <c r="P468" s="8" t="n"/>
      <c r="Q468" s="14" t="n"/>
      <c r="R468" s="25">
        <f>IF($C468="","",IF($E468="Falta","-",MAX(0,MIN(10,5+IFERROR(VALUE(TRIM(MID(SUBSTITUTE(SUBSTITUTE(SUBSTITUTE(UPPER($P468)," ",""),"C",""),";",REPT(" ",30)),1,30))),0)+IFERROR(VALUE(TRIM(MID(SUBSTITUTE(SUBSTITUTE(SUBSTITUTE(UPPER($P468)," ",""),"C",""),";",REPT(" ",30)),31,30))),0)+IFERROR(VALUE(TRIM(MID(SUBSTITUTE(SUBSTITUTE(SUBSTITUTE(UPPER($P468)," ",""),"C",""),";",REPT(" ",30)),61,30))),0)+IFERROR(VALUE(TRIM(MID(SUBSTITUTE(SUBSTITUTE(SUBSTITUTE(UPPER($P468)," ",""),"C",""),";",REPT(" ",30)),91,30))),0)+IFERROR(VALUE(TRIM(MID(SUBSTITUTE(SUBSTITUTE(SUBSTITUTE(UPPER($P468)," ",""),"C",""),";",REPT(" ",30)),121,30))),0)+IFERROR(VALUE(TRIM(MID(SUBSTITUTE(SUBSTITUTE(SUBSTITUTE(UPPER($P468)," ",""),"C",""),";",REPT(" ",30)),151,30))),0)+IFERROR(VALUE(TRIM(MID(SUBSTITUTE(SUBSTITUTE(SUBSTITUTE(UPPER($P468)," ",""),"C",""),";",REPT(" ",30)),181,30))),0)+IFERROR(VALUE(TRIM(MID(SUBSTITUTE(SUBSTITUTE(SUBSTITUTE(UPPER($P468)," ",""),"C",""),";",REPT(" ",30)),211,30))),0)))))</f>
        <v/>
      </c>
      <c r="S468" s="24" t="n"/>
      <c r="T468" s="8" t="n"/>
      <c r="U468" s="14" t="n"/>
      <c r="V468" s="25">
        <f>IF($C468="","",IF($E468="Falta","-",MAX(0,MIN(10,5+IFERROR(VALUE(TRIM(MID(SUBSTITUTE(SUBSTITUTE(SUBSTITUTE(UPPER($T468)," ",""),"P",""),";",REPT(" ",30)),1,30))),0)+IFERROR(VALUE(TRIM(MID(SUBSTITUTE(SUBSTITUTE(SUBSTITUTE(UPPER($T468)," ",""),"P",""),";",REPT(" ",30)),31,30))),0)+IFERROR(VALUE(TRIM(MID(SUBSTITUTE(SUBSTITUTE(SUBSTITUTE(UPPER($T468)," ",""),"P",""),";",REPT(" ",30)),61,30))),0)+IFERROR(VALUE(TRIM(MID(SUBSTITUTE(SUBSTITUTE(SUBSTITUTE(UPPER($T468)," ",""),"P",""),";",REPT(" ",30)),91,30))),0)+IFERROR(VALUE(TRIM(MID(SUBSTITUTE(SUBSTITUTE(SUBSTITUTE(UPPER($T468)," ",""),"P",""),";",REPT(" ",30)),121,30))),0)+IFERROR(VALUE(TRIM(MID(SUBSTITUTE(SUBSTITUTE(SUBSTITUTE(UPPER($T468)," ",""),"P",""),";",REPT(" ",30)),151,30))),0)+IFERROR(VALUE(TRIM(MID(SUBSTITUTE(SUBSTITUTE(SUBSTITUTE(UPPER($T468)," ",""),"P",""),";",REPT(" ",30)),181,30))),0)+IFERROR(VALUE(TRIM(MID(SUBSTITUTE(SUBSTITUTE(SUBSTITUTE(UPPER($T468)," ",""),"P",""),";",REPT(" ",30)),211,30))),0)))))</f>
        <v/>
      </c>
      <c r="W468" s="24" t="n"/>
      <c r="X468" s="14" t="n"/>
    </row>
    <row r="469">
      <c r="A469" s="6">
        <f>IF($C469="","",94)</f>
        <v/>
      </c>
      <c r="B469" s="6">
        <f>IF($C469="","","1ª Sessão")</f>
        <v/>
      </c>
      <c r="C469" s="6">
        <f>IF(Preenchimento!$B$103="","",Preenchimento!$B$103)</f>
        <v/>
      </c>
      <c r="D469" s="6">
        <f>IF($C469="","",IF(Preenchimento!$C$103="","-",Preenchimento!$C$103))</f>
        <v/>
      </c>
      <c r="E469" s="6" t="n"/>
      <c r="F469" s="6" t="n"/>
      <c r="G469" s="26" t="n"/>
      <c r="H469" s="6" t="n"/>
      <c r="I469" s="13" t="n"/>
      <c r="J469" s="27">
        <f>IF($C469="","",IF($E469="Falta","-",MAX(0,MIN(10,8+IFERROR(VALUE(TRIM(MID(SUBSTITUTE(SUBSTITUTE(SUBSTITUTE(UPPER($H469)," ",""),"D",""),";",REPT(" ",30)),1,30))),0)+IFERROR(VALUE(TRIM(MID(SUBSTITUTE(SUBSTITUTE(SUBSTITUTE(UPPER($H469)," ",""),"D",""),";",REPT(" ",30)),31,30))),0)+IFERROR(VALUE(TRIM(MID(SUBSTITUTE(SUBSTITUTE(SUBSTITUTE(UPPER($H469)," ",""),"D",""),";",REPT(" ",30)),61,30))),0)+IFERROR(VALUE(TRIM(MID(SUBSTITUTE(SUBSTITUTE(SUBSTITUTE(UPPER($H469)," ",""),"D",""),";",REPT(" ",30)),91,30))),0)+IFERROR(VALUE(TRIM(MID(SUBSTITUTE(SUBSTITUTE(SUBSTITUTE(UPPER($H469)," ",""),"D",""),";",REPT(" ",30)),121,30))),0)+IFERROR(VALUE(TRIM(MID(SUBSTITUTE(SUBSTITUTE(SUBSTITUTE(UPPER($H469)," ",""),"D",""),";",REPT(" ",30)),151,30))),0)+IFERROR(VALUE(TRIM(MID(SUBSTITUTE(SUBSTITUTE(SUBSTITUTE(UPPER($H469)," ",""),"D",""),";",REPT(" ",30)),181,30))),0)+IFERROR(VALUE(TRIM(MID(SUBSTITUTE(SUBSTITUTE(SUBSTITUTE(UPPER($H469)," ",""),"D",""),";",REPT(" ",30)),211,30))),0)))))</f>
        <v/>
      </c>
      <c r="K469" s="26" t="n"/>
      <c r="L469" s="6" t="n"/>
      <c r="M469" s="13" t="n"/>
      <c r="N469" s="27">
        <f>IF($C469="","",IF($E469="Falta","-",MAX(0,MIN(10,8+IFERROR(VALUE(TRIM(MID(SUBSTITUTE(SUBSTITUTE(SUBSTITUTE(UPPER($L469)," ",""),"F",""),";",REPT(" ",30)),1,30))),0)+IFERROR(VALUE(TRIM(MID(SUBSTITUTE(SUBSTITUTE(SUBSTITUTE(UPPER($L469)," ",""),"F",""),";",REPT(" ",30)),31,30))),0)+IFERROR(VALUE(TRIM(MID(SUBSTITUTE(SUBSTITUTE(SUBSTITUTE(UPPER($L469)," ",""),"F",""),";",REPT(" ",30)),61,30))),0)+IFERROR(VALUE(TRIM(MID(SUBSTITUTE(SUBSTITUTE(SUBSTITUTE(UPPER($L469)," ",""),"F",""),";",REPT(" ",30)),91,30))),0)+IFERROR(VALUE(TRIM(MID(SUBSTITUTE(SUBSTITUTE(SUBSTITUTE(UPPER($L469)," ",""),"F",""),";",REPT(" ",30)),121,30))),0)+IFERROR(VALUE(TRIM(MID(SUBSTITUTE(SUBSTITUTE(SUBSTITUTE(UPPER($L469)," ",""),"F",""),";",REPT(" ",30)),151,30))),0)+IFERROR(VALUE(TRIM(MID(SUBSTITUTE(SUBSTITUTE(SUBSTITUTE(UPPER($L469)," ",""),"F",""),";",REPT(" ",30)),181,30))),0)+IFERROR(VALUE(TRIM(MID(SUBSTITUTE(SUBSTITUTE(SUBSTITUTE(UPPER($L469)," ",""),"F",""),";",REPT(" ",30)),211,30))),0)))))</f>
        <v/>
      </c>
      <c r="O469" s="26" t="n"/>
      <c r="P469" s="6" t="n"/>
      <c r="Q469" s="13" t="n"/>
      <c r="R469" s="27">
        <f>IF($C469="","",IF($E469="Falta","-",MAX(0,MIN(10,5+IFERROR(VALUE(TRIM(MID(SUBSTITUTE(SUBSTITUTE(SUBSTITUTE(UPPER($P469)," ",""),"C",""),";",REPT(" ",30)),1,30))),0)+IFERROR(VALUE(TRIM(MID(SUBSTITUTE(SUBSTITUTE(SUBSTITUTE(UPPER($P469)," ",""),"C",""),";",REPT(" ",30)),31,30))),0)+IFERROR(VALUE(TRIM(MID(SUBSTITUTE(SUBSTITUTE(SUBSTITUTE(UPPER($P469)," ",""),"C",""),";",REPT(" ",30)),61,30))),0)+IFERROR(VALUE(TRIM(MID(SUBSTITUTE(SUBSTITUTE(SUBSTITUTE(UPPER($P469)," ",""),"C",""),";",REPT(" ",30)),91,30))),0)+IFERROR(VALUE(TRIM(MID(SUBSTITUTE(SUBSTITUTE(SUBSTITUTE(UPPER($P469)," ",""),"C",""),";",REPT(" ",30)),121,30))),0)+IFERROR(VALUE(TRIM(MID(SUBSTITUTE(SUBSTITUTE(SUBSTITUTE(UPPER($P469)," ",""),"C",""),";",REPT(" ",30)),151,30))),0)+IFERROR(VALUE(TRIM(MID(SUBSTITUTE(SUBSTITUTE(SUBSTITUTE(UPPER($P469)," ",""),"C",""),";",REPT(" ",30)),181,30))),0)+IFERROR(VALUE(TRIM(MID(SUBSTITUTE(SUBSTITUTE(SUBSTITUTE(UPPER($P469)," ",""),"C",""),";",REPT(" ",30)),211,30))),0)))))</f>
        <v/>
      </c>
      <c r="S469" s="26" t="n"/>
      <c r="T469" s="6" t="n"/>
      <c r="U469" s="13" t="n"/>
      <c r="V469" s="27">
        <f>IF($C469="","",IF($E469="Falta","-",MAX(0,MIN(10,5+IFERROR(VALUE(TRIM(MID(SUBSTITUTE(SUBSTITUTE(SUBSTITUTE(UPPER($T469)," ",""),"P",""),";",REPT(" ",30)),1,30))),0)+IFERROR(VALUE(TRIM(MID(SUBSTITUTE(SUBSTITUTE(SUBSTITUTE(UPPER($T469)," ",""),"P",""),";",REPT(" ",30)),31,30))),0)+IFERROR(VALUE(TRIM(MID(SUBSTITUTE(SUBSTITUTE(SUBSTITUTE(UPPER($T469)," ",""),"P",""),";",REPT(" ",30)),61,30))),0)+IFERROR(VALUE(TRIM(MID(SUBSTITUTE(SUBSTITUTE(SUBSTITUTE(UPPER($T469)," ",""),"P",""),";",REPT(" ",30)),91,30))),0)+IFERROR(VALUE(TRIM(MID(SUBSTITUTE(SUBSTITUTE(SUBSTITUTE(UPPER($T469)," ",""),"P",""),";",REPT(" ",30)),121,30))),0)+IFERROR(VALUE(TRIM(MID(SUBSTITUTE(SUBSTITUTE(SUBSTITUTE(UPPER($T469)," ",""),"P",""),";",REPT(" ",30)),151,30))),0)+IFERROR(VALUE(TRIM(MID(SUBSTITUTE(SUBSTITUTE(SUBSTITUTE(UPPER($T469)," ",""),"P",""),";",REPT(" ",30)),181,30))),0)+IFERROR(VALUE(TRIM(MID(SUBSTITUTE(SUBSTITUTE(SUBSTITUTE(UPPER($T469)," ",""),"P",""),";",REPT(" ",30)),211,30))),0)))))</f>
        <v/>
      </c>
      <c r="W469" s="26" t="n"/>
      <c r="X469" s="13" t="n"/>
    </row>
    <row r="470">
      <c r="A470" s="6">
        <f>IF($C470="","",94)</f>
        <v/>
      </c>
      <c r="B470" s="6">
        <f>IF($C470="","","2ª Sessão")</f>
        <v/>
      </c>
      <c r="C470" s="6">
        <f>IF(Preenchimento!$B$103="","",Preenchimento!$B$103)</f>
        <v/>
      </c>
      <c r="D470" s="6">
        <f>IF($C470="","",IF(Preenchimento!$C$103="","-",Preenchimento!$C$103))</f>
        <v/>
      </c>
      <c r="E470" s="6" t="n"/>
      <c r="F470" s="6" t="n"/>
      <c r="G470" s="26" t="n"/>
      <c r="H470" s="6" t="n"/>
      <c r="I470" s="13" t="n"/>
      <c r="J470" s="27">
        <f>IF($C470="","",IF($E470="Falta","-",MAX(0,MIN(10,8+IFERROR(VALUE(TRIM(MID(SUBSTITUTE(SUBSTITUTE(SUBSTITUTE(UPPER($H470)," ",""),"D",""),";",REPT(" ",30)),1,30))),0)+IFERROR(VALUE(TRIM(MID(SUBSTITUTE(SUBSTITUTE(SUBSTITUTE(UPPER($H470)," ",""),"D",""),";",REPT(" ",30)),31,30))),0)+IFERROR(VALUE(TRIM(MID(SUBSTITUTE(SUBSTITUTE(SUBSTITUTE(UPPER($H470)," ",""),"D",""),";",REPT(" ",30)),61,30))),0)+IFERROR(VALUE(TRIM(MID(SUBSTITUTE(SUBSTITUTE(SUBSTITUTE(UPPER($H470)," ",""),"D",""),";",REPT(" ",30)),91,30))),0)+IFERROR(VALUE(TRIM(MID(SUBSTITUTE(SUBSTITUTE(SUBSTITUTE(UPPER($H470)," ",""),"D",""),";",REPT(" ",30)),121,30))),0)+IFERROR(VALUE(TRIM(MID(SUBSTITUTE(SUBSTITUTE(SUBSTITUTE(UPPER($H470)," ",""),"D",""),";",REPT(" ",30)),151,30))),0)+IFERROR(VALUE(TRIM(MID(SUBSTITUTE(SUBSTITUTE(SUBSTITUTE(UPPER($H470)," ",""),"D",""),";",REPT(" ",30)),181,30))),0)+IFERROR(VALUE(TRIM(MID(SUBSTITUTE(SUBSTITUTE(SUBSTITUTE(UPPER($H470)," ",""),"D",""),";",REPT(" ",30)),211,30))),0)))))</f>
        <v/>
      </c>
      <c r="K470" s="26" t="n"/>
      <c r="L470" s="6" t="n"/>
      <c r="M470" s="13" t="n"/>
      <c r="N470" s="27">
        <f>IF($C470="","",IF($E470="Falta","-",MAX(0,MIN(10,8+IFERROR(VALUE(TRIM(MID(SUBSTITUTE(SUBSTITUTE(SUBSTITUTE(UPPER($L470)," ",""),"F",""),";",REPT(" ",30)),1,30))),0)+IFERROR(VALUE(TRIM(MID(SUBSTITUTE(SUBSTITUTE(SUBSTITUTE(UPPER($L470)," ",""),"F",""),";",REPT(" ",30)),31,30))),0)+IFERROR(VALUE(TRIM(MID(SUBSTITUTE(SUBSTITUTE(SUBSTITUTE(UPPER($L470)," ",""),"F",""),";",REPT(" ",30)),61,30))),0)+IFERROR(VALUE(TRIM(MID(SUBSTITUTE(SUBSTITUTE(SUBSTITUTE(UPPER($L470)," ",""),"F",""),";",REPT(" ",30)),91,30))),0)+IFERROR(VALUE(TRIM(MID(SUBSTITUTE(SUBSTITUTE(SUBSTITUTE(UPPER($L470)," ",""),"F",""),";",REPT(" ",30)),121,30))),0)+IFERROR(VALUE(TRIM(MID(SUBSTITUTE(SUBSTITUTE(SUBSTITUTE(UPPER($L470)," ",""),"F",""),";",REPT(" ",30)),151,30))),0)+IFERROR(VALUE(TRIM(MID(SUBSTITUTE(SUBSTITUTE(SUBSTITUTE(UPPER($L470)," ",""),"F",""),";",REPT(" ",30)),181,30))),0)+IFERROR(VALUE(TRIM(MID(SUBSTITUTE(SUBSTITUTE(SUBSTITUTE(UPPER($L470)," ",""),"F",""),";",REPT(" ",30)),211,30))),0)))))</f>
        <v/>
      </c>
      <c r="O470" s="26" t="n"/>
      <c r="P470" s="6" t="n"/>
      <c r="Q470" s="13" t="n"/>
      <c r="R470" s="27">
        <f>IF($C470="","",IF($E470="Falta","-",MAX(0,MIN(10,5+IFERROR(VALUE(TRIM(MID(SUBSTITUTE(SUBSTITUTE(SUBSTITUTE(UPPER($P470)," ",""),"C",""),";",REPT(" ",30)),1,30))),0)+IFERROR(VALUE(TRIM(MID(SUBSTITUTE(SUBSTITUTE(SUBSTITUTE(UPPER($P470)," ",""),"C",""),";",REPT(" ",30)),31,30))),0)+IFERROR(VALUE(TRIM(MID(SUBSTITUTE(SUBSTITUTE(SUBSTITUTE(UPPER($P470)," ",""),"C",""),";",REPT(" ",30)),61,30))),0)+IFERROR(VALUE(TRIM(MID(SUBSTITUTE(SUBSTITUTE(SUBSTITUTE(UPPER($P470)," ",""),"C",""),";",REPT(" ",30)),91,30))),0)+IFERROR(VALUE(TRIM(MID(SUBSTITUTE(SUBSTITUTE(SUBSTITUTE(UPPER($P470)," ",""),"C",""),";",REPT(" ",30)),121,30))),0)+IFERROR(VALUE(TRIM(MID(SUBSTITUTE(SUBSTITUTE(SUBSTITUTE(UPPER($P470)," ",""),"C",""),";",REPT(" ",30)),151,30))),0)+IFERROR(VALUE(TRIM(MID(SUBSTITUTE(SUBSTITUTE(SUBSTITUTE(UPPER($P470)," ",""),"C",""),";",REPT(" ",30)),181,30))),0)+IFERROR(VALUE(TRIM(MID(SUBSTITUTE(SUBSTITUTE(SUBSTITUTE(UPPER($P470)," ",""),"C",""),";",REPT(" ",30)),211,30))),0)))))</f>
        <v/>
      </c>
      <c r="S470" s="26" t="n"/>
      <c r="T470" s="6" t="n"/>
      <c r="U470" s="13" t="n"/>
      <c r="V470" s="27">
        <f>IF($C470="","",IF($E470="Falta","-",MAX(0,MIN(10,5+IFERROR(VALUE(TRIM(MID(SUBSTITUTE(SUBSTITUTE(SUBSTITUTE(UPPER($T470)," ",""),"P",""),";",REPT(" ",30)),1,30))),0)+IFERROR(VALUE(TRIM(MID(SUBSTITUTE(SUBSTITUTE(SUBSTITUTE(UPPER($T470)," ",""),"P",""),";",REPT(" ",30)),31,30))),0)+IFERROR(VALUE(TRIM(MID(SUBSTITUTE(SUBSTITUTE(SUBSTITUTE(UPPER($T470)," ",""),"P",""),";",REPT(" ",30)),61,30))),0)+IFERROR(VALUE(TRIM(MID(SUBSTITUTE(SUBSTITUTE(SUBSTITUTE(UPPER($T470)," ",""),"P",""),";",REPT(" ",30)),91,30))),0)+IFERROR(VALUE(TRIM(MID(SUBSTITUTE(SUBSTITUTE(SUBSTITUTE(UPPER($T470)," ",""),"P",""),";",REPT(" ",30)),121,30))),0)+IFERROR(VALUE(TRIM(MID(SUBSTITUTE(SUBSTITUTE(SUBSTITUTE(UPPER($T470)," ",""),"P",""),";",REPT(" ",30)),151,30))),0)+IFERROR(VALUE(TRIM(MID(SUBSTITUTE(SUBSTITUTE(SUBSTITUTE(UPPER($T470)," ",""),"P",""),";",REPT(" ",30)),181,30))),0)+IFERROR(VALUE(TRIM(MID(SUBSTITUTE(SUBSTITUTE(SUBSTITUTE(UPPER($T470)," ",""),"P",""),";",REPT(" ",30)),211,30))),0)))))</f>
        <v/>
      </c>
      <c r="W470" s="26" t="n"/>
      <c r="X470" s="13" t="n"/>
    </row>
    <row r="471">
      <c r="A471" s="6">
        <f>IF($C471="","",94)</f>
        <v/>
      </c>
      <c r="B471" s="6">
        <f>IF($C471="","","3ª Sessão")</f>
        <v/>
      </c>
      <c r="C471" s="6">
        <f>IF(Preenchimento!$B$103="","",Preenchimento!$B$103)</f>
        <v/>
      </c>
      <c r="D471" s="6">
        <f>IF($C471="","",IF(Preenchimento!$C$103="","-",Preenchimento!$C$103))</f>
        <v/>
      </c>
      <c r="E471" s="6" t="n"/>
      <c r="F471" s="6" t="n"/>
      <c r="G471" s="26" t="n"/>
      <c r="H471" s="6" t="n"/>
      <c r="I471" s="13" t="n"/>
      <c r="J471" s="27">
        <f>IF($C471="","",IF($E471="Falta","-",MAX(0,MIN(10,8+IFERROR(VALUE(TRIM(MID(SUBSTITUTE(SUBSTITUTE(SUBSTITUTE(UPPER($H471)," ",""),"D",""),";",REPT(" ",30)),1,30))),0)+IFERROR(VALUE(TRIM(MID(SUBSTITUTE(SUBSTITUTE(SUBSTITUTE(UPPER($H471)," ",""),"D",""),";",REPT(" ",30)),31,30))),0)+IFERROR(VALUE(TRIM(MID(SUBSTITUTE(SUBSTITUTE(SUBSTITUTE(UPPER($H471)," ",""),"D",""),";",REPT(" ",30)),61,30))),0)+IFERROR(VALUE(TRIM(MID(SUBSTITUTE(SUBSTITUTE(SUBSTITUTE(UPPER($H471)," ",""),"D",""),";",REPT(" ",30)),91,30))),0)+IFERROR(VALUE(TRIM(MID(SUBSTITUTE(SUBSTITUTE(SUBSTITUTE(UPPER($H471)," ",""),"D",""),";",REPT(" ",30)),121,30))),0)+IFERROR(VALUE(TRIM(MID(SUBSTITUTE(SUBSTITUTE(SUBSTITUTE(UPPER($H471)," ",""),"D",""),";",REPT(" ",30)),151,30))),0)+IFERROR(VALUE(TRIM(MID(SUBSTITUTE(SUBSTITUTE(SUBSTITUTE(UPPER($H471)," ",""),"D",""),";",REPT(" ",30)),181,30))),0)+IFERROR(VALUE(TRIM(MID(SUBSTITUTE(SUBSTITUTE(SUBSTITUTE(UPPER($H471)," ",""),"D",""),";",REPT(" ",30)),211,30))),0)))))</f>
        <v/>
      </c>
      <c r="K471" s="26" t="n"/>
      <c r="L471" s="6" t="n"/>
      <c r="M471" s="13" t="n"/>
      <c r="N471" s="27">
        <f>IF($C471="","",IF($E471="Falta","-",MAX(0,MIN(10,8+IFERROR(VALUE(TRIM(MID(SUBSTITUTE(SUBSTITUTE(SUBSTITUTE(UPPER($L471)," ",""),"F",""),";",REPT(" ",30)),1,30))),0)+IFERROR(VALUE(TRIM(MID(SUBSTITUTE(SUBSTITUTE(SUBSTITUTE(UPPER($L471)," ",""),"F",""),";",REPT(" ",30)),31,30))),0)+IFERROR(VALUE(TRIM(MID(SUBSTITUTE(SUBSTITUTE(SUBSTITUTE(UPPER($L471)," ",""),"F",""),";",REPT(" ",30)),61,30))),0)+IFERROR(VALUE(TRIM(MID(SUBSTITUTE(SUBSTITUTE(SUBSTITUTE(UPPER($L471)," ",""),"F",""),";",REPT(" ",30)),91,30))),0)+IFERROR(VALUE(TRIM(MID(SUBSTITUTE(SUBSTITUTE(SUBSTITUTE(UPPER($L471)," ",""),"F",""),";",REPT(" ",30)),121,30))),0)+IFERROR(VALUE(TRIM(MID(SUBSTITUTE(SUBSTITUTE(SUBSTITUTE(UPPER($L471)," ",""),"F",""),";",REPT(" ",30)),151,30))),0)+IFERROR(VALUE(TRIM(MID(SUBSTITUTE(SUBSTITUTE(SUBSTITUTE(UPPER($L471)," ",""),"F",""),";",REPT(" ",30)),181,30))),0)+IFERROR(VALUE(TRIM(MID(SUBSTITUTE(SUBSTITUTE(SUBSTITUTE(UPPER($L471)," ",""),"F",""),";",REPT(" ",30)),211,30))),0)))))</f>
        <v/>
      </c>
      <c r="O471" s="26" t="n"/>
      <c r="P471" s="6" t="n"/>
      <c r="Q471" s="13" t="n"/>
      <c r="R471" s="27">
        <f>IF($C471="","",IF($E471="Falta","-",MAX(0,MIN(10,5+IFERROR(VALUE(TRIM(MID(SUBSTITUTE(SUBSTITUTE(SUBSTITUTE(UPPER($P471)," ",""),"C",""),";",REPT(" ",30)),1,30))),0)+IFERROR(VALUE(TRIM(MID(SUBSTITUTE(SUBSTITUTE(SUBSTITUTE(UPPER($P471)," ",""),"C",""),";",REPT(" ",30)),31,30))),0)+IFERROR(VALUE(TRIM(MID(SUBSTITUTE(SUBSTITUTE(SUBSTITUTE(UPPER($P471)," ",""),"C",""),";",REPT(" ",30)),61,30))),0)+IFERROR(VALUE(TRIM(MID(SUBSTITUTE(SUBSTITUTE(SUBSTITUTE(UPPER($P471)," ",""),"C",""),";",REPT(" ",30)),91,30))),0)+IFERROR(VALUE(TRIM(MID(SUBSTITUTE(SUBSTITUTE(SUBSTITUTE(UPPER($P471)," ",""),"C",""),";",REPT(" ",30)),121,30))),0)+IFERROR(VALUE(TRIM(MID(SUBSTITUTE(SUBSTITUTE(SUBSTITUTE(UPPER($P471)," ",""),"C",""),";",REPT(" ",30)),151,30))),0)+IFERROR(VALUE(TRIM(MID(SUBSTITUTE(SUBSTITUTE(SUBSTITUTE(UPPER($P471)," ",""),"C",""),";",REPT(" ",30)),181,30))),0)+IFERROR(VALUE(TRIM(MID(SUBSTITUTE(SUBSTITUTE(SUBSTITUTE(UPPER($P471)," ",""),"C",""),";",REPT(" ",30)),211,30))),0)))))</f>
        <v/>
      </c>
      <c r="S471" s="26" t="n"/>
      <c r="T471" s="6" t="n"/>
      <c r="U471" s="13" t="n"/>
      <c r="V471" s="27">
        <f>IF($C471="","",IF($E471="Falta","-",MAX(0,MIN(10,5+IFERROR(VALUE(TRIM(MID(SUBSTITUTE(SUBSTITUTE(SUBSTITUTE(UPPER($T471)," ",""),"P",""),";",REPT(" ",30)),1,30))),0)+IFERROR(VALUE(TRIM(MID(SUBSTITUTE(SUBSTITUTE(SUBSTITUTE(UPPER($T471)," ",""),"P",""),";",REPT(" ",30)),31,30))),0)+IFERROR(VALUE(TRIM(MID(SUBSTITUTE(SUBSTITUTE(SUBSTITUTE(UPPER($T471)," ",""),"P",""),";",REPT(" ",30)),61,30))),0)+IFERROR(VALUE(TRIM(MID(SUBSTITUTE(SUBSTITUTE(SUBSTITUTE(UPPER($T471)," ",""),"P",""),";",REPT(" ",30)),91,30))),0)+IFERROR(VALUE(TRIM(MID(SUBSTITUTE(SUBSTITUTE(SUBSTITUTE(UPPER($T471)," ",""),"P",""),";",REPT(" ",30)),121,30))),0)+IFERROR(VALUE(TRIM(MID(SUBSTITUTE(SUBSTITUTE(SUBSTITUTE(UPPER($T471)," ",""),"P",""),";",REPT(" ",30)),151,30))),0)+IFERROR(VALUE(TRIM(MID(SUBSTITUTE(SUBSTITUTE(SUBSTITUTE(UPPER($T471)," ",""),"P",""),";",REPT(" ",30)),181,30))),0)+IFERROR(VALUE(TRIM(MID(SUBSTITUTE(SUBSTITUTE(SUBSTITUTE(UPPER($T471)," ",""),"P",""),";",REPT(" ",30)),211,30))),0)))))</f>
        <v/>
      </c>
      <c r="W471" s="26" t="n"/>
      <c r="X471" s="13" t="n"/>
    </row>
    <row r="472">
      <c r="A472" s="6">
        <f>IF($C472="","",94)</f>
        <v/>
      </c>
      <c r="B472" s="6">
        <f>IF($C472="","","4ª Sessão")</f>
        <v/>
      </c>
      <c r="C472" s="6">
        <f>IF(Preenchimento!$B$103="","",Preenchimento!$B$103)</f>
        <v/>
      </c>
      <c r="D472" s="6">
        <f>IF($C472="","",IF(Preenchimento!$C$103="","-",Preenchimento!$C$103))</f>
        <v/>
      </c>
      <c r="E472" s="6" t="n"/>
      <c r="F472" s="6" t="n"/>
      <c r="G472" s="26" t="n"/>
      <c r="H472" s="6" t="n"/>
      <c r="I472" s="13" t="n"/>
      <c r="J472" s="27">
        <f>IF($C472="","",IF($E472="Falta","-",MAX(0,MIN(10,8+IFERROR(VALUE(TRIM(MID(SUBSTITUTE(SUBSTITUTE(SUBSTITUTE(UPPER($H472)," ",""),"D",""),";",REPT(" ",30)),1,30))),0)+IFERROR(VALUE(TRIM(MID(SUBSTITUTE(SUBSTITUTE(SUBSTITUTE(UPPER($H472)," ",""),"D",""),";",REPT(" ",30)),31,30))),0)+IFERROR(VALUE(TRIM(MID(SUBSTITUTE(SUBSTITUTE(SUBSTITUTE(UPPER($H472)," ",""),"D",""),";",REPT(" ",30)),61,30))),0)+IFERROR(VALUE(TRIM(MID(SUBSTITUTE(SUBSTITUTE(SUBSTITUTE(UPPER($H472)," ",""),"D",""),";",REPT(" ",30)),91,30))),0)+IFERROR(VALUE(TRIM(MID(SUBSTITUTE(SUBSTITUTE(SUBSTITUTE(UPPER($H472)," ",""),"D",""),";",REPT(" ",30)),121,30))),0)+IFERROR(VALUE(TRIM(MID(SUBSTITUTE(SUBSTITUTE(SUBSTITUTE(UPPER($H472)," ",""),"D",""),";",REPT(" ",30)),151,30))),0)+IFERROR(VALUE(TRIM(MID(SUBSTITUTE(SUBSTITUTE(SUBSTITUTE(UPPER($H472)," ",""),"D",""),";",REPT(" ",30)),181,30))),0)+IFERROR(VALUE(TRIM(MID(SUBSTITUTE(SUBSTITUTE(SUBSTITUTE(UPPER($H472)," ",""),"D",""),";",REPT(" ",30)),211,30))),0)))))</f>
        <v/>
      </c>
      <c r="K472" s="26" t="n"/>
      <c r="L472" s="6" t="n"/>
      <c r="M472" s="13" t="n"/>
      <c r="N472" s="27">
        <f>IF($C472="","",IF($E472="Falta","-",MAX(0,MIN(10,8+IFERROR(VALUE(TRIM(MID(SUBSTITUTE(SUBSTITUTE(SUBSTITUTE(UPPER($L472)," ",""),"F",""),";",REPT(" ",30)),1,30))),0)+IFERROR(VALUE(TRIM(MID(SUBSTITUTE(SUBSTITUTE(SUBSTITUTE(UPPER($L472)," ",""),"F",""),";",REPT(" ",30)),31,30))),0)+IFERROR(VALUE(TRIM(MID(SUBSTITUTE(SUBSTITUTE(SUBSTITUTE(UPPER($L472)," ",""),"F",""),";",REPT(" ",30)),61,30))),0)+IFERROR(VALUE(TRIM(MID(SUBSTITUTE(SUBSTITUTE(SUBSTITUTE(UPPER($L472)," ",""),"F",""),";",REPT(" ",30)),91,30))),0)+IFERROR(VALUE(TRIM(MID(SUBSTITUTE(SUBSTITUTE(SUBSTITUTE(UPPER($L472)," ",""),"F",""),";",REPT(" ",30)),121,30))),0)+IFERROR(VALUE(TRIM(MID(SUBSTITUTE(SUBSTITUTE(SUBSTITUTE(UPPER($L472)," ",""),"F",""),";",REPT(" ",30)),151,30))),0)+IFERROR(VALUE(TRIM(MID(SUBSTITUTE(SUBSTITUTE(SUBSTITUTE(UPPER($L472)," ",""),"F",""),";",REPT(" ",30)),181,30))),0)+IFERROR(VALUE(TRIM(MID(SUBSTITUTE(SUBSTITUTE(SUBSTITUTE(UPPER($L472)," ",""),"F",""),";",REPT(" ",30)),211,30))),0)))))</f>
        <v/>
      </c>
      <c r="O472" s="26" t="n"/>
      <c r="P472" s="6" t="n"/>
      <c r="Q472" s="13" t="n"/>
      <c r="R472" s="27">
        <f>IF($C472="","",IF($E472="Falta","-",MAX(0,MIN(10,5+IFERROR(VALUE(TRIM(MID(SUBSTITUTE(SUBSTITUTE(SUBSTITUTE(UPPER($P472)," ",""),"C",""),";",REPT(" ",30)),1,30))),0)+IFERROR(VALUE(TRIM(MID(SUBSTITUTE(SUBSTITUTE(SUBSTITUTE(UPPER($P472)," ",""),"C",""),";",REPT(" ",30)),31,30))),0)+IFERROR(VALUE(TRIM(MID(SUBSTITUTE(SUBSTITUTE(SUBSTITUTE(UPPER($P472)," ",""),"C",""),";",REPT(" ",30)),61,30))),0)+IFERROR(VALUE(TRIM(MID(SUBSTITUTE(SUBSTITUTE(SUBSTITUTE(UPPER($P472)," ",""),"C",""),";",REPT(" ",30)),91,30))),0)+IFERROR(VALUE(TRIM(MID(SUBSTITUTE(SUBSTITUTE(SUBSTITUTE(UPPER($P472)," ",""),"C",""),";",REPT(" ",30)),121,30))),0)+IFERROR(VALUE(TRIM(MID(SUBSTITUTE(SUBSTITUTE(SUBSTITUTE(UPPER($P472)," ",""),"C",""),";",REPT(" ",30)),151,30))),0)+IFERROR(VALUE(TRIM(MID(SUBSTITUTE(SUBSTITUTE(SUBSTITUTE(UPPER($P472)," ",""),"C",""),";",REPT(" ",30)),181,30))),0)+IFERROR(VALUE(TRIM(MID(SUBSTITUTE(SUBSTITUTE(SUBSTITUTE(UPPER($P472)," ",""),"C",""),";",REPT(" ",30)),211,30))),0)))))</f>
        <v/>
      </c>
      <c r="S472" s="26" t="n"/>
      <c r="T472" s="6" t="n"/>
      <c r="U472" s="13" t="n"/>
      <c r="V472" s="27">
        <f>IF($C472="","",IF($E472="Falta","-",MAX(0,MIN(10,5+IFERROR(VALUE(TRIM(MID(SUBSTITUTE(SUBSTITUTE(SUBSTITUTE(UPPER($T472)," ",""),"P",""),";",REPT(" ",30)),1,30))),0)+IFERROR(VALUE(TRIM(MID(SUBSTITUTE(SUBSTITUTE(SUBSTITUTE(UPPER($T472)," ",""),"P",""),";",REPT(" ",30)),31,30))),0)+IFERROR(VALUE(TRIM(MID(SUBSTITUTE(SUBSTITUTE(SUBSTITUTE(UPPER($T472)," ",""),"P",""),";",REPT(" ",30)),61,30))),0)+IFERROR(VALUE(TRIM(MID(SUBSTITUTE(SUBSTITUTE(SUBSTITUTE(UPPER($T472)," ",""),"P",""),";",REPT(" ",30)),91,30))),0)+IFERROR(VALUE(TRIM(MID(SUBSTITUTE(SUBSTITUTE(SUBSTITUTE(UPPER($T472)," ",""),"P",""),";",REPT(" ",30)),121,30))),0)+IFERROR(VALUE(TRIM(MID(SUBSTITUTE(SUBSTITUTE(SUBSTITUTE(UPPER($T472)," ",""),"P",""),";",REPT(" ",30)),151,30))),0)+IFERROR(VALUE(TRIM(MID(SUBSTITUTE(SUBSTITUTE(SUBSTITUTE(UPPER($T472)," ",""),"P",""),";",REPT(" ",30)),181,30))),0)+IFERROR(VALUE(TRIM(MID(SUBSTITUTE(SUBSTITUTE(SUBSTITUTE(UPPER($T472)," ",""),"P",""),";",REPT(" ",30)),211,30))),0)))))</f>
        <v/>
      </c>
      <c r="W472" s="26" t="n"/>
      <c r="X472" s="13" t="n"/>
    </row>
    <row r="473">
      <c r="A473" s="6">
        <f>IF($C473="","",94)</f>
        <v/>
      </c>
      <c r="B473" s="6">
        <f>IF($C473="","","5ª Sessão")</f>
        <v/>
      </c>
      <c r="C473" s="6">
        <f>IF(Preenchimento!$B$103="","",Preenchimento!$B$103)</f>
        <v/>
      </c>
      <c r="D473" s="6">
        <f>IF($C473="","",IF(Preenchimento!$C$103="","-",Preenchimento!$C$103))</f>
        <v/>
      </c>
      <c r="E473" s="6" t="n"/>
      <c r="F473" s="6" t="n"/>
      <c r="G473" s="26" t="n"/>
      <c r="H473" s="6" t="n"/>
      <c r="I473" s="13" t="n"/>
      <c r="J473" s="27">
        <f>IF($C473="","",IF($E473="Falta","-",MAX(0,MIN(10,8+IFERROR(VALUE(TRIM(MID(SUBSTITUTE(SUBSTITUTE(SUBSTITUTE(UPPER($H473)," ",""),"D",""),";",REPT(" ",30)),1,30))),0)+IFERROR(VALUE(TRIM(MID(SUBSTITUTE(SUBSTITUTE(SUBSTITUTE(UPPER($H473)," ",""),"D",""),";",REPT(" ",30)),31,30))),0)+IFERROR(VALUE(TRIM(MID(SUBSTITUTE(SUBSTITUTE(SUBSTITUTE(UPPER($H473)," ",""),"D",""),";",REPT(" ",30)),61,30))),0)+IFERROR(VALUE(TRIM(MID(SUBSTITUTE(SUBSTITUTE(SUBSTITUTE(UPPER($H473)," ",""),"D",""),";",REPT(" ",30)),91,30))),0)+IFERROR(VALUE(TRIM(MID(SUBSTITUTE(SUBSTITUTE(SUBSTITUTE(UPPER($H473)," ",""),"D",""),";",REPT(" ",30)),121,30))),0)+IFERROR(VALUE(TRIM(MID(SUBSTITUTE(SUBSTITUTE(SUBSTITUTE(UPPER($H473)," ",""),"D",""),";",REPT(" ",30)),151,30))),0)+IFERROR(VALUE(TRIM(MID(SUBSTITUTE(SUBSTITUTE(SUBSTITUTE(UPPER($H473)," ",""),"D",""),";",REPT(" ",30)),181,30))),0)+IFERROR(VALUE(TRIM(MID(SUBSTITUTE(SUBSTITUTE(SUBSTITUTE(UPPER($H473)," ",""),"D",""),";",REPT(" ",30)),211,30))),0)))))</f>
        <v/>
      </c>
      <c r="K473" s="26" t="n"/>
      <c r="L473" s="6" t="n"/>
      <c r="M473" s="13" t="n"/>
      <c r="N473" s="27">
        <f>IF($C473="","",IF($E473="Falta","-",MAX(0,MIN(10,8+IFERROR(VALUE(TRIM(MID(SUBSTITUTE(SUBSTITUTE(SUBSTITUTE(UPPER($L473)," ",""),"F",""),";",REPT(" ",30)),1,30))),0)+IFERROR(VALUE(TRIM(MID(SUBSTITUTE(SUBSTITUTE(SUBSTITUTE(UPPER($L473)," ",""),"F",""),";",REPT(" ",30)),31,30))),0)+IFERROR(VALUE(TRIM(MID(SUBSTITUTE(SUBSTITUTE(SUBSTITUTE(UPPER($L473)," ",""),"F",""),";",REPT(" ",30)),61,30))),0)+IFERROR(VALUE(TRIM(MID(SUBSTITUTE(SUBSTITUTE(SUBSTITUTE(UPPER($L473)," ",""),"F",""),";",REPT(" ",30)),91,30))),0)+IFERROR(VALUE(TRIM(MID(SUBSTITUTE(SUBSTITUTE(SUBSTITUTE(UPPER($L473)," ",""),"F",""),";",REPT(" ",30)),121,30))),0)+IFERROR(VALUE(TRIM(MID(SUBSTITUTE(SUBSTITUTE(SUBSTITUTE(UPPER($L473)," ",""),"F",""),";",REPT(" ",30)),151,30))),0)+IFERROR(VALUE(TRIM(MID(SUBSTITUTE(SUBSTITUTE(SUBSTITUTE(UPPER($L473)," ",""),"F",""),";",REPT(" ",30)),181,30))),0)+IFERROR(VALUE(TRIM(MID(SUBSTITUTE(SUBSTITUTE(SUBSTITUTE(UPPER($L473)," ",""),"F",""),";",REPT(" ",30)),211,30))),0)))))</f>
        <v/>
      </c>
      <c r="O473" s="26" t="n"/>
      <c r="P473" s="6" t="n"/>
      <c r="Q473" s="13" t="n"/>
      <c r="R473" s="27">
        <f>IF($C473="","",IF($E473="Falta","-",MAX(0,MIN(10,5+IFERROR(VALUE(TRIM(MID(SUBSTITUTE(SUBSTITUTE(SUBSTITUTE(UPPER($P473)," ",""),"C",""),";",REPT(" ",30)),1,30))),0)+IFERROR(VALUE(TRIM(MID(SUBSTITUTE(SUBSTITUTE(SUBSTITUTE(UPPER($P473)," ",""),"C",""),";",REPT(" ",30)),31,30))),0)+IFERROR(VALUE(TRIM(MID(SUBSTITUTE(SUBSTITUTE(SUBSTITUTE(UPPER($P473)," ",""),"C",""),";",REPT(" ",30)),61,30))),0)+IFERROR(VALUE(TRIM(MID(SUBSTITUTE(SUBSTITUTE(SUBSTITUTE(UPPER($P473)," ",""),"C",""),";",REPT(" ",30)),91,30))),0)+IFERROR(VALUE(TRIM(MID(SUBSTITUTE(SUBSTITUTE(SUBSTITUTE(UPPER($P473)," ",""),"C",""),";",REPT(" ",30)),121,30))),0)+IFERROR(VALUE(TRIM(MID(SUBSTITUTE(SUBSTITUTE(SUBSTITUTE(UPPER($P473)," ",""),"C",""),";",REPT(" ",30)),151,30))),0)+IFERROR(VALUE(TRIM(MID(SUBSTITUTE(SUBSTITUTE(SUBSTITUTE(UPPER($P473)," ",""),"C",""),";",REPT(" ",30)),181,30))),0)+IFERROR(VALUE(TRIM(MID(SUBSTITUTE(SUBSTITUTE(SUBSTITUTE(UPPER($P473)," ",""),"C",""),";",REPT(" ",30)),211,30))),0)))))</f>
        <v/>
      </c>
      <c r="S473" s="26" t="n"/>
      <c r="T473" s="6" t="n"/>
      <c r="U473" s="13" t="n"/>
      <c r="V473" s="27">
        <f>IF($C473="","",IF($E473="Falta","-",MAX(0,MIN(10,5+IFERROR(VALUE(TRIM(MID(SUBSTITUTE(SUBSTITUTE(SUBSTITUTE(UPPER($T473)," ",""),"P",""),";",REPT(" ",30)),1,30))),0)+IFERROR(VALUE(TRIM(MID(SUBSTITUTE(SUBSTITUTE(SUBSTITUTE(UPPER($T473)," ",""),"P",""),";",REPT(" ",30)),31,30))),0)+IFERROR(VALUE(TRIM(MID(SUBSTITUTE(SUBSTITUTE(SUBSTITUTE(UPPER($T473)," ",""),"P",""),";",REPT(" ",30)),61,30))),0)+IFERROR(VALUE(TRIM(MID(SUBSTITUTE(SUBSTITUTE(SUBSTITUTE(UPPER($T473)," ",""),"P",""),";",REPT(" ",30)),91,30))),0)+IFERROR(VALUE(TRIM(MID(SUBSTITUTE(SUBSTITUTE(SUBSTITUTE(UPPER($T473)," ",""),"P",""),";",REPT(" ",30)),121,30))),0)+IFERROR(VALUE(TRIM(MID(SUBSTITUTE(SUBSTITUTE(SUBSTITUTE(UPPER($T473)," ",""),"P",""),";",REPT(" ",30)),151,30))),0)+IFERROR(VALUE(TRIM(MID(SUBSTITUTE(SUBSTITUTE(SUBSTITUTE(UPPER($T473)," ",""),"P",""),";",REPT(" ",30)),181,30))),0)+IFERROR(VALUE(TRIM(MID(SUBSTITUTE(SUBSTITUTE(SUBSTITUTE(UPPER($T473)," ",""),"P",""),";",REPT(" ",30)),211,30))),0)))))</f>
        <v/>
      </c>
      <c r="W473" s="26" t="n"/>
      <c r="X473" s="13" t="n"/>
    </row>
    <row r="474">
      <c r="A474" s="8">
        <f>IF($C474="","",95)</f>
        <v/>
      </c>
      <c r="B474" s="8">
        <f>IF($C474="","","1ª Sessão")</f>
        <v/>
      </c>
      <c r="C474" s="8">
        <f>IF(Preenchimento!$B$104="","",Preenchimento!$B$104)</f>
        <v/>
      </c>
      <c r="D474" s="8">
        <f>IF($C474="","",IF(Preenchimento!$C$104="","-",Preenchimento!$C$104))</f>
        <v/>
      </c>
      <c r="E474" s="8" t="n"/>
      <c r="F474" s="8" t="n"/>
      <c r="G474" s="24" t="n"/>
      <c r="H474" s="8" t="n"/>
      <c r="I474" s="14" t="n"/>
      <c r="J474" s="25">
        <f>IF($C474="","",IF($E474="Falta","-",MAX(0,MIN(10,8+IFERROR(VALUE(TRIM(MID(SUBSTITUTE(SUBSTITUTE(SUBSTITUTE(UPPER($H474)," ",""),"D",""),";",REPT(" ",30)),1,30))),0)+IFERROR(VALUE(TRIM(MID(SUBSTITUTE(SUBSTITUTE(SUBSTITUTE(UPPER($H474)," ",""),"D",""),";",REPT(" ",30)),31,30))),0)+IFERROR(VALUE(TRIM(MID(SUBSTITUTE(SUBSTITUTE(SUBSTITUTE(UPPER($H474)," ",""),"D",""),";",REPT(" ",30)),61,30))),0)+IFERROR(VALUE(TRIM(MID(SUBSTITUTE(SUBSTITUTE(SUBSTITUTE(UPPER($H474)," ",""),"D",""),";",REPT(" ",30)),91,30))),0)+IFERROR(VALUE(TRIM(MID(SUBSTITUTE(SUBSTITUTE(SUBSTITUTE(UPPER($H474)," ",""),"D",""),";",REPT(" ",30)),121,30))),0)+IFERROR(VALUE(TRIM(MID(SUBSTITUTE(SUBSTITUTE(SUBSTITUTE(UPPER($H474)," ",""),"D",""),";",REPT(" ",30)),151,30))),0)+IFERROR(VALUE(TRIM(MID(SUBSTITUTE(SUBSTITUTE(SUBSTITUTE(UPPER($H474)," ",""),"D",""),";",REPT(" ",30)),181,30))),0)+IFERROR(VALUE(TRIM(MID(SUBSTITUTE(SUBSTITUTE(SUBSTITUTE(UPPER($H474)," ",""),"D",""),";",REPT(" ",30)),211,30))),0)))))</f>
        <v/>
      </c>
      <c r="K474" s="24" t="n"/>
      <c r="L474" s="8" t="n"/>
      <c r="M474" s="14" t="n"/>
      <c r="N474" s="25">
        <f>IF($C474="","",IF($E474="Falta","-",MAX(0,MIN(10,8+IFERROR(VALUE(TRIM(MID(SUBSTITUTE(SUBSTITUTE(SUBSTITUTE(UPPER($L474)," ",""),"F",""),";",REPT(" ",30)),1,30))),0)+IFERROR(VALUE(TRIM(MID(SUBSTITUTE(SUBSTITUTE(SUBSTITUTE(UPPER($L474)," ",""),"F",""),";",REPT(" ",30)),31,30))),0)+IFERROR(VALUE(TRIM(MID(SUBSTITUTE(SUBSTITUTE(SUBSTITUTE(UPPER($L474)," ",""),"F",""),";",REPT(" ",30)),61,30))),0)+IFERROR(VALUE(TRIM(MID(SUBSTITUTE(SUBSTITUTE(SUBSTITUTE(UPPER($L474)," ",""),"F",""),";",REPT(" ",30)),91,30))),0)+IFERROR(VALUE(TRIM(MID(SUBSTITUTE(SUBSTITUTE(SUBSTITUTE(UPPER($L474)," ",""),"F",""),";",REPT(" ",30)),121,30))),0)+IFERROR(VALUE(TRIM(MID(SUBSTITUTE(SUBSTITUTE(SUBSTITUTE(UPPER($L474)," ",""),"F",""),";",REPT(" ",30)),151,30))),0)+IFERROR(VALUE(TRIM(MID(SUBSTITUTE(SUBSTITUTE(SUBSTITUTE(UPPER($L474)," ",""),"F",""),";",REPT(" ",30)),181,30))),0)+IFERROR(VALUE(TRIM(MID(SUBSTITUTE(SUBSTITUTE(SUBSTITUTE(UPPER($L474)," ",""),"F",""),";",REPT(" ",30)),211,30))),0)))))</f>
        <v/>
      </c>
      <c r="O474" s="24" t="n"/>
      <c r="P474" s="8" t="n"/>
      <c r="Q474" s="14" t="n"/>
      <c r="R474" s="25">
        <f>IF($C474="","",IF($E474="Falta","-",MAX(0,MIN(10,5+IFERROR(VALUE(TRIM(MID(SUBSTITUTE(SUBSTITUTE(SUBSTITUTE(UPPER($P474)," ",""),"C",""),";",REPT(" ",30)),1,30))),0)+IFERROR(VALUE(TRIM(MID(SUBSTITUTE(SUBSTITUTE(SUBSTITUTE(UPPER($P474)," ",""),"C",""),";",REPT(" ",30)),31,30))),0)+IFERROR(VALUE(TRIM(MID(SUBSTITUTE(SUBSTITUTE(SUBSTITUTE(UPPER($P474)," ",""),"C",""),";",REPT(" ",30)),61,30))),0)+IFERROR(VALUE(TRIM(MID(SUBSTITUTE(SUBSTITUTE(SUBSTITUTE(UPPER($P474)," ",""),"C",""),";",REPT(" ",30)),91,30))),0)+IFERROR(VALUE(TRIM(MID(SUBSTITUTE(SUBSTITUTE(SUBSTITUTE(UPPER($P474)," ",""),"C",""),";",REPT(" ",30)),121,30))),0)+IFERROR(VALUE(TRIM(MID(SUBSTITUTE(SUBSTITUTE(SUBSTITUTE(UPPER($P474)," ",""),"C",""),";",REPT(" ",30)),151,30))),0)+IFERROR(VALUE(TRIM(MID(SUBSTITUTE(SUBSTITUTE(SUBSTITUTE(UPPER($P474)," ",""),"C",""),";",REPT(" ",30)),181,30))),0)+IFERROR(VALUE(TRIM(MID(SUBSTITUTE(SUBSTITUTE(SUBSTITUTE(UPPER($P474)," ",""),"C",""),";",REPT(" ",30)),211,30))),0)))))</f>
        <v/>
      </c>
      <c r="S474" s="24" t="n"/>
      <c r="T474" s="8" t="n"/>
      <c r="U474" s="14" t="n"/>
      <c r="V474" s="25">
        <f>IF($C474="","",IF($E474="Falta","-",MAX(0,MIN(10,5+IFERROR(VALUE(TRIM(MID(SUBSTITUTE(SUBSTITUTE(SUBSTITUTE(UPPER($T474)," ",""),"P",""),";",REPT(" ",30)),1,30))),0)+IFERROR(VALUE(TRIM(MID(SUBSTITUTE(SUBSTITUTE(SUBSTITUTE(UPPER($T474)," ",""),"P",""),";",REPT(" ",30)),31,30))),0)+IFERROR(VALUE(TRIM(MID(SUBSTITUTE(SUBSTITUTE(SUBSTITUTE(UPPER($T474)," ",""),"P",""),";",REPT(" ",30)),61,30))),0)+IFERROR(VALUE(TRIM(MID(SUBSTITUTE(SUBSTITUTE(SUBSTITUTE(UPPER($T474)," ",""),"P",""),";",REPT(" ",30)),91,30))),0)+IFERROR(VALUE(TRIM(MID(SUBSTITUTE(SUBSTITUTE(SUBSTITUTE(UPPER($T474)," ",""),"P",""),";",REPT(" ",30)),121,30))),0)+IFERROR(VALUE(TRIM(MID(SUBSTITUTE(SUBSTITUTE(SUBSTITUTE(UPPER($T474)," ",""),"P",""),";",REPT(" ",30)),151,30))),0)+IFERROR(VALUE(TRIM(MID(SUBSTITUTE(SUBSTITUTE(SUBSTITUTE(UPPER($T474)," ",""),"P",""),";",REPT(" ",30)),181,30))),0)+IFERROR(VALUE(TRIM(MID(SUBSTITUTE(SUBSTITUTE(SUBSTITUTE(UPPER($T474)," ",""),"P",""),";",REPT(" ",30)),211,30))),0)))))</f>
        <v/>
      </c>
      <c r="W474" s="24" t="n"/>
      <c r="X474" s="14" t="n"/>
    </row>
    <row r="475">
      <c r="A475" s="8">
        <f>IF($C475="","",95)</f>
        <v/>
      </c>
      <c r="B475" s="8">
        <f>IF($C475="","","2ª Sessão")</f>
        <v/>
      </c>
      <c r="C475" s="8">
        <f>IF(Preenchimento!$B$104="","",Preenchimento!$B$104)</f>
        <v/>
      </c>
      <c r="D475" s="8">
        <f>IF($C475="","",IF(Preenchimento!$C$104="","-",Preenchimento!$C$104))</f>
        <v/>
      </c>
      <c r="E475" s="8" t="n"/>
      <c r="F475" s="8" t="n"/>
      <c r="G475" s="24" t="n"/>
      <c r="H475" s="8" t="n"/>
      <c r="I475" s="14" t="n"/>
      <c r="J475" s="25">
        <f>IF($C475="","",IF($E475="Falta","-",MAX(0,MIN(10,8+IFERROR(VALUE(TRIM(MID(SUBSTITUTE(SUBSTITUTE(SUBSTITUTE(UPPER($H475)," ",""),"D",""),";",REPT(" ",30)),1,30))),0)+IFERROR(VALUE(TRIM(MID(SUBSTITUTE(SUBSTITUTE(SUBSTITUTE(UPPER($H475)," ",""),"D",""),";",REPT(" ",30)),31,30))),0)+IFERROR(VALUE(TRIM(MID(SUBSTITUTE(SUBSTITUTE(SUBSTITUTE(UPPER($H475)," ",""),"D",""),";",REPT(" ",30)),61,30))),0)+IFERROR(VALUE(TRIM(MID(SUBSTITUTE(SUBSTITUTE(SUBSTITUTE(UPPER($H475)," ",""),"D",""),";",REPT(" ",30)),91,30))),0)+IFERROR(VALUE(TRIM(MID(SUBSTITUTE(SUBSTITUTE(SUBSTITUTE(UPPER($H475)," ",""),"D",""),";",REPT(" ",30)),121,30))),0)+IFERROR(VALUE(TRIM(MID(SUBSTITUTE(SUBSTITUTE(SUBSTITUTE(UPPER($H475)," ",""),"D",""),";",REPT(" ",30)),151,30))),0)+IFERROR(VALUE(TRIM(MID(SUBSTITUTE(SUBSTITUTE(SUBSTITUTE(UPPER($H475)," ",""),"D",""),";",REPT(" ",30)),181,30))),0)+IFERROR(VALUE(TRIM(MID(SUBSTITUTE(SUBSTITUTE(SUBSTITUTE(UPPER($H475)," ",""),"D",""),";",REPT(" ",30)),211,30))),0)))))</f>
        <v/>
      </c>
      <c r="K475" s="24" t="n"/>
      <c r="L475" s="8" t="n"/>
      <c r="M475" s="14" t="n"/>
      <c r="N475" s="25">
        <f>IF($C475="","",IF($E475="Falta","-",MAX(0,MIN(10,8+IFERROR(VALUE(TRIM(MID(SUBSTITUTE(SUBSTITUTE(SUBSTITUTE(UPPER($L475)," ",""),"F",""),";",REPT(" ",30)),1,30))),0)+IFERROR(VALUE(TRIM(MID(SUBSTITUTE(SUBSTITUTE(SUBSTITUTE(UPPER($L475)," ",""),"F",""),";",REPT(" ",30)),31,30))),0)+IFERROR(VALUE(TRIM(MID(SUBSTITUTE(SUBSTITUTE(SUBSTITUTE(UPPER($L475)," ",""),"F",""),";",REPT(" ",30)),61,30))),0)+IFERROR(VALUE(TRIM(MID(SUBSTITUTE(SUBSTITUTE(SUBSTITUTE(UPPER($L475)," ",""),"F",""),";",REPT(" ",30)),91,30))),0)+IFERROR(VALUE(TRIM(MID(SUBSTITUTE(SUBSTITUTE(SUBSTITUTE(UPPER($L475)," ",""),"F",""),";",REPT(" ",30)),121,30))),0)+IFERROR(VALUE(TRIM(MID(SUBSTITUTE(SUBSTITUTE(SUBSTITUTE(UPPER($L475)," ",""),"F",""),";",REPT(" ",30)),151,30))),0)+IFERROR(VALUE(TRIM(MID(SUBSTITUTE(SUBSTITUTE(SUBSTITUTE(UPPER($L475)," ",""),"F",""),";",REPT(" ",30)),181,30))),0)+IFERROR(VALUE(TRIM(MID(SUBSTITUTE(SUBSTITUTE(SUBSTITUTE(UPPER($L475)," ",""),"F",""),";",REPT(" ",30)),211,30))),0)))))</f>
        <v/>
      </c>
      <c r="O475" s="24" t="n"/>
      <c r="P475" s="8" t="n"/>
      <c r="Q475" s="14" t="n"/>
      <c r="R475" s="25">
        <f>IF($C475="","",IF($E475="Falta","-",MAX(0,MIN(10,5+IFERROR(VALUE(TRIM(MID(SUBSTITUTE(SUBSTITUTE(SUBSTITUTE(UPPER($P475)," ",""),"C",""),";",REPT(" ",30)),1,30))),0)+IFERROR(VALUE(TRIM(MID(SUBSTITUTE(SUBSTITUTE(SUBSTITUTE(UPPER($P475)," ",""),"C",""),";",REPT(" ",30)),31,30))),0)+IFERROR(VALUE(TRIM(MID(SUBSTITUTE(SUBSTITUTE(SUBSTITUTE(UPPER($P475)," ",""),"C",""),";",REPT(" ",30)),61,30))),0)+IFERROR(VALUE(TRIM(MID(SUBSTITUTE(SUBSTITUTE(SUBSTITUTE(UPPER($P475)," ",""),"C",""),";",REPT(" ",30)),91,30))),0)+IFERROR(VALUE(TRIM(MID(SUBSTITUTE(SUBSTITUTE(SUBSTITUTE(UPPER($P475)," ",""),"C",""),";",REPT(" ",30)),121,30))),0)+IFERROR(VALUE(TRIM(MID(SUBSTITUTE(SUBSTITUTE(SUBSTITUTE(UPPER($P475)," ",""),"C",""),";",REPT(" ",30)),151,30))),0)+IFERROR(VALUE(TRIM(MID(SUBSTITUTE(SUBSTITUTE(SUBSTITUTE(UPPER($P475)," ",""),"C",""),";",REPT(" ",30)),181,30))),0)+IFERROR(VALUE(TRIM(MID(SUBSTITUTE(SUBSTITUTE(SUBSTITUTE(UPPER($P475)," ",""),"C",""),";",REPT(" ",30)),211,30))),0)))))</f>
        <v/>
      </c>
      <c r="S475" s="24" t="n"/>
      <c r="T475" s="8" t="n"/>
      <c r="U475" s="14" t="n"/>
      <c r="V475" s="25">
        <f>IF($C475="","",IF($E475="Falta","-",MAX(0,MIN(10,5+IFERROR(VALUE(TRIM(MID(SUBSTITUTE(SUBSTITUTE(SUBSTITUTE(UPPER($T475)," ",""),"P",""),";",REPT(" ",30)),1,30))),0)+IFERROR(VALUE(TRIM(MID(SUBSTITUTE(SUBSTITUTE(SUBSTITUTE(UPPER($T475)," ",""),"P",""),";",REPT(" ",30)),31,30))),0)+IFERROR(VALUE(TRIM(MID(SUBSTITUTE(SUBSTITUTE(SUBSTITUTE(UPPER($T475)," ",""),"P",""),";",REPT(" ",30)),61,30))),0)+IFERROR(VALUE(TRIM(MID(SUBSTITUTE(SUBSTITUTE(SUBSTITUTE(UPPER($T475)," ",""),"P",""),";",REPT(" ",30)),91,30))),0)+IFERROR(VALUE(TRIM(MID(SUBSTITUTE(SUBSTITUTE(SUBSTITUTE(UPPER($T475)," ",""),"P",""),";",REPT(" ",30)),121,30))),0)+IFERROR(VALUE(TRIM(MID(SUBSTITUTE(SUBSTITUTE(SUBSTITUTE(UPPER($T475)," ",""),"P",""),";",REPT(" ",30)),151,30))),0)+IFERROR(VALUE(TRIM(MID(SUBSTITUTE(SUBSTITUTE(SUBSTITUTE(UPPER($T475)," ",""),"P",""),";",REPT(" ",30)),181,30))),0)+IFERROR(VALUE(TRIM(MID(SUBSTITUTE(SUBSTITUTE(SUBSTITUTE(UPPER($T475)," ",""),"P",""),";",REPT(" ",30)),211,30))),0)))))</f>
        <v/>
      </c>
      <c r="W475" s="24" t="n"/>
      <c r="X475" s="14" t="n"/>
    </row>
    <row r="476">
      <c r="A476" s="8">
        <f>IF($C476="","",95)</f>
        <v/>
      </c>
      <c r="B476" s="8">
        <f>IF($C476="","","3ª Sessão")</f>
        <v/>
      </c>
      <c r="C476" s="8">
        <f>IF(Preenchimento!$B$104="","",Preenchimento!$B$104)</f>
        <v/>
      </c>
      <c r="D476" s="8">
        <f>IF($C476="","",IF(Preenchimento!$C$104="","-",Preenchimento!$C$104))</f>
        <v/>
      </c>
      <c r="E476" s="8" t="n"/>
      <c r="F476" s="8" t="n"/>
      <c r="G476" s="24" t="n"/>
      <c r="H476" s="8" t="n"/>
      <c r="I476" s="14" t="n"/>
      <c r="J476" s="25">
        <f>IF($C476="","",IF($E476="Falta","-",MAX(0,MIN(10,8+IFERROR(VALUE(TRIM(MID(SUBSTITUTE(SUBSTITUTE(SUBSTITUTE(UPPER($H476)," ",""),"D",""),";",REPT(" ",30)),1,30))),0)+IFERROR(VALUE(TRIM(MID(SUBSTITUTE(SUBSTITUTE(SUBSTITUTE(UPPER($H476)," ",""),"D",""),";",REPT(" ",30)),31,30))),0)+IFERROR(VALUE(TRIM(MID(SUBSTITUTE(SUBSTITUTE(SUBSTITUTE(UPPER($H476)," ",""),"D",""),";",REPT(" ",30)),61,30))),0)+IFERROR(VALUE(TRIM(MID(SUBSTITUTE(SUBSTITUTE(SUBSTITUTE(UPPER($H476)," ",""),"D",""),";",REPT(" ",30)),91,30))),0)+IFERROR(VALUE(TRIM(MID(SUBSTITUTE(SUBSTITUTE(SUBSTITUTE(UPPER($H476)," ",""),"D",""),";",REPT(" ",30)),121,30))),0)+IFERROR(VALUE(TRIM(MID(SUBSTITUTE(SUBSTITUTE(SUBSTITUTE(UPPER($H476)," ",""),"D",""),";",REPT(" ",30)),151,30))),0)+IFERROR(VALUE(TRIM(MID(SUBSTITUTE(SUBSTITUTE(SUBSTITUTE(UPPER($H476)," ",""),"D",""),";",REPT(" ",30)),181,30))),0)+IFERROR(VALUE(TRIM(MID(SUBSTITUTE(SUBSTITUTE(SUBSTITUTE(UPPER($H476)," ",""),"D",""),";",REPT(" ",30)),211,30))),0)))))</f>
        <v/>
      </c>
      <c r="K476" s="24" t="n"/>
      <c r="L476" s="8" t="n"/>
      <c r="M476" s="14" t="n"/>
      <c r="N476" s="25">
        <f>IF($C476="","",IF($E476="Falta","-",MAX(0,MIN(10,8+IFERROR(VALUE(TRIM(MID(SUBSTITUTE(SUBSTITUTE(SUBSTITUTE(UPPER($L476)," ",""),"F",""),";",REPT(" ",30)),1,30))),0)+IFERROR(VALUE(TRIM(MID(SUBSTITUTE(SUBSTITUTE(SUBSTITUTE(UPPER($L476)," ",""),"F",""),";",REPT(" ",30)),31,30))),0)+IFERROR(VALUE(TRIM(MID(SUBSTITUTE(SUBSTITUTE(SUBSTITUTE(UPPER($L476)," ",""),"F",""),";",REPT(" ",30)),61,30))),0)+IFERROR(VALUE(TRIM(MID(SUBSTITUTE(SUBSTITUTE(SUBSTITUTE(UPPER($L476)," ",""),"F",""),";",REPT(" ",30)),91,30))),0)+IFERROR(VALUE(TRIM(MID(SUBSTITUTE(SUBSTITUTE(SUBSTITUTE(UPPER($L476)," ",""),"F",""),";",REPT(" ",30)),121,30))),0)+IFERROR(VALUE(TRIM(MID(SUBSTITUTE(SUBSTITUTE(SUBSTITUTE(UPPER($L476)," ",""),"F",""),";",REPT(" ",30)),151,30))),0)+IFERROR(VALUE(TRIM(MID(SUBSTITUTE(SUBSTITUTE(SUBSTITUTE(UPPER($L476)," ",""),"F",""),";",REPT(" ",30)),181,30))),0)+IFERROR(VALUE(TRIM(MID(SUBSTITUTE(SUBSTITUTE(SUBSTITUTE(UPPER($L476)," ",""),"F",""),";",REPT(" ",30)),211,30))),0)))))</f>
        <v/>
      </c>
      <c r="O476" s="24" t="n"/>
      <c r="P476" s="8" t="n"/>
      <c r="Q476" s="14" t="n"/>
      <c r="R476" s="25">
        <f>IF($C476="","",IF($E476="Falta","-",MAX(0,MIN(10,5+IFERROR(VALUE(TRIM(MID(SUBSTITUTE(SUBSTITUTE(SUBSTITUTE(UPPER($P476)," ",""),"C",""),";",REPT(" ",30)),1,30))),0)+IFERROR(VALUE(TRIM(MID(SUBSTITUTE(SUBSTITUTE(SUBSTITUTE(UPPER($P476)," ",""),"C",""),";",REPT(" ",30)),31,30))),0)+IFERROR(VALUE(TRIM(MID(SUBSTITUTE(SUBSTITUTE(SUBSTITUTE(UPPER($P476)," ",""),"C",""),";",REPT(" ",30)),61,30))),0)+IFERROR(VALUE(TRIM(MID(SUBSTITUTE(SUBSTITUTE(SUBSTITUTE(UPPER($P476)," ",""),"C",""),";",REPT(" ",30)),91,30))),0)+IFERROR(VALUE(TRIM(MID(SUBSTITUTE(SUBSTITUTE(SUBSTITUTE(UPPER($P476)," ",""),"C",""),";",REPT(" ",30)),121,30))),0)+IFERROR(VALUE(TRIM(MID(SUBSTITUTE(SUBSTITUTE(SUBSTITUTE(UPPER($P476)," ",""),"C",""),";",REPT(" ",30)),151,30))),0)+IFERROR(VALUE(TRIM(MID(SUBSTITUTE(SUBSTITUTE(SUBSTITUTE(UPPER($P476)," ",""),"C",""),";",REPT(" ",30)),181,30))),0)+IFERROR(VALUE(TRIM(MID(SUBSTITUTE(SUBSTITUTE(SUBSTITUTE(UPPER($P476)," ",""),"C",""),";",REPT(" ",30)),211,30))),0)))))</f>
        <v/>
      </c>
      <c r="S476" s="24" t="n"/>
      <c r="T476" s="8" t="n"/>
      <c r="U476" s="14" t="n"/>
      <c r="V476" s="25">
        <f>IF($C476="","",IF($E476="Falta","-",MAX(0,MIN(10,5+IFERROR(VALUE(TRIM(MID(SUBSTITUTE(SUBSTITUTE(SUBSTITUTE(UPPER($T476)," ",""),"P",""),";",REPT(" ",30)),1,30))),0)+IFERROR(VALUE(TRIM(MID(SUBSTITUTE(SUBSTITUTE(SUBSTITUTE(UPPER($T476)," ",""),"P",""),";",REPT(" ",30)),31,30))),0)+IFERROR(VALUE(TRIM(MID(SUBSTITUTE(SUBSTITUTE(SUBSTITUTE(UPPER($T476)," ",""),"P",""),";",REPT(" ",30)),61,30))),0)+IFERROR(VALUE(TRIM(MID(SUBSTITUTE(SUBSTITUTE(SUBSTITUTE(UPPER($T476)," ",""),"P",""),";",REPT(" ",30)),91,30))),0)+IFERROR(VALUE(TRIM(MID(SUBSTITUTE(SUBSTITUTE(SUBSTITUTE(UPPER($T476)," ",""),"P",""),";",REPT(" ",30)),121,30))),0)+IFERROR(VALUE(TRIM(MID(SUBSTITUTE(SUBSTITUTE(SUBSTITUTE(UPPER($T476)," ",""),"P",""),";",REPT(" ",30)),151,30))),0)+IFERROR(VALUE(TRIM(MID(SUBSTITUTE(SUBSTITUTE(SUBSTITUTE(UPPER($T476)," ",""),"P",""),";",REPT(" ",30)),181,30))),0)+IFERROR(VALUE(TRIM(MID(SUBSTITUTE(SUBSTITUTE(SUBSTITUTE(UPPER($T476)," ",""),"P",""),";",REPT(" ",30)),211,30))),0)))))</f>
        <v/>
      </c>
      <c r="W476" s="24" t="n"/>
      <c r="X476" s="14" t="n"/>
    </row>
    <row r="477">
      <c r="A477" s="8">
        <f>IF($C477="","",95)</f>
        <v/>
      </c>
      <c r="B477" s="8">
        <f>IF($C477="","","4ª Sessão")</f>
        <v/>
      </c>
      <c r="C477" s="8">
        <f>IF(Preenchimento!$B$104="","",Preenchimento!$B$104)</f>
        <v/>
      </c>
      <c r="D477" s="8">
        <f>IF($C477="","",IF(Preenchimento!$C$104="","-",Preenchimento!$C$104))</f>
        <v/>
      </c>
      <c r="E477" s="8" t="n"/>
      <c r="F477" s="8" t="n"/>
      <c r="G477" s="24" t="n"/>
      <c r="H477" s="8" t="n"/>
      <c r="I477" s="14" t="n"/>
      <c r="J477" s="25">
        <f>IF($C477="","",IF($E477="Falta","-",MAX(0,MIN(10,8+IFERROR(VALUE(TRIM(MID(SUBSTITUTE(SUBSTITUTE(SUBSTITUTE(UPPER($H477)," ",""),"D",""),";",REPT(" ",30)),1,30))),0)+IFERROR(VALUE(TRIM(MID(SUBSTITUTE(SUBSTITUTE(SUBSTITUTE(UPPER($H477)," ",""),"D",""),";",REPT(" ",30)),31,30))),0)+IFERROR(VALUE(TRIM(MID(SUBSTITUTE(SUBSTITUTE(SUBSTITUTE(UPPER($H477)," ",""),"D",""),";",REPT(" ",30)),61,30))),0)+IFERROR(VALUE(TRIM(MID(SUBSTITUTE(SUBSTITUTE(SUBSTITUTE(UPPER($H477)," ",""),"D",""),";",REPT(" ",30)),91,30))),0)+IFERROR(VALUE(TRIM(MID(SUBSTITUTE(SUBSTITUTE(SUBSTITUTE(UPPER($H477)," ",""),"D",""),";",REPT(" ",30)),121,30))),0)+IFERROR(VALUE(TRIM(MID(SUBSTITUTE(SUBSTITUTE(SUBSTITUTE(UPPER($H477)," ",""),"D",""),";",REPT(" ",30)),151,30))),0)+IFERROR(VALUE(TRIM(MID(SUBSTITUTE(SUBSTITUTE(SUBSTITUTE(UPPER($H477)," ",""),"D",""),";",REPT(" ",30)),181,30))),0)+IFERROR(VALUE(TRIM(MID(SUBSTITUTE(SUBSTITUTE(SUBSTITUTE(UPPER($H477)," ",""),"D",""),";",REPT(" ",30)),211,30))),0)))))</f>
        <v/>
      </c>
      <c r="K477" s="24" t="n"/>
      <c r="L477" s="8" t="n"/>
      <c r="M477" s="14" t="n"/>
      <c r="N477" s="25">
        <f>IF($C477="","",IF($E477="Falta","-",MAX(0,MIN(10,8+IFERROR(VALUE(TRIM(MID(SUBSTITUTE(SUBSTITUTE(SUBSTITUTE(UPPER($L477)," ",""),"F",""),";",REPT(" ",30)),1,30))),0)+IFERROR(VALUE(TRIM(MID(SUBSTITUTE(SUBSTITUTE(SUBSTITUTE(UPPER($L477)," ",""),"F",""),";",REPT(" ",30)),31,30))),0)+IFERROR(VALUE(TRIM(MID(SUBSTITUTE(SUBSTITUTE(SUBSTITUTE(UPPER($L477)," ",""),"F",""),";",REPT(" ",30)),61,30))),0)+IFERROR(VALUE(TRIM(MID(SUBSTITUTE(SUBSTITUTE(SUBSTITUTE(UPPER($L477)," ",""),"F",""),";",REPT(" ",30)),91,30))),0)+IFERROR(VALUE(TRIM(MID(SUBSTITUTE(SUBSTITUTE(SUBSTITUTE(UPPER($L477)," ",""),"F",""),";",REPT(" ",30)),121,30))),0)+IFERROR(VALUE(TRIM(MID(SUBSTITUTE(SUBSTITUTE(SUBSTITUTE(UPPER($L477)," ",""),"F",""),";",REPT(" ",30)),151,30))),0)+IFERROR(VALUE(TRIM(MID(SUBSTITUTE(SUBSTITUTE(SUBSTITUTE(UPPER($L477)," ",""),"F",""),";",REPT(" ",30)),181,30))),0)+IFERROR(VALUE(TRIM(MID(SUBSTITUTE(SUBSTITUTE(SUBSTITUTE(UPPER($L477)," ",""),"F",""),";",REPT(" ",30)),211,30))),0)))))</f>
        <v/>
      </c>
      <c r="O477" s="24" t="n"/>
      <c r="P477" s="8" t="n"/>
      <c r="Q477" s="14" t="n"/>
      <c r="R477" s="25">
        <f>IF($C477="","",IF($E477="Falta","-",MAX(0,MIN(10,5+IFERROR(VALUE(TRIM(MID(SUBSTITUTE(SUBSTITUTE(SUBSTITUTE(UPPER($P477)," ",""),"C",""),";",REPT(" ",30)),1,30))),0)+IFERROR(VALUE(TRIM(MID(SUBSTITUTE(SUBSTITUTE(SUBSTITUTE(UPPER($P477)," ",""),"C",""),";",REPT(" ",30)),31,30))),0)+IFERROR(VALUE(TRIM(MID(SUBSTITUTE(SUBSTITUTE(SUBSTITUTE(UPPER($P477)," ",""),"C",""),";",REPT(" ",30)),61,30))),0)+IFERROR(VALUE(TRIM(MID(SUBSTITUTE(SUBSTITUTE(SUBSTITUTE(UPPER($P477)," ",""),"C",""),";",REPT(" ",30)),91,30))),0)+IFERROR(VALUE(TRIM(MID(SUBSTITUTE(SUBSTITUTE(SUBSTITUTE(UPPER($P477)," ",""),"C",""),";",REPT(" ",30)),121,30))),0)+IFERROR(VALUE(TRIM(MID(SUBSTITUTE(SUBSTITUTE(SUBSTITUTE(UPPER($P477)," ",""),"C",""),";",REPT(" ",30)),151,30))),0)+IFERROR(VALUE(TRIM(MID(SUBSTITUTE(SUBSTITUTE(SUBSTITUTE(UPPER($P477)," ",""),"C",""),";",REPT(" ",30)),181,30))),0)+IFERROR(VALUE(TRIM(MID(SUBSTITUTE(SUBSTITUTE(SUBSTITUTE(UPPER($P477)," ",""),"C",""),";",REPT(" ",30)),211,30))),0)))))</f>
        <v/>
      </c>
      <c r="S477" s="24" t="n"/>
      <c r="T477" s="8" t="n"/>
      <c r="U477" s="14" t="n"/>
      <c r="V477" s="25">
        <f>IF($C477="","",IF($E477="Falta","-",MAX(0,MIN(10,5+IFERROR(VALUE(TRIM(MID(SUBSTITUTE(SUBSTITUTE(SUBSTITUTE(UPPER($T477)," ",""),"P",""),";",REPT(" ",30)),1,30))),0)+IFERROR(VALUE(TRIM(MID(SUBSTITUTE(SUBSTITUTE(SUBSTITUTE(UPPER($T477)," ",""),"P",""),";",REPT(" ",30)),31,30))),0)+IFERROR(VALUE(TRIM(MID(SUBSTITUTE(SUBSTITUTE(SUBSTITUTE(UPPER($T477)," ",""),"P",""),";",REPT(" ",30)),61,30))),0)+IFERROR(VALUE(TRIM(MID(SUBSTITUTE(SUBSTITUTE(SUBSTITUTE(UPPER($T477)," ",""),"P",""),";",REPT(" ",30)),91,30))),0)+IFERROR(VALUE(TRIM(MID(SUBSTITUTE(SUBSTITUTE(SUBSTITUTE(UPPER($T477)," ",""),"P",""),";",REPT(" ",30)),121,30))),0)+IFERROR(VALUE(TRIM(MID(SUBSTITUTE(SUBSTITUTE(SUBSTITUTE(UPPER($T477)," ",""),"P",""),";",REPT(" ",30)),151,30))),0)+IFERROR(VALUE(TRIM(MID(SUBSTITUTE(SUBSTITUTE(SUBSTITUTE(UPPER($T477)," ",""),"P",""),";",REPT(" ",30)),181,30))),0)+IFERROR(VALUE(TRIM(MID(SUBSTITUTE(SUBSTITUTE(SUBSTITUTE(UPPER($T477)," ",""),"P",""),";",REPT(" ",30)),211,30))),0)))))</f>
        <v/>
      </c>
      <c r="W477" s="24" t="n"/>
      <c r="X477" s="14" t="n"/>
    </row>
    <row r="478">
      <c r="A478" s="8">
        <f>IF($C478="","",95)</f>
        <v/>
      </c>
      <c r="B478" s="8">
        <f>IF($C478="","","5ª Sessão")</f>
        <v/>
      </c>
      <c r="C478" s="8">
        <f>IF(Preenchimento!$B$104="","",Preenchimento!$B$104)</f>
        <v/>
      </c>
      <c r="D478" s="8">
        <f>IF($C478="","",IF(Preenchimento!$C$104="","-",Preenchimento!$C$104))</f>
        <v/>
      </c>
      <c r="E478" s="8" t="n"/>
      <c r="F478" s="8" t="n"/>
      <c r="G478" s="24" t="n"/>
      <c r="H478" s="8" t="n"/>
      <c r="I478" s="14" t="n"/>
      <c r="J478" s="25">
        <f>IF($C478="","",IF($E478="Falta","-",MAX(0,MIN(10,8+IFERROR(VALUE(TRIM(MID(SUBSTITUTE(SUBSTITUTE(SUBSTITUTE(UPPER($H478)," ",""),"D",""),";",REPT(" ",30)),1,30))),0)+IFERROR(VALUE(TRIM(MID(SUBSTITUTE(SUBSTITUTE(SUBSTITUTE(UPPER($H478)," ",""),"D",""),";",REPT(" ",30)),31,30))),0)+IFERROR(VALUE(TRIM(MID(SUBSTITUTE(SUBSTITUTE(SUBSTITUTE(UPPER($H478)," ",""),"D",""),";",REPT(" ",30)),61,30))),0)+IFERROR(VALUE(TRIM(MID(SUBSTITUTE(SUBSTITUTE(SUBSTITUTE(UPPER($H478)," ",""),"D",""),";",REPT(" ",30)),91,30))),0)+IFERROR(VALUE(TRIM(MID(SUBSTITUTE(SUBSTITUTE(SUBSTITUTE(UPPER($H478)," ",""),"D",""),";",REPT(" ",30)),121,30))),0)+IFERROR(VALUE(TRIM(MID(SUBSTITUTE(SUBSTITUTE(SUBSTITUTE(UPPER($H478)," ",""),"D",""),";",REPT(" ",30)),151,30))),0)+IFERROR(VALUE(TRIM(MID(SUBSTITUTE(SUBSTITUTE(SUBSTITUTE(UPPER($H478)," ",""),"D",""),";",REPT(" ",30)),181,30))),0)+IFERROR(VALUE(TRIM(MID(SUBSTITUTE(SUBSTITUTE(SUBSTITUTE(UPPER($H478)," ",""),"D",""),";",REPT(" ",30)),211,30))),0)))))</f>
        <v/>
      </c>
      <c r="K478" s="24" t="n"/>
      <c r="L478" s="8" t="n"/>
      <c r="M478" s="14" t="n"/>
      <c r="N478" s="25">
        <f>IF($C478="","",IF($E478="Falta","-",MAX(0,MIN(10,8+IFERROR(VALUE(TRIM(MID(SUBSTITUTE(SUBSTITUTE(SUBSTITUTE(UPPER($L478)," ",""),"F",""),";",REPT(" ",30)),1,30))),0)+IFERROR(VALUE(TRIM(MID(SUBSTITUTE(SUBSTITUTE(SUBSTITUTE(UPPER($L478)," ",""),"F",""),";",REPT(" ",30)),31,30))),0)+IFERROR(VALUE(TRIM(MID(SUBSTITUTE(SUBSTITUTE(SUBSTITUTE(UPPER($L478)," ",""),"F",""),";",REPT(" ",30)),61,30))),0)+IFERROR(VALUE(TRIM(MID(SUBSTITUTE(SUBSTITUTE(SUBSTITUTE(UPPER($L478)," ",""),"F",""),";",REPT(" ",30)),91,30))),0)+IFERROR(VALUE(TRIM(MID(SUBSTITUTE(SUBSTITUTE(SUBSTITUTE(UPPER($L478)," ",""),"F",""),";",REPT(" ",30)),121,30))),0)+IFERROR(VALUE(TRIM(MID(SUBSTITUTE(SUBSTITUTE(SUBSTITUTE(UPPER($L478)," ",""),"F",""),";",REPT(" ",30)),151,30))),0)+IFERROR(VALUE(TRIM(MID(SUBSTITUTE(SUBSTITUTE(SUBSTITUTE(UPPER($L478)," ",""),"F",""),";",REPT(" ",30)),181,30))),0)+IFERROR(VALUE(TRIM(MID(SUBSTITUTE(SUBSTITUTE(SUBSTITUTE(UPPER($L478)," ",""),"F",""),";",REPT(" ",30)),211,30))),0)))))</f>
        <v/>
      </c>
      <c r="O478" s="24" t="n"/>
      <c r="P478" s="8" t="n"/>
      <c r="Q478" s="14" t="n"/>
      <c r="R478" s="25">
        <f>IF($C478="","",IF($E478="Falta","-",MAX(0,MIN(10,5+IFERROR(VALUE(TRIM(MID(SUBSTITUTE(SUBSTITUTE(SUBSTITUTE(UPPER($P478)," ",""),"C",""),";",REPT(" ",30)),1,30))),0)+IFERROR(VALUE(TRIM(MID(SUBSTITUTE(SUBSTITUTE(SUBSTITUTE(UPPER($P478)," ",""),"C",""),";",REPT(" ",30)),31,30))),0)+IFERROR(VALUE(TRIM(MID(SUBSTITUTE(SUBSTITUTE(SUBSTITUTE(UPPER($P478)," ",""),"C",""),";",REPT(" ",30)),61,30))),0)+IFERROR(VALUE(TRIM(MID(SUBSTITUTE(SUBSTITUTE(SUBSTITUTE(UPPER($P478)," ",""),"C",""),";",REPT(" ",30)),91,30))),0)+IFERROR(VALUE(TRIM(MID(SUBSTITUTE(SUBSTITUTE(SUBSTITUTE(UPPER($P478)," ",""),"C",""),";",REPT(" ",30)),121,30))),0)+IFERROR(VALUE(TRIM(MID(SUBSTITUTE(SUBSTITUTE(SUBSTITUTE(UPPER($P478)," ",""),"C",""),";",REPT(" ",30)),151,30))),0)+IFERROR(VALUE(TRIM(MID(SUBSTITUTE(SUBSTITUTE(SUBSTITUTE(UPPER($P478)," ",""),"C",""),";",REPT(" ",30)),181,30))),0)+IFERROR(VALUE(TRIM(MID(SUBSTITUTE(SUBSTITUTE(SUBSTITUTE(UPPER($P478)," ",""),"C",""),";",REPT(" ",30)),211,30))),0)))))</f>
        <v/>
      </c>
      <c r="S478" s="24" t="n"/>
      <c r="T478" s="8" t="n"/>
      <c r="U478" s="14" t="n"/>
      <c r="V478" s="25">
        <f>IF($C478="","",IF($E478="Falta","-",MAX(0,MIN(10,5+IFERROR(VALUE(TRIM(MID(SUBSTITUTE(SUBSTITUTE(SUBSTITUTE(UPPER($T478)," ",""),"P",""),";",REPT(" ",30)),1,30))),0)+IFERROR(VALUE(TRIM(MID(SUBSTITUTE(SUBSTITUTE(SUBSTITUTE(UPPER($T478)," ",""),"P",""),";",REPT(" ",30)),31,30))),0)+IFERROR(VALUE(TRIM(MID(SUBSTITUTE(SUBSTITUTE(SUBSTITUTE(UPPER($T478)," ",""),"P",""),";",REPT(" ",30)),61,30))),0)+IFERROR(VALUE(TRIM(MID(SUBSTITUTE(SUBSTITUTE(SUBSTITUTE(UPPER($T478)," ",""),"P",""),";",REPT(" ",30)),91,30))),0)+IFERROR(VALUE(TRIM(MID(SUBSTITUTE(SUBSTITUTE(SUBSTITUTE(UPPER($T478)," ",""),"P",""),";",REPT(" ",30)),121,30))),0)+IFERROR(VALUE(TRIM(MID(SUBSTITUTE(SUBSTITUTE(SUBSTITUTE(UPPER($T478)," ",""),"P",""),";",REPT(" ",30)),151,30))),0)+IFERROR(VALUE(TRIM(MID(SUBSTITUTE(SUBSTITUTE(SUBSTITUTE(UPPER($T478)," ",""),"P",""),";",REPT(" ",30)),181,30))),0)+IFERROR(VALUE(TRIM(MID(SUBSTITUTE(SUBSTITUTE(SUBSTITUTE(UPPER($T478)," ",""),"P",""),";",REPT(" ",30)),211,30))),0)))))</f>
        <v/>
      </c>
      <c r="W478" s="24" t="n"/>
      <c r="X478" s="14" t="n"/>
    </row>
    <row r="479">
      <c r="A479" s="6">
        <f>IF($C479="","",96)</f>
        <v/>
      </c>
      <c r="B479" s="6">
        <f>IF($C479="","","1ª Sessão")</f>
        <v/>
      </c>
      <c r="C479" s="6">
        <f>IF(Preenchimento!$B$105="","",Preenchimento!$B$105)</f>
        <v/>
      </c>
      <c r="D479" s="6">
        <f>IF($C479="","",IF(Preenchimento!$C$105="","-",Preenchimento!$C$105))</f>
        <v/>
      </c>
      <c r="E479" s="6" t="n"/>
      <c r="F479" s="6" t="n"/>
      <c r="G479" s="26" t="n"/>
      <c r="H479" s="6" t="n"/>
      <c r="I479" s="13" t="n"/>
      <c r="J479" s="27">
        <f>IF($C479="","",IF($E479="Falta","-",MAX(0,MIN(10,8+IFERROR(VALUE(TRIM(MID(SUBSTITUTE(SUBSTITUTE(SUBSTITUTE(UPPER($H479)," ",""),"D",""),";",REPT(" ",30)),1,30))),0)+IFERROR(VALUE(TRIM(MID(SUBSTITUTE(SUBSTITUTE(SUBSTITUTE(UPPER($H479)," ",""),"D",""),";",REPT(" ",30)),31,30))),0)+IFERROR(VALUE(TRIM(MID(SUBSTITUTE(SUBSTITUTE(SUBSTITUTE(UPPER($H479)," ",""),"D",""),";",REPT(" ",30)),61,30))),0)+IFERROR(VALUE(TRIM(MID(SUBSTITUTE(SUBSTITUTE(SUBSTITUTE(UPPER($H479)," ",""),"D",""),";",REPT(" ",30)),91,30))),0)+IFERROR(VALUE(TRIM(MID(SUBSTITUTE(SUBSTITUTE(SUBSTITUTE(UPPER($H479)," ",""),"D",""),";",REPT(" ",30)),121,30))),0)+IFERROR(VALUE(TRIM(MID(SUBSTITUTE(SUBSTITUTE(SUBSTITUTE(UPPER($H479)," ",""),"D",""),";",REPT(" ",30)),151,30))),0)+IFERROR(VALUE(TRIM(MID(SUBSTITUTE(SUBSTITUTE(SUBSTITUTE(UPPER($H479)," ",""),"D",""),";",REPT(" ",30)),181,30))),0)+IFERROR(VALUE(TRIM(MID(SUBSTITUTE(SUBSTITUTE(SUBSTITUTE(UPPER($H479)," ",""),"D",""),";",REPT(" ",30)),211,30))),0)))))</f>
        <v/>
      </c>
      <c r="K479" s="26" t="n"/>
      <c r="L479" s="6" t="n"/>
      <c r="M479" s="13" t="n"/>
      <c r="N479" s="27">
        <f>IF($C479="","",IF($E479="Falta","-",MAX(0,MIN(10,8+IFERROR(VALUE(TRIM(MID(SUBSTITUTE(SUBSTITUTE(SUBSTITUTE(UPPER($L479)," ",""),"F",""),";",REPT(" ",30)),1,30))),0)+IFERROR(VALUE(TRIM(MID(SUBSTITUTE(SUBSTITUTE(SUBSTITUTE(UPPER($L479)," ",""),"F",""),";",REPT(" ",30)),31,30))),0)+IFERROR(VALUE(TRIM(MID(SUBSTITUTE(SUBSTITUTE(SUBSTITUTE(UPPER($L479)," ",""),"F",""),";",REPT(" ",30)),61,30))),0)+IFERROR(VALUE(TRIM(MID(SUBSTITUTE(SUBSTITUTE(SUBSTITUTE(UPPER($L479)," ",""),"F",""),";",REPT(" ",30)),91,30))),0)+IFERROR(VALUE(TRIM(MID(SUBSTITUTE(SUBSTITUTE(SUBSTITUTE(UPPER($L479)," ",""),"F",""),";",REPT(" ",30)),121,30))),0)+IFERROR(VALUE(TRIM(MID(SUBSTITUTE(SUBSTITUTE(SUBSTITUTE(UPPER($L479)," ",""),"F",""),";",REPT(" ",30)),151,30))),0)+IFERROR(VALUE(TRIM(MID(SUBSTITUTE(SUBSTITUTE(SUBSTITUTE(UPPER($L479)," ",""),"F",""),";",REPT(" ",30)),181,30))),0)+IFERROR(VALUE(TRIM(MID(SUBSTITUTE(SUBSTITUTE(SUBSTITUTE(UPPER($L479)," ",""),"F",""),";",REPT(" ",30)),211,30))),0)))))</f>
        <v/>
      </c>
      <c r="O479" s="26" t="n"/>
      <c r="P479" s="6" t="n"/>
      <c r="Q479" s="13" t="n"/>
      <c r="R479" s="27">
        <f>IF($C479="","",IF($E479="Falta","-",MAX(0,MIN(10,5+IFERROR(VALUE(TRIM(MID(SUBSTITUTE(SUBSTITUTE(SUBSTITUTE(UPPER($P479)," ",""),"C",""),";",REPT(" ",30)),1,30))),0)+IFERROR(VALUE(TRIM(MID(SUBSTITUTE(SUBSTITUTE(SUBSTITUTE(UPPER($P479)," ",""),"C",""),";",REPT(" ",30)),31,30))),0)+IFERROR(VALUE(TRIM(MID(SUBSTITUTE(SUBSTITUTE(SUBSTITUTE(UPPER($P479)," ",""),"C",""),";",REPT(" ",30)),61,30))),0)+IFERROR(VALUE(TRIM(MID(SUBSTITUTE(SUBSTITUTE(SUBSTITUTE(UPPER($P479)," ",""),"C",""),";",REPT(" ",30)),91,30))),0)+IFERROR(VALUE(TRIM(MID(SUBSTITUTE(SUBSTITUTE(SUBSTITUTE(UPPER($P479)," ",""),"C",""),";",REPT(" ",30)),121,30))),0)+IFERROR(VALUE(TRIM(MID(SUBSTITUTE(SUBSTITUTE(SUBSTITUTE(UPPER($P479)," ",""),"C",""),";",REPT(" ",30)),151,30))),0)+IFERROR(VALUE(TRIM(MID(SUBSTITUTE(SUBSTITUTE(SUBSTITUTE(UPPER($P479)," ",""),"C",""),";",REPT(" ",30)),181,30))),0)+IFERROR(VALUE(TRIM(MID(SUBSTITUTE(SUBSTITUTE(SUBSTITUTE(UPPER($P479)," ",""),"C",""),";",REPT(" ",30)),211,30))),0)))))</f>
        <v/>
      </c>
      <c r="S479" s="26" t="n"/>
      <c r="T479" s="6" t="n"/>
      <c r="U479" s="13" t="n"/>
      <c r="V479" s="27">
        <f>IF($C479="","",IF($E479="Falta","-",MAX(0,MIN(10,5+IFERROR(VALUE(TRIM(MID(SUBSTITUTE(SUBSTITUTE(SUBSTITUTE(UPPER($T479)," ",""),"P",""),";",REPT(" ",30)),1,30))),0)+IFERROR(VALUE(TRIM(MID(SUBSTITUTE(SUBSTITUTE(SUBSTITUTE(UPPER($T479)," ",""),"P",""),";",REPT(" ",30)),31,30))),0)+IFERROR(VALUE(TRIM(MID(SUBSTITUTE(SUBSTITUTE(SUBSTITUTE(UPPER($T479)," ",""),"P",""),";",REPT(" ",30)),61,30))),0)+IFERROR(VALUE(TRIM(MID(SUBSTITUTE(SUBSTITUTE(SUBSTITUTE(UPPER($T479)," ",""),"P",""),";",REPT(" ",30)),91,30))),0)+IFERROR(VALUE(TRIM(MID(SUBSTITUTE(SUBSTITUTE(SUBSTITUTE(UPPER($T479)," ",""),"P",""),";",REPT(" ",30)),121,30))),0)+IFERROR(VALUE(TRIM(MID(SUBSTITUTE(SUBSTITUTE(SUBSTITUTE(UPPER($T479)," ",""),"P",""),";",REPT(" ",30)),151,30))),0)+IFERROR(VALUE(TRIM(MID(SUBSTITUTE(SUBSTITUTE(SUBSTITUTE(UPPER($T479)," ",""),"P",""),";",REPT(" ",30)),181,30))),0)+IFERROR(VALUE(TRIM(MID(SUBSTITUTE(SUBSTITUTE(SUBSTITUTE(UPPER($T479)," ",""),"P",""),";",REPT(" ",30)),211,30))),0)))))</f>
        <v/>
      </c>
      <c r="W479" s="26" t="n"/>
      <c r="X479" s="13" t="n"/>
    </row>
    <row r="480">
      <c r="A480" s="6">
        <f>IF($C480="","",96)</f>
        <v/>
      </c>
      <c r="B480" s="6">
        <f>IF($C480="","","2ª Sessão")</f>
        <v/>
      </c>
      <c r="C480" s="6">
        <f>IF(Preenchimento!$B$105="","",Preenchimento!$B$105)</f>
        <v/>
      </c>
      <c r="D480" s="6">
        <f>IF($C480="","",IF(Preenchimento!$C$105="","-",Preenchimento!$C$105))</f>
        <v/>
      </c>
      <c r="E480" s="6" t="n"/>
      <c r="F480" s="6" t="n"/>
      <c r="G480" s="26" t="n"/>
      <c r="H480" s="6" t="n"/>
      <c r="I480" s="13" t="n"/>
      <c r="J480" s="27">
        <f>IF($C480="","",IF($E480="Falta","-",MAX(0,MIN(10,8+IFERROR(VALUE(TRIM(MID(SUBSTITUTE(SUBSTITUTE(SUBSTITUTE(UPPER($H480)," ",""),"D",""),";",REPT(" ",30)),1,30))),0)+IFERROR(VALUE(TRIM(MID(SUBSTITUTE(SUBSTITUTE(SUBSTITUTE(UPPER($H480)," ",""),"D",""),";",REPT(" ",30)),31,30))),0)+IFERROR(VALUE(TRIM(MID(SUBSTITUTE(SUBSTITUTE(SUBSTITUTE(UPPER($H480)," ",""),"D",""),";",REPT(" ",30)),61,30))),0)+IFERROR(VALUE(TRIM(MID(SUBSTITUTE(SUBSTITUTE(SUBSTITUTE(UPPER($H480)," ",""),"D",""),";",REPT(" ",30)),91,30))),0)+IFERROR(VALUE(TRIM(MID(SUBSTITUTE(SUBSTITUTE(SUBSTITUTE(UPPER($H480)," ",""),"D",""),";",REPT(" ",30)),121,30))),0)+IFERROR(VALUE(TRIM(MID(SUBSTITUTE(SUBSTITUTE(SUBSTITUTE(UPPER($H480)," ",""),"D",""),";",REPT(" ",30)),151,30))),0)+IFERROR(VALUE(TRIM(MID(SUBSTITUTE(SUBSTITUTE(SUBSTITUTE(UPPER($H480)," ",""),"D",""),";",REPT(" ",30)),181,30))),0)+IFERROR(VALUE(TRIM(MID(SUBSTITUTE(SUBSTITUTE(SUBSTITUTE(UPPER($H480)," ",""),"D",""),";",REPT(" ",30)),211,30))),0)))))</f>
        <v/>
      </c>
      <c r="K480" s="26" t="n"/>
      <c r="L480" s="6" t="n"/>
      <c r="M480" s="13" t="n"/>
      <c r="N480" s="27">
        <f>IF($C480="","",IF($E480="Falta","-",MAX(0,MIN(10,8+IFERROR(VALUE(TRIM(MID(SUBSTITUTE(SUBSTITUTE(SUBSTITUTE(UPPER($L480)," ",""),"F",""),";",REPT(" ",30)),1,30))),0)+IFERROR(VALUE(TRIM(MID(SUBSTITUTE(SUBSTITUTE(SUBSTITUTE(UPPER($L480)," ",""),"F",""),";",REPT(" ",30)),31,30))),0)+IFERROR(VALUE(TRIM(MID(SUBSTITUTE(SUBSTITUTE(SUBSTITUTE(UPPER($L480)," ",""),"F",""),";",REPT(" ",30)),61,30))),0)+IFERROR(VALUE(TRIM(MID(SUBSTITUTE(SUBSTITUTE(SUBSTITUTE(UPPER($L480)," ",""),"F",""),";",REPT(" ",30)),91,30))),0)+IFERROR(VALUE(TRIM(MID(SUBSTITUTE(SUBSTITUTE(SUBSTITUTE(UPPER($L480)," ",""),"F",""),";",REPT(" ",30)),121,30))),0)+IFERROR(VALUE(TRIM(MID(SUBSTITUTE(SUBSTITUTE(SUBSTITUTE(UPPER($L480)," ",""),"F",""),";",REPT(" ",30)),151,30))),0)+IFERROR(VALUE(TRIM(MID(SUBSTITUTE(SUBSTITUTE(SUBSTITUTE(UPPER($L480)," ",""),"F",""),";",REPT(" ",30)),181,30))),0)+IFERROR(VALUE(TRIM(MID(SUBSTITUTE(SUBSTITUTE(SUBSTITUTE(UPPER($L480)," ",""),"F",""),";",REPT(" ",30)),211,30))),0)))))</f>
        <v/>
      </c>
      <c r="O480" s="26" t="n"/>
      <c r="P480" s="6" t="n"/>
      <c r="Q480" s="13" t="n"/>
      <c r="R480" s="27">
        <f>IF($C480="","",IF($E480="Falta","-",MAX(0,MIN(10,5+IFERROR(VALUE(TRIM(MID(SUBSTITUTE(SUBSTITUTE(SUBSTITUTE(UPPER($P480)," ",""),"C",""),";",REPT(" ",30)),1,30))),0)+IFERROR(VALUE(TRIM(MID(SUBSTITUTE(SUBSTITUTE(SUBSTITUTE(UPPER($P480)," ",""),"C",""),";",REPT(" ",30)),31,30))),0)+IFERROR(VALUE(TRIM(MID(SUBSTITUTE(SUBSTITUTE(SUBSTITUTE(UPPER($P480)," ",""),"C",""),";",REPT(" ",30)),61,30))),0)+IFERROR(VALUE(TRIM(MID(SUBSTITUTE(SUBSTITUTE(SUBSTITUTE(UPPER($P480)," ",""),"C",""),";",REPT(" ",30)),91,30))),0)+IFERROR(VALUE(TRIM(MID(SUBSTITUTE(SUBSTITUTE(SUBSTITUTE(UPPER($P480)," ",""),"C",""),";",REPT(" ",30)),121,30))),0)+IFERROR(VALUE(TRIM(MID(SUBSTITUTE(SUBSTITUTE(SUBSTITUTE(UPPER($P480)," ",""),"C",""),";",REPT(" ",30)),151,30))),0)+IFERROR(VALUE(TRIM(MID(SUBSTITUTE(SUBSTITUTE(SUBSTITUTE(UPPER($P480)," ",""),"C",""),";",REPT(" ",30)),181,30))),0)+IFERROR(VALUE(TRIM(MID(SUBSTITUTE(SUBSTITUTE(SUBSTITUTE(UPPER($P480)," ",""),"C",""),";",REPT(" ",30)),211,30))),0)))))</f>
        <v/>
      </c>
      <c r="S480" s="26" t="n"/>
      <c r="T480" s="6" t="n"/>
      <c r="U480" s="13" t="n"/>
      <c r="V480" s="27">
        <f>IF($C480="","",IF($E480="Falta","-",MAX(0,MIN(10,5+IFERROR(VALUE(TRIM(MID(SUBSTITUTE(SUBSTITUTE(SUBSTITUTE(UPPER($T480)," ",""),"P",""),";",REPT(" ",30)),1,30))),0)+IFERROR(VALUE(TRIM(MID(SUBSTITUTE(SUBSTITUTE(SUBSTITUTE(UPPER($T480)," ",""),"P",""),";",REPT(" ",30)),31,30))),0)+IFERROR(VALUE(TRIM(MID(SUBSTITUTE(SUBSTITUTE(SUBSTITUTE(UPPER($T480)," ",""),"P",""),";",REPT(" ",30)),61,30))),0)+IFERROR(VALUE(TRIM(MID(SUBSTITUTE(SUBSTITUTE(SUBSTITUTE(UPPER($T480)," ",""),"P",""),";",REPT(" ",30)),91,30))),0)+IFERROR(VALUE(TRIM(MID(SUBSTITUTE(SUBSTITUTE(SUBSTITUTE(UPPER($T480)," ",""),"P",""),";",REPT(" ",30)),121,30))),0)+IFERROR(VALUE(TRIM(MID(SUBSTITUTE(SUBSTITUTE(SUBSTITUTE(UPPER($T480)," ",""),"P",""),";",REPT(" ",30)),151,30))),0)+IFERROR(VALUE(TRIM(MID(SUBSTITUTE(SUBSTITUTE(SUBSTITUTE(UPPER($T480)," ",""),"P",""),";",REPT(" ",30)),181,30))),0)+IFERROR(VALUE(TRIM(MID(SUBSTITUTE(SUBSTITUTE(SUBSTITUTE(UPPER($T480)," ",""),"P",""),";",REPT(" ",30)),211,30))),0)))))</f>
        <v/>
      </c>
      <c r="W480" s="26" t="n"/>
      <c r="X480" s="13" t="n"/>
    </row>
    <row r="481">
      <c r="A481" s="6">
        <f>IF($C481="","",96)</f>
        <v/>
      </c>
      <c r="B481" s="6">
        <f>IF($C481="","","3ª Sessão")</f>
        <v/>
      </c>
      <c r="C481" s="6">
        <f>IF(Preenchimento!$B$105="","",Preenchimento!$B$105)</f>
        <v/>
      </c>
      <c r="D481" s="6">
        <f>IF($C481="","",IF(Preenchimento!$C$105="","-",Preenchimento!$C$105))</f>
        <v/>
      </c>
      <c r="E481" s="6" t="n"/>
      <c r="F481" s="6" t="n"/>
      <c r="G481" s="26" t="n"/>
      <c r="H481" s="6" t="n"/>
      <c r="I481" s="13" t="n"/>
      <c r="J481" s="27">
        <f>IF($C481="","",IF($E481="Falta","-",MAX(0,MIN(10,8+IFERROR(VALUE(TRIM(MID(SUBSTITUTE(SUBSTITUTE(SUBSTITUTE(UPPER($H481)," ",""),"D",""),";",REPT(" ",30)),1,30))),0)+IFERROR(VALUE(TRIM(MID(SUBSTITUTE(SUBSTITUTE(SUBSTITUTE(UPPER($H481)," ",""),"D",""),";",REPT(" ",30)),31,30))),0)+IFERROR(VALUE(TRIM(MID(SUBSTITUTE(SUBSTITUTE(SUBSTITUTE(UPPER($H481)," ",""),"D",""),";",REPT(" ",30)),61,30))),0)+IFERROR(VALUE(TRIM(MID(SUBSTITUTE(SUBSTITUTE(SUBSTITUTE(UPPER($H481)," ",""),"D",""),";",REPT(" ",30)),91,30))),0)+IFERROR(VALUE(TRIM(MID(SUBSTITUTE(SUBSTITUTE(SUBSTITUTE(UPPER($H481)," ",""),"D",""),";",REPT(" ",30)),121,30))),0)+IFERROR(VALUE(TRIM(MID(SUBSTITUTE(SUBSTITUTE(SUBSTITUTE(UPPER($H481)," ",""),"D",""),";",REPT(" ",30)),151,30))),0)+IFERROR(VALUE(TRIM(MID(SUBSTITUTE(SUBSTITUTE(SUBSTITUTE(UPPER($H481)," ",""),"D",""),";",REPT(" ",30)),181,30))),0)+IFERROR(VALUE(TRIM(MID(SUBSTITUTE(SUBSTITUTE(SUBSTITUTE(UPPER($H481)," ",""),"D",""),";",REPT(" ",30)),211,30))),0)))))</f>
        <v/>
      </c>
      <c r="K481" s="26" t="n"/>
      <c r="L481" s="6" t="n"/>
      <c r="M481" s="13" t="n"/>
      <c r="N481" s="27">
        <f>IF($C481="","",IF($E481="Falta","-",MAX(0,MIN(10,8+IFERROR(VALUE(TRIM(MID(SUBSTITUTE(SUBSTITUTE(SUBSTITUTE(UPPER($L481)," ",""),"F",""),";",REPT(" ",30)),1,30))),0)+IFERROR(VALUE(TRIM(MID(SUBSTITUTE(SUBSTITUTE(SUBSTITUTE(UPPER($L481)," ",""),"F",""),";",REPT(" ",30)),31,30))),0)+IFERROR(VALUE(TRIM(MID(SUBSTITUTE(SUBSTITUTE(SUBSTITUTE(UPPER($L481)," ",""),"F",""),";",REPT(" ",30)),61,30))),0)+IFERROR(VALUE(TRIM(MID(SUBSTITUTE(SUBSTITUTE(SUBSTITUTE(UPPER($L481)," ",""),"F",""),";",REPT(" ",30)),91,30))),0)+IFERROR(VALUE(TRIM(MID(SUBSTITUTE(SUBSTITUTE(SUBSTITUTE(UPPER($L481)," ",""),"F",""),";",REPT(" ",30)),121,30))),0)+IFERROR(VALUE(TRIM(MID(SUBSTITUTE(SUBSTITUTE(SUBSTITUTE(UPPER($L481)," ",""),"F",""),";",REPT(" ",30)),151,30))),0)+IFERROR(VALUE(TRIM(MID(SUBSTITUTE(SUBSTITUTE(SUBSTITUTE(UPPER($L481)," ",""),"F",""),";",REPT(" ",30)),181,30))),0)+IFERROR(VALUE(TRIM(MID(SUBSTITUTE(SUBSTITUTE(SUBSTITUTE(UPPER($L481)," ",""),"F",""),";",REPT(" ",30)),211,30))),0)))))</f>
        <v/>
      </c>
      <c r="O481" s="26" t="n"/>
      <c r="P481" s="6" t="n"/>
      <c r="Q481" s="13" t="n"/>
      <c r="R481" s="27">
        <f>IF($C481="","",IF($E481="Falta","-",MAX(0,MIN(10,5+IFERROR(VALUE(TRIM(MID(SUBSTITUTE(SUBSTITUTE(SUBSTITUTE(UPPER($P481)," ",""),"C",""),";",REPT(" ",30)),1,30))),0)+IFERROR(VALUE(TRIM(MID(SUBSTITUTE(SUBSTITUTE(SUBSTITUTE(UPPER($P481)," ",""),"C",""),";",REPT(" ",30)),31,30))),0)+IFERROR(VALUE(TRIM(MID(SUBSTITUTE(SUBSTITUTE(SUBSTITUTE(UPPER($P481)," ",""),"C",""),";",REPT(" ",30)),61,30))),0)+IFERROR(VALUE(TRIM(MID(SUBSTITUTE(SUBSTITUTE(SUBSTITUTE(UPPER($P481)," ",""),"C",""),";",REPT(" ",30)),91,30))),0)+IFERROR(VALUE(TRIM(MID(SUBSTITUTE(SUBSTITUTE(SUBSTITUTE(UPPER($P481)," ",""),"C",""),";",REPT(" ",30)),121,30))),0)+IFERROR(VALUE(TRIM(MID(SUBSTITUTE(SUBSTITUTE(SUBSTITUTE(UPPER($P481)," ",""),"C",""),";",REPT(" ",30)),151,30))),0)+IFERROR(VALUE(TRIM(MID(SUBSTITUTE(SUBSTITUTE(SUBSTITUTE(UPPER($P481)," ",""),"C",""),";",REPT(" ",30)),181,30))),0)+IFERROR(VALUE(TRIM(MID(SUBSTITUTE(SUBSTITUTE(SUBSTITUTE(UPPER($P481)," ",""),"C",""),";",REPT(" ",30)),211,30))),0)))))</f>
        <v/>
      </c>
      <c r="S481" s="26" t="n"/>
      <c r="T481" s="6" t="n"/>
      <c r="U481" s="13" t="n"/>
      <c r="V481" s="27">
        <f>IF($C481="","",IF($E481="Falta","-",MAX(0,MIN(10,5+IFERROR(VALUE(TRIM(MID(SUBSTITUTE(SUBSTITUTE(SUBSTITUTE(UPPER($T481)," ",""),"P",""),";",REPT(" ",30)),1,30))),0)+IFERROR(VALUE(TRIM(MID(SUBSTITUTE(SUBSTITUTE(SUBSTITUTE(UPPER($T481)," ",""),"P",""),";",REPT(" ",30)),31,30))),0)+IFERROR(VALUE(TRIM(MID(SUBSTITUTE(SUBSTITUTE(SUBSTITUTE(UPPER($T481)," ",""),"P",""),";",REPT(" ",30)),61,30))),0)+IFERROR(VALUE(TRIM(MID(SUBSTITUTE(SUBSTITUTE(SUBSTITUTE(UPPER($T481)," ",""),"P",""),";",REPT(" ",30)),91,30))),0)+IFERROR(VALUE(TRIM(MID(SUBSTITUTE(SUBSTITUTE(SUBSTITUTE(UPPER($T481)," ",""),"P",""),";",REPT(" ",30)),121,30))),0)+IFERROR(VALUE(TRIM(MID(SUBSTITUTE(SUBSTITUTE(SUBSTITUTE(UPPER($T481)," ",""),"P",""),";",REPT(" ",30)),151,30))),0)+IFERROR(VALUE(TRIM(MID(SUBSTITUTE(SUBSTITUTE(SUBSTITUTE(UPPER($T481)," ",""),"P",""),";",REPT(" ",30)),181,30))),0)+IFERROR(VALUE(TRIM(MID(SUBSTITUTE(SUBSTITUTE(SUBSTITUTE(UPPER($T481)," ",""),"P",""),";",REPT(" ",30)),211,30))),0)))))</f>
        <v/>
      </c>
      <c r="W481" s="26" t="n"/>
      <c r="X481" s="13" t="n"/>
    </row>
    <row r="482">
      <c r="A482" s="6">
        <f>IF($C482="","",96)</f>
        <v/>
      </c>
      <c r="B482" s="6">
        <f>IF($C482="","","4ª Sessão")</f>
        <v/>
      </c>
      <c r="C482" s="6">
        <f>IF(Preenchimento!$B$105="","",Preenchimento!$B$105)</f>
        <v/>
      </c>
      <c r="D482" s="6">
        <f>IF($C482="","",IF(Preenchimento!$C$105="","-",Preenchimento!$C$105))</f>
        <v/>
      </c>
      <c r="E482" s="6" t="n"/>
      <c r="F482" s="6" t="n"/>
      <c r="G482" s="26" t="n"/>
      <c r="H482" s="6" t="n"/>
      <c r="I482" s="13" t="n"/>
      <c r="J482" s="27">
        <f>IF($C482="","",IF($E482="Falta","-",MAX(0,MIN(10,8+IFERROR(VALUE(TRIM(MID(SUBSTITUTE(SUBSTITUTE(SUBSTITUTE(UPPER($H482)," ",""),"D",""),";",REPT(" ",30)),1,30))),0)+IFERROR(VALUE(TRIM(MID(SUBSTITUTE(SUBSTITUTE(SUBSTITUTE(UPPER($H482)," ",""),"D",""),";",REPT(" ",30)),31,30))),0)+IFERROR(VALUE(TRIM(MID(SUBSTITUTE(SUBSTITUTE(SUBSTITUTE(UPPER($H482)," ",""),"D",""),";",REPT(" ",30)),61,30))),0)+IFERROR(VALUE(TRIM(MID(SUBSTITUTE(SUBSTITUTE(SUBSTITUTE(UPPER($H482)," ",""),"D",""),";",REPT(" ",30)),91,30))),0)+IFERROR(VALUE(TRIM(MID(SUBSTITUTE(SUBSTITUTE(SUBSTITUTE(UPPER($H482)," ",""),"D",""),";",REPT(" ",30)),121,30))),0)+IFERROR(VALUE(TRIM(MID(SUBSTITUTE(SUBSTITUTE(SUBSTITUTE(UPPER($H482)," ",""),"D",""),";",REPT(" ",30)),151,30))),0)+IFERROR(VALUE(TRIM(MID(SUBSTITUTE(SUBSTITUTE(SUBSTITUTE(UPPER($H482)," ",""),"D",""),";",REPT(" ",30)),181,30))),0)+IFERROR(VALUE(TRIM(MID(SUBSTITUTE(SUBSTITUTE(SUBSTITUTE(UPPER($H482)," ",""),"D",""),";",REPT(" ",30)),211,30))),0)))))</f>
        <v/>
      </c>
      <c r="K482" s="26" t="n"/>
      <c r="L482" s="6" t="n"/>
      <c r="M482" s="13" t="n"/>
      <c r="N482" s="27">
        <f>IF($C482="","",IF($E482="Falta","-",MAX(0,MIN(10,8+IFERROR(VALUE(TRIM(MID(SUBSTITUTE(SUBSTITUTE(SUBSTITUTE(UPPER($L482)," ",""),"F",""),";",REPT(" ",30)),1,30))),0)+IFERROR(VALUE(TRIM(MID(SUBSTITUTE(SUBSTITUTE(SUBSTITUTE(UPPER($L482)," ",""),"F",""),";",REPT(" ",30)),31,30))),0)+IFERROR(VALUE(TRIM(MID(SUBSTITUTE(SUBSTITUTE(SUBSTITUTE(UPPER($L482)," ",""),"F",""),";",REPT(" ",30)),61,30))),0)+IFERROR(VALUE(TRIM(MID(SUBSTITUTE(SUBSTITUTE(SUBSTITUTE(UPPER($L482)," ",""),"F",""),";",REPT(" ",30)),91,30))),0)+IFERROR(VALUE(TRIM(MID(SUBSTITUTE(SUBSTITUTE(SUBSTITUTE(UPPER($L482)," ",""),"F",""),";",REPT(" ",30)),121,30))),0)+IFERROR(VALUE(TRIM(MID(SUBSTITUTE(SUBSTITUTE(SUBSTITUTE(UPPER($L482)," ",""),"F",""),";",REPT(" ",30)),151,30))),0)+IFERROR(VALUE(TRIM(MID(SUBSTITUTE(SUBSTITUTE(SUBSTITUTE(UPPER($L482)," ",""),"F",""),";",REPT(" ",30)),181,30))),0)+IFERROR(VALUE(TRIM(MID(SUBSTITUTE(SUBSTITUTE(SUBSTITUTE(UPPER($L482)," ",""),"F",""),";",REPT(" ",30)),211,30))),0)))))</f>
        <v/>
      </c>
      <c r="O482" s="26" t="n"/>
      <c r="P482" s="6" t="n"/>
      <c r="Q482" s="13" t="n"/>
      <c r="R482" s="27">
        <f>IF($C482="","",IF($E482="Falta","-",MAX(0,MIN(10,5+IFERROR(VALUE(TRIM(MID(SUBSTITUTE(SUBSTITUTE(SUBSTITUTE(UPPER($P482)," ",""),"C",""),";",REPT(" ",30)),1,30))),0)+IFERROR(VALUE(TRIM(MID(SUBSTITUTE(SUBSTITUTE(SUBSTITUTE(UPPER($P482)," ",""),"C",""),";",REPT(" ",30)),31,30))),0)+IFERROR(VALUE(TRIM(MID(SUBSTITUTE(SUBSTITUTE(SUBSTITUTE(UPPER($P482)," ",""),"C",""),";",REPT(" ",30)),61,30))),0)+IFERROR(VALUE(TRIM(MID(SUBSTITUTE(SUBSTITUTE(SUBSTITUTE(UPPER($P482)," ",""),"C",""),";",REPT(" ",30)),91,30))),0)+IFERROR(VALUE(TRIM(MID(SUBSTITUTE(SUBSTITUTE(SUBSTITUTE(UPPER($P482)," ",""),"C",""),";",REPT(" ",30)),121,30))),0)+IFERROR(VALUE(TRIM(MID(SUBSTITUTE(SUBSTITUTE(SUBSTITUTE(UPPER($P482)," ",""),"C",""),";",REPT(" ",30)),151,30))),0)+IFERROR(VALUE(TRIM(MID(SUBSTITUTE(SUBSTITUTE(SUBSTITUTE(UPPER($P482)," ",""),"C",""),";",REPT(" ",30)),181,30))),0)+IFERROR(VALUE(TRIM(MID(SUBSTITUTE(SUBSTITUTE(SUBSTITUTE(UPPER($P482)," ",""),"C",""),";",REPT(" ",30)),211,30))),0)))))</f>
        <v/>
      </c>
      <c r="S482" s="26" t="n"/>
      <c r="T482" s="6" t="n"/>
      <c r="U482" s="13" t="n"/>
      <c r="V482" s="27">
        <f>IF($C482="","",IF($E482="Falta","-",MAX(0,MIN(10,5+IFERROR(VALUE(TRIM(MID(SUBSTITUTE(SUBSTITUTE(SUBSTITUTE(UPPER($T482)," ",""),"P",""),";",REPT(" ",30)),1,30))),0)+IFERROR(VALUE(TRIM(MID(SUBSTITUTE(SUBSTITUTE(SUBSTITUTE(UPPER($T482)," ",""),"P",""),";",REPT(" ",30)),31,30))),0)+IFERROR(VALUE(TRIM(MID(SUBSTITUTE(SUBSTITUTE(SUBSTITUTE(UPPER($T482)," ",""),"P",""),";",REPT(" ",30)),61,30))),0)+IFERROR(VALUE(TRIM(MID(SUBSTITUTE(SUBSTITUTE(SUBSTITUTE(UPPER($T482)," ",""),"P",""),";",REPT(" ",30)),91,30))),0)+IFERROR(VALUE(TRIM(MID(SUBSTITUTE(SUBSTITUTE(SUBSTITUTE(UPPER($T482)," ",""),"P",""),";",REPT(" ",30)),121,30))),0)+IFERROR(VALUE(TRIM(MID(SUBSTITUTE(SUBSTITUTE(SUBSTITUTE(UPPER($T482)," ",""),"P",""),";",REPT(" ",30)),151,30))),0)+IFERROR(VALUE(TRIM(MID(SUBSTITUTE(SUBSTITUTE(SUBSTITUTE(UPPER($T482)," ",""),"P",""),";",REPT(" ",30)),181,30))),0)+IFERROR(VALUE(TRIM(MID(SUBSTITUTE(SUBSTITUTE(SUBSTITUTE(UPPER($T482)," ",""),"P",""),";",REPT(" ",30)),211,30))),0)))))</f>
        <v/>
      </c>
      <c r="W482" s="26" t="n"/>
      <c r="X482" s="13" t="n"/>
    </row>
    <row r="483">
      <c r="A483" s="6">
        <f>IF($C483="","",96)</f>
        <v/>
      </c>
      <c r="B483" s="6">
        <f>IF($C483="","","5ª Sessão")</f>
        <v/>
      </c>
      <c r="C483" s="6">
        <f>IF(Preenchimento!$B$105="","",Preenchimento!$B$105)</f>
        <v/>
      </c>
      <c r="D483" s="6">
        <f>IF($C483="","",IF(Preenchimento!$C$105="","-",Preenchimento!$C$105))</f>
        <v/>
      </c>
      <c r="E483" s="6" t="n"/>
      <c r="F483" s="6" t="n"/>
      <c r="G483" s="26" t="n"/>
      <c r="H483" s="6" t="n"/>
      <c r="I483" s="13" t="n"/>
      <c r="J483" s="27">
        <f>IF($C483="","",IF($E483="Falta","-",MAX(0,MIN(10,8+IFERROR(VALUE(TRIM(MID(SUBSTITUTE(SUBSTITUTE(SUBSTITUTE(UPPER($H483)," ",""),"D",""),";",REPT(" ",30)),1,30))),0)+IFERROR(VALUE(TRIM(MID(SUBSTITUTE(SUBSTITUTE(SUBSTITUTE(UPPER($H483)," ",""),"D",""),";",REPT(" ",30)),31,30))),0)+IFERROR(VALUE(TRIM(MID(SUBSTITUTE(SUBSTITUTE(SUBSTITUTE(UPPER($H483)," ",""),"D",""),";",REPT(" ",30)),61,30))),0)+IFERROR(VALUE(TRIM(MID(SUBSTITUTE(SUBSTITUTE(SUBSTITUTE(UPPER($H483)," ",""),"D",""),";",REPT(" ",30)),91,30))),0)+IFERROR(VALUE(TRIM(MID(SUBSTITUTE(SUBSTITUTE(SUBSTITUTE(UPPER($H483)," ",""),"D",""),";",REPT(" ",30)),121,30))),0)+IFERROR(VALUE(TRIM(MID(SUBSTITUTE(SUBSTITUTE(SUBSTITUTE(UPPER($H483)," ",""),"D",""),";",REPT(" ",30)),151,30))),0)+IFERROR(VALUE(TRIM(MID(SUBSTITUTE(SUBSTITUTE(SUBSTITUTE(UPPER($H483)," ",""),"D",""),";",REPT(" ",30)),181,30))),0)+IFERROR(VALUE(TRIM(MID(SUBSTITUTE(SUBSTITUTE(SUBSTITUTE(UPPER($H483)," ",""),"D",""),";",REPT(" ",30)),211,30))),0)))))</f>
        <v/>
      </c>
      <c r="K483" s="26" t="n"/>
      <c r="L483" s="6" t="n"/>
      <c r="M483" s="13" t="n"/>
      <c r="N483" s="27">
        <f>IF($C483="","",IF($E483="Falta","-",MAX(0,MIN(10,8+IFERROR(VALUE(TRIM(MID(SUBSTITUTE(SUBSTITUTE(SUBSTITUTE(UPPER($L483)," ",""),"F",""),";",REPT(" ",30)),1,30))),0)+IFERROR(VALUE(TRIM(MID(SUBSTITUTE(SUBSTITUTE(SUBSTITUTE(UPPER($L483)," ",""),"F",""),";",REPT(" ",30)),31,30))),0)+IFERROR(VALUE(TRIM(MID(SUBSTITUTE(SUBSTITUTE(SUBSTITUTE(UPPER($L483)," ",""),"F",""),";",REPT(" ",30)),61,30))),0)+IFERROR(VALUE(TRIM(MID(SUBSTITUTE(SUBSTITUTE(SUBSTITUTE(UPPER($L483)," ",""),"F",""),";",REPT(" ",30)),91,30))),0)+IFERROR(VALUE(TRIM(MID(SUBSTITUTE(SUBSTITUTE(SUBSTITUTE(UPPER($L483)," ",""),"F",""),";",REPT(" ",30)),121,30))),0)+IFERROR(VALUE(TRIM(MID(SUBSTITUTE(SUBSTITUTE(SUBSTITUTE(UPPER($L483)," ",""),"F",""),";",REPT(" ",30)),151,30))),0)+IFERROR(VALUE(TRIM(MID(SUBSTITUTE(SUBSTITUTE(SUBSTITUTE(UPPER($L483)," ",""),"F",""),";",REPT(" ",30)),181,30))),0)+IFERROR(VALUE(TRIM(MID(SUBSTITUTE(SUBSTITUTE(SUBSTITUTE(UPPER($L483)," ",""),"F",""),";",REPT(" ",30)),211,30))),0)))))</f>
        <v/>
      </c>
      <c r="O483" s="26" t="n"/>
      <c r="P483" s="6" t="n"/>
      <c r="Q483" s="13" t="n"/>
      <c r="R483" s="27">
        <f>IF($C483="","",IF($E483="Falta","-",MAX(0,MIN(10,5+IFERROR(VALUE(TRIM(MID(SUBSTITUTE(SUBSTITUTE(SUBSTITUTE(UPPER($P483)," ",""),"C",""),";",REPT(" ",30)),1,30))),0)+IFERROR(VALUE(TRIM(MID(SUBSTITUTE(SUBSTITUTE(SUBSTITUTE(UPPER($P483)," ",""),"C",""),";",REPT(" ",30)),31,30))),0)+IFERROR(VALUE(TRIM(MID(SUBSTITUTE(SUBSTITUTE(SUBSTITUTE(UPPER($P483)," ",""),"C",""),";",REPT(" ",30)),61,30))),0)+IFERROR(VALUE(TRIM(MID(SUBSTITUTE(SUBSTITUTE(SUBSTITUTE(UPPER($P483)," ",""),"C",""),";",REPT(" ",30)),91,30))),0)+IFERROR(VALUE(TRIM(MID(SUBSTITUTE(SUBSTITUTE(SUBSTITUTE(UPPER($P483)," ",""),"C",""),";",REPT(" ",30)),121,30))),0)+IFERROR(VALUE(TRIM(MID(SUBSTITUTE(SUBSTITUTE(SUBSTITUTE(UPPER($P483)," ",""),"C",""),";",REPT(" ",30)),151,30))),0)+IFERROR(VALUE(TRIM(MID(SUBSTITUTE(SUBSTITUTE(SUBSTITUTE(UPPER($P483)," ",""),"C",""),";",REPT(" ",30)),181,30))),0)+IFERROR(VALUE(TRIM(MID(SUBSTITUTE(SUBSTITUTE(SUBSTITUTE(UPPER($P483)," ",""),"C",""),";",REPT(" ",30)),211,30))),0)))))</f>
        <v/>
      </c>
      <c r="S483" s="26" t="n"/>
      <c r="T483" s="6" t="n"/>
      <c r="U483" s="13" t="n"/>
      <c r="V483" s="27">
        <f>IF($C483="","",IF($E483="Falta","-",MAX(0,MIN(10,5+IFERROR(VALUE(TRIM(MID(SUBSTITUTE(SUBSTITUTE(SUBSTITUTE(UPPER($T483)," ",""),"P",""),";",REPT(" ",30)),1,30))),0)+IFERROR(VALUE(TRIM(MID(SUBSTITUTE(SUBSTITUTE(SUBSTITUTE(UPPER($T483)," ",""),"P",""),";",REPT(" ",30)),31,30))),0)+IFERROR(VALUE(TRIM(MID(SUBSTITUTE(SUBSTITUTE(SUBSTITUTE(UPPER($T483)," ",""),"P",""),";",REPT(" ",30)),61,30))),0)+IFERROR(VALUE(TRIM(MID(SUBSTITUTE(SUBSTITUTE(SUBSTITUTE(UPPER($T483)," ",""),"P",""),";",REPT(" ",30)),91,30))),0)+IFERROR(VALUE(TRIM(MID(SUBSTITUTE(SUBSTITUTE(SUBSTITUTE(UPPER($T483)," ",""),"P",""),";",REPT(" ",30)),121,30))),0)+IFERROR(VALUE(TRIM(MID(SUBSTITUTE(SUBSTITUTE(SUBSTITUTE(UPPER($T483)," ",""),"P",""),";",REPT(" ",30)),151,30))),0)+IFERROR(VALUE(TRIM(MID(SUBSTITUTE(SUBSTITUTE(SUBSTITUTE(UPPER($T483)," ",""),"P",""),";",REPT(" ",30)),181,30))),0)+IFERROR(VALUE(TRIM(MID(SUBSTITUTE(SUBSTITUTE(SUBSTITUTE(UPPER($T483)," ",""),"P",""),";",REPT(" ",30)),211,30))),0)))))</f>
        <v/>
      </c>
      <c r="W483" s="26" t="n"/>
      <c r="X483" s="13" t="n"/>
    </row>
    <row r="484">
      <c r="A484" s="8">
        <f>IF($C484="","",97)</f>
        <v/>
      </c>
      <c r="B484" s="8">
        <f>IF($C484="","","1ª Sessão")</f>
        <v/>
      </c>
      <c r="C484" s="8">
        <f>IF(Preenchimento!$B$106="","",Preenchimento!$B$106)</f>
        <v/>
      </c>
      <c r="D484" s="8">
        <f>IF($C484="","",IF(Preenchimento!$C$106="","-",Preenchimento!$C$106))</f>
        <v/>
      </c>
      <c r="E484" s="8" t="n"/>
      <c r="F484" s="8" t="n"/>
      <c r="G484" s="24" t="n"/>
      <c r="H484" s="8" t="n"/>
      <c r="I484" s="14" t="n"/>
      <c r="J484" s="25">
        <f>IF($C484="","",IF($E484="Falta","-",MAX(0,MIN(10,8+IFERROR(VALUE(TRIM(MID(SUBSTITUTE(SUBSTITUTE(SUBSTITUTE(UPPER($H484)," ",""),"D",""),";",REPT(" ",30)),1,30))),0)+IFERROR(VALUE(TRIM(MID(SUBSTITUTE(SUBSTITUTE(SUBSTITUTE(UPPER($H484)," ",""),"D",""),";",REPT(" ",30)),31,30))),0)+IFERROR(VALUE(TRIM(MID(SUBSTITUTE(SUBSTITUTE(SUBSTITUTE(UPPER($H484)," ",""),"D",""),";",REPT(" ",30)),61,30))),0)+IFERROR(VALUE(TRIM(MID(SUBSTITUTE(SUBSTITUTE(SUBSTITUTE(UPPER($H484)," ",""),"D",""),";",REPT(" ",30)),91,30))),0)+IFERROR(VALUE(TRIM(MID(SUBSTITUTE(SUBSTITUTE(SUBSTITUTE(UPPER($H484)," ",""),"D",""),";",REPT(" ",30)),121,30))),0)+IFERROR(VALUE(TRIM(MID(SUBSTITUTE(SUBSTITUTE(SUBSTITUTE(UPPER($H484)," ",""),"D",""),";",REPT(" ",30)),151,30))),0)+IFERROR(VALUE(TRIM(MID(SUBSTITUTE(SUBSTITUTE(SUBSTITUTE(UPPER($H484)," ",""),"D",""),";",REPT(" ",30)),181,30))),0)+IFERROR(VALUE(TRIM(MID(SUBSTITUTE(SUBSTITUTE(SUBSTITUTE(UPPER($H484)," ",""),"D",""),";",REPT(" ",30)),211,30))),0)))))</f>
        <v/>
      </c>
      <c r="K484" s="24" t="n"/>
      <c r="L484" s="8" t="n"/>
      <c r="M484" s="14" t="n"/>
      <c r="N484" s="25">
        <f>IF($C484="","",IF($E484="Falta","-",MAX(0,MIN(10,8+IFERROR(VALUE(TRIM(MID(SUBSTITUTE(SUBSTITUTE(SUBSTITUTE(UPPER($L484)," ",""),"F",""),";",REPT(" ",30)),1,30))),0)+IFERROR(VALUE(TRIM(MID(SUBSTITUTE(SUBSTITUTE(SUBSTITUTE(UPPER($L484)," ",""),"F",""),";",REPT(" ",30)),31,30))),0)+IFERROR(VALUE(TRIM(MID(SUBSTITUTE(SUBSTITUTE(SUBSTITUTE(UPPER($L484)," ",""),"F",""),";",REPT(" ",30)),61,30))),0)+IFERROR(VALUE(TRIM(MID(SUBSTITUTE(SUBSTITUTE(SUBSTITUTE(UPPER($L484)," ",""),"F",""),";",REPT(" ",30)),91,30))),0)+IFERROR(VALUE(TRIM(MID(SUBSTITUTE(SUBSTITUTE(SUBSTITUTE(UPPER($L484)," ",""),"F",""),";",REPT(" ",30)),121,30))),0)+IFERROR(VALUE(TRIM(MID(SUBSTITUTE(SUBSTITUTE(SUBSTITUTE(UPPER($L484)," ",""),"F",""),";",REPT(" ",30)),151,30))),0)+IFERROR(VALUE(TRIM(MID(SUBSTITUTE(SUBSTITUTE(SUBSTITUTE(UPPER($L484)," ",""),"F",""),";",REPT(" ",30)),181,30))),0)+IFERROR(VALUE(TRIM(MID(SUBSTITUTE(SUBSTITUTE(SUBSTITUTE(UPPER($L484)," ",""),"F",""),";",REPT(" ",30)),211,30))),0)))))</f>
        <v/>
      </c>
      <c r="O484" s="24" t="n"/>
      <c r="P484" s="8" t="n"/>
      <c r="Q484" s="14" t="n"/>
      <c r="R484" s="25">
        <f>IF($C484="","",IF($E484="Falta","-",MAX(0,MIN(10,5+IFERROR(VALUE(TRIM(MID(SUBSTITUTE(SUBSTITUTE(SUBSTITUTE(UPPER($P484)," ",""),"C",""),";",REPT(" ",30)),1,30))),0)+IFERROR(VALUE(TRIM(MID(SUBSTITUTE(SUBSTITUTE(SUBSTITUTE(UPPER($P484)," ",""),"C",""),";",REPT(" ",30)),31,30))),0)+IFERROR(VALUE(TRIM(MID(SUBSTITUTE(SUBSTITUTE(SUBSTITUTE(UPPER($P484)," ",""),"C",""),";",REPT(" ",30)),61,30))),0)+IFERROR(VALUE(TRIM(MID(SUBSTITUTE(SUBSTITUTE(SUBSTITUTE(UPPER($P484)," ",""),"C",""),";",REPT(" ",30)),91,30))),0)+IFERROR(VALUE(TRIM(MID(SUBSTITUTE(SUBSTITUTE(SUBSTITUTE(UPPER($P484)," ",""),"C",""),";",REPT(" ",30)),121,30))),0)+IFERROR(VALUE(TRIM(MID(SUBSTITUTE(SUBSTITUTE(SUBSTITUTE(UPPER($P484)," ",""),"C",""),";",REPT(" ",30)),151,30))),0)+IFERROR(VALUE(TRIM(MID(SUBSTITUTE(SUBSTITUTE(SUBSTITUTE(UPPER($P484)," ",""),"C",""),";",REPT(" ",30)),181,30))),0)+IFERROR(VALUE(TRIM(MID(SUBSTITUTE(SUBSTITUTE(SUBSTITUTE(UPPER($P484)," ",""),"C",""),";",REPT(" ",30)),211,30))),0)))))</f>
        <v/>
      </c>
      <c r="S484" s="24" t="n"/>
      <c r="T484" s="8" t="n"/>
      <c r="U484" s="14" t="n"/>
      <c r="V484" s="25">
        <f>IF($C484="","",IF($E484="Falta","-",MAX(0,MIN(10,5+IFERROR(VALUE(TRIM(MID(SUBSTITUTE(SUBSTITUTE(SUBSTITUTE(UPPER($T484)," ",""),"P",""),";",REPT(" ",30)),1,30))),0)+IFERROR(VALUE(TRIM(MID(SUBSTITUTE(SUBSTITUTE(SUBSTITUTE(UPPER($T484)," ",""),"P",""),";",REPT(" ",30)),31,30))),0)+IFERROR(VALUE(TRIM(MID(SUBSTITUTE(SUBSTITUTE(SUBSTITUTE(UPPER($T484)," ",""),"P",""),";",REPT(" ",30)),61,30))),0)+IFERROR(VALUE(TRIM(MID(SUBSTITUTE(SUBSTITUTE(SUBSTITUTE(UPPER($T484)," ",""),"P",""),";",REPT(" ",30)),91,30))),0)+IFERROR(VALUE(TRIM(MID(SUBSTITUTE(SUBSTITUTE(SUBSTITUTE(UPPER($T484)," ",""),"P",""),";",REPT(" ",30)),121,30))),0)+IFERROR(VALUE(TRIM(MID(SUBSTITUTE(SUBSTITUTE(SUBSTITUTE(UPPER($T484)," ",""),"P",""),";",REPT(" ",30)),151,30))),0)+IFERROR(VALUE(TRIM(MID(SUBSTITUTE(SUBSTITUTE(SUBSTITUTE(UPPER($T484)," ",""),"P",""),";",REPT(" ",30)),181,30))),0)+IFERROR(VALUE(TRIM(MID(SUBSTITUTE(SUBSTITUTE(SUBSTITUTE(UPPER($T484)," ",""),"P",""),";",REPT(" ",30)),211,30))),0)))))</f>
        <v/>
      </c>
      <c r="W484" s="24" t="n"/>
      <c r="X484" s="14" t="n"/>
    </row>
    <row r="485">
      <c r="A485" s="8">
        <f>IF($C485="","",97)</f>
        <v/>
      </c>
      <c r="B485" s="8">
        <f>IF($C485="","","2ª Sessão")</f>
        <v/>
      </c>
      <c r="C485" s="8">
        <f>IF(Preenchimento!$B$106="","",Preenchimento!$B$106)</f>
        <v/>
      </c>
      <c r="D485" s="8">
        <f>IF($C485="","",IF(Preenchimento!$C$106="","-",Preenchimento!$C$106))</f>
        <v/>
      </c>
      <c r="E485" s="8" t="n"/>
      <c r="F485" s="8" t="n"/>
      <c r="G485" s="24" t="n"/>
      <c r="H485" s="8" t="n"/>
      <c r="I485" s="14" t="n"/>
      <c r="J485" s="25">
        <f>IF($C485="","",IF($E485="Falta","-",MAX(0,MIN(10,8+IFERROR(VALUE(TRIM(MID(SUBSTITUTE(SUBSTITUTE(SUBSTITUTE(UPPER($H485)," ",""),"D",""),";",REPT(" ",30)),1,30))),0)+IFERROR(VALUE(TRIM(MID(SUBSTITUTE(SUBSTITUTE(SUBSTITUTE(UPPER($H485)," ",""),"D",""),";",REPT(" ",30)),31,30))),0)+IFERROR(VALUE(TRIM(MID(SUBSTITUTE(SUBSTITUTE(SUBSTITUTE(UPPER($H485)," ",""),"D",""),";",REPT(" ",30)),61,30))),0)+IFERROR(VALUE(TRIM(MID(SUBSTITUTE(SUBSTITUTE(SUBSTITUTE(UPPER($H485)," ",""),"D",""),";",REPT(" ",30)),91,30))),0)+IFERROR(VALUE(TRIM(MID(SUBSTITUTE(SUBSTITUTE(SUBSTITUTE(UPPER($H485)," ",""),"D",""),";",REPT(" ",30)),121,30))),0)+IFERROR(VALUE(TRIM(MID(SUBSTITUTE(SUBSTITUTE(SUBSTITUTE(UPPER($H485)," ",""),"D",""),";",REPT(" ",30)),151,30))),0)+IFERROR(VALUE(TRIM(MID(SUBSTITUTE(SUBSTITUTE(SUBSTITUTE(UPPER($H485)," ",""),"D",""),";",REPT(" ",30)),181,30))),0)+IFERROR(VALUE(TRIM(MID(SUBSTITUTE(SUBSTITUTE(SUBSTITUTE(UPPER($H485)," ",""),"D",""),";",REPT(" ",30)),211,30))),0)))))</f>
        <v/>
      </c>
      <c r="K485" s="24" t="n"/>
      <c r="L485" s="8" t="n"/>
      <c r="M485" s="14" t="n"/>
      <c r="N485" s="25">
        <f>IF($C485="","",IF($E485="Falta","-",MAX(0,MIN(10,8+IFERROR(VALUE(TRIM(MID(SUBSTITUTE(SUBSTITUTE(SUBSTITUTE(UPPER($L485)," ",""),"F",""),";",REPT(" ",30)),1,30))),0)+IFERROR(VALUE(TRIM(MID(SUBSTITUTE(SUBSTITUTE(SUBSTITUTE(UPPER($L485)," ",""),"F",""),";",REPT(" ",30)),31,30))),0)+IFERROR(VALUE(TRIM(MID(SUBSTITUTE(SUBSTITUTE(SUBSTITUTE(UPPER($L485)," ",""),"F",""),";",REPT(" ",30)),61,30))),0)+IFERROR(VALUE(TRIM(MID(SUBSTITUTE(SUBSTITUTE(SUBSTITUTE(UPPER($L485)," ",""),"F",""),";",REPT(" ",30)),91,30))),0)+IFERROR(VALUE(TRIM(MID(SUBSTITUTE(SUBSTITUTE(SUBSTITUTE(UPPER($L485)," ",""),"F",""),";",REPT(" ",30)),121,30))),0)+IFERROR(VALUE(TRIM(MID(SUBSTITUTE(SUBSTITUTE(SUBSTITUTE(UPPER($L485)," ",""),"F",""),";",REPT(" ",30)),151,30))),0)+IFERROR(VALUE(TRIM(MID(SUBSTITUTE(SUBSTITUTE(SUBSTITUTE(UPPER($L485)," ",""),"F",""),";",REPT(" ",30)),181,30))),0)+IFERROR(VALUE(TRIM(MID(SUBSTITUTE(SUBSTITUTE(SUBSTITUTE(UPPER($L485)," ",""),"F",""),";",REPT(" ",30)),211,30))),0)))))</f>
        <v/>
      </c>
      <c r="O485" s="24" t="n"/>
      <c r="P485" s="8" t="n"/>
      <c r="Q485" s="14" t="n"/>
      <c r="R485" s="25">
        <f>IF($C485="","",IF($E485="Falta","-",MAX(0,MIN(10,5+IFERROR(VALUE(TRIM(MID(SUBSTITUTE(SUBSTITUTE(SUBSTITUTE(UPPER($P485)," ",""),"C",""),";",REPT(" ",30)),1,30))),0)+IFERROR(VALUE(TRIM(MID(SUBSTITUTE(SUBSTITUTE(SUBSTITUTE(UPPER($P485)," ",""),"C",""),";",REPT(" ",30)),31,30))),0)+IFERROR(VALUE(TRIM(MID(SUBSTITUTE(SUBSTITUTE(SUBSTITUTE(UPPER($P485)," ",""),"C",""),";",REPT(" ",30)),61,30))),0)+IFERROR(VALUE(TRIM(MID(SUBSTITUTE(SUBSTITUTE(SUBSTITUTE(UPPER($P485)," ",""),"C",""),";",REPT(" ",30)),91,30))),0)+IFERROR(VALUE(TRIM(MID(SUBSTITUTE(SUBSTITUTE(SUBSTITUTE(UPPER($P485)," ",""),"C",""),";",REPT(" ",30)),121,30))),0)+IFERROR(VALUE(TRIM(MID(SUBSTITUTE(SUBSTITUTE(SUBSTITUTE(UPPER($P485)," ",""),"C",""),";",REPT(" ",30)),151,30))),0)+IFERROR(VALUE(TRIM(MID(SUBSTITUTE(SUBSTITUTE(SUBSTITUTE(UPPER($P485)," ",""),"C",""),";",REPT(" ",30)),181,30))),0)+IFERROR(VALUE(TRIM(MID(SUBSTITUTE(SUBSTITUTE(SUBSTITUTE(UPPER($P485)," ",""),"C",""),";",REPT(" ",30)),211,30))),0)))))</f>
        <v/>
      </c>
      <c r="S485" s="24" t="n"/>
      <c r="T485" s="8" t="n"/>
      <c r="U485" s="14" t="n"/>
      <c r="V485" s="25">
        <f>IF($C485="","",IF($E485="Falta","-",MAX(0,MIN(10,5+IFERROR(VALUE(TRIM(MID(SUBSTITUTE(SUBSTITUTE(SUBSTITUTE(UPPER($T485)," ",""),"P",""),";",REPT(" ",30)),1,30))),0)+IFERROR(VALUE(TRIM(MID(SUBSTITUTE(SUBSTITUTE(SUBSTITUTE(UPPER($T485)," ",""),"P",""),";",REPT(" ",30)),31,30))),0)+IFERROR(VALUE(TRIM(MID(SUBSTITUTE(SUBSTITUTE(SUBSTITUTE(UPPER($T485)," ",""),"P",""),";",REPT(" ",30)),61,30))),0)+IFERROR(VALUE(TRIM(MID(SUBSTITUTE(SUBSTITUTE(SUBSTITUTE(UPPER($T485)," ",""),"P",""),";",REPT(" ",30)),91,30))),0)+IFERROR(VALUE(TRIM(MID(SUBSTITUTE(SUBSTITUTE(SUBSTITUTE(UPPER($T485)," ",""),"P",""),";",REPT(" ",30)),121,30))),0)+IFERROR(VALUE(TRIM(MID(SUBSTITUTE(SUBSTITUTE(SUBSTITUTE(UPPER($T485)," ",""),"P",""),";",REPT(" ",30)),151,30))),0)+IFERROR(VALUE(TRIM(MID(SUBSTITUTE(SUBSTITUTE(SUBSTITUTE(UPPER($T485)," ",""),"P",""),";",REPT(" ",30)),181,30))),0)+IFERROR(VALUE(TRIM(MID(SUBSTITUTE(SUBSTITUTE(SUBSTITUTE(UPPER($T485)," ",""),"P",""),";",REPT(" ",30)),211,30))),0)))))</f>
        <v/>
      </c>
      <c r="W485" s="24" t="n"/>
      <c r="X485" s="14" t="n"/>
    </row>
    <row r="486">
      <c r="A486" s="8">
        <f>IF($C486="","",97)</f>
        <v/>
      </c>
      <c r="B486" s="8">
        <f>IF($C486="","","3ª Sessão")</f>
        <v/>
      </c>
      <c r="C486" s="8">
        <f>IF(Preenchimento!$B$106="","",Preenchimento!$B$106)</f>
        <v/>
      </c>
      <c r="D486" s="8">
        <f>IF($C486="","",IF(Preenchimento!$C$106="","-",Preenchimento!$C$106))</f>
        <v/>
      </c>
      <c r="E486" s="8" t="n"/>
      <c r="F486" s="8" t="n"/>
      <c r="G486" s="24" t="n"/>
      <c r="H486" s="8" t="n"/>
      <c r="I486" s="14" t="n"/>
      <c r="J486" s="25">
        <f>IF($C486="","",IF($E486="Falta","-",MAX(0,MIN(10,8+IFERROR(VALUE(TRIM(MID(SUBSTITUTE(SUBSTITUTE(SUBSTITUTE(UPPER($H486)," ",""),"D",""),";",REPT(" ",30)),1,30))),0)+IFERROR(VALUE(TRIM(MID(SUBSTITUTE(SUBSTITUTE(SUBSTITUTE(UPPER($H486)," ",""),"D",""),";",REPT(" ",30)),31,30))),0)+IFERROR(VALUE(TRIM(MID(SUBSTITUTE(SUBSTITUTE(SUBSTITUTE(UPPER($H486)," ",""),"D",""),";",REPT(" ",30)),61,30))),0)+IFERROR(VALUE(TRIM(MID(SUBSTITUTE(SUBSTITUTE(SUBSTITUTE(UPPER($H486)," ",""),"D",""),";",REPT(" ",30)),91,30))),0)+IFERROR(VALUE(TRIM(MID(SUBSTITUTE(SUBSTITUTE(SUBSTITUTE(UPPER($H486)," ",""),"D",""),";",REPT(" ",30)),121,30))),0)+IFERROR(VALUE(TRIM(MID(SUBSTITUTE(SUBSTITUTE(SUBSTITUTE(UPPER($H486)," ",""),"D",""),";",REPT(" ",30)),151,30))),0)+IFERROR(VALUE(TRIM(MID(SUBSTITUTE(SUBSTITUTE(SUBSTITUTE(UPPER($H486)," ",""),"D",""),";",REPT(" ",30)),181,30))),0)+IFERROR(VALUE(TRIM(MID(SUBSTITUTE(SUBSTITUTE(SUBSTITUTE(UPPER($H486)," ",""),"D",""),";",REPT(" ",30)),211,30))),0)))))</f>
        <v/>
      </c>
      <c r="K486" s="24" t="n"/>
      <c r="L486" s="8" t="n"/>
      <c r="M486" s="14" t="n"/>
      <c r="N486" s="25">
        <f>IF($C486="","",IF($E486="Falta","-",MAX(0,MIN(10,8+IFERROR(VALUE(TRIM(MID(SUBSTITUTE(SUBSTITUTE(SUBSTITUTE(UPPER($L486)," ",""),"F",""),";",REPT(" ",30)),1,30))),0)+IFERROR(VALUE(TRIM(MID(SUBSTITUTE(SUBSTITUTE(SUBSTITUTE(UPPER($L486)," ",""),"F",""),";",REPT(" ",30)),31,30))),0)+IFERROR(VALUE(TRIM(MID(SUBSTITUTE(SUBSTITUTE(SUBSTITUTE(UPPER($L486)," ",""),"F",""),";",REPT(" ",30)),61,30))),0)+IFERROR(VALUE(TRIM(MID(SUBSTITUTE(SUBSTITUTE(SUBSTITUTE(UPPER($L486)," ",""),"F",""),";",REPT(" ",30)),91,30))),0)+IFERROR(VALUE(TRIM(MID(SUBSTITUTE(SUBSTITUTE(SUBSTITUTE(UPPER($L486)," ",""),"F",""),";",REPT(" ",30)),121,30))),0)+IFERROR(VALUE(TRIM(MID(SUBSTITUTE(SUBSTITUTE(SUBSTITUTE(UPPER($L486)," ",""),"F",""),";",REPT(" ",30)),151,30))),0)+IFERROR(VALUE(TRIM(MID(SUBSTITUTE(SUBSTITUTE(SUBSTITUTE(UPPER($L486)," ",""),"F",""),";",REPT(" ",30)),181,30))),0)+IFERROR(VALUE(TRIM(MID(SUBSTITUTE(SUBSTITUTE(SUBSTITUTE(UPPER($L486)," ",""),"F",""),";",REPT(" ",30)),211,30))),0)))))</f>
        <v/>
      </c>
      <c r="O486" s="24" t="n"/>
      <c r="P486" s="8" t="n"/>
      <c r="Q486" s="14" t="n"/>
      <c r="R486" s="25">
        <f>IF($C486="","",IF($E486="Falta","-",MAX(0,MIN(10,5+IFERROR(VALUE(TRIM(MID(SUBSTITUTE(SUBSTITUTE(SUBSTITUTE(UPPER($P486)," ",""),"C",""),";",REPT(" ",30)),1,30))),0)+IFERROR(VALUE(TRIM(MID(SUBSTITUTE(SUBSTITUTE(SUBSTITUTE(UPPER($P486)," ",""),"C",""),";",REPT(" ",30)),31,30))),0)+IFERROR(VALUE(TRIM(MID(SUBSTITUTE(SUBSTITUTE(SUBSTITUTE(UPPER($P486)," ",""),"C",""),";",REPT(" ",30)),61,30))),0)+IFERROR(VALUE(TRIM(MID(SUBSTITUTE(SUBSTITUTE(SUBSTITUTE(UPPER($P486)," ",""),"C",""),";",REPT(" ",30)),91,30))),0)+IFERROR(VALUE(TRIM(MID(SUBSTITUTE(SUBSTITUTE(SUBSTITUTE(UPPER($P486)," ",""),"C",""),";",REPT(" ",30)),121,30))),0)+IFERROR(VALUE(TRIM(MID(SUBSTITUTE(SUBSTITUTE(SUBSTITUTE(UPPER($P486)," ",""),"C",""),";",REPT(" ",30)),151,30))),0)+IFERROR(VALUE(TRIM(MID(SUBSTITUTE(SUBSTITUTE(SUBSTITUTE(UPPER($P486)," ",""),"C",""),";",REPT(" ",30)),181,30))),0)+IFERROR(VALUE(TRIM(MID(SUBSTITUTE(SUBSTITUTE(SUBSTITUTE(UPPER($P486)," ",""),"C",""),";",REPT(" ",30)),211,30))),0)))))</f>
        <v/>
      </c>
      <c r="S486" s="24" t="n"/>
      <c r="T486" s="8" t="n"/>
      <c r="U486" s="14" t="n"/>
      <c r="V486" s="25">
        <f>IF($C486="","",IF($E486="Falta","-",MAX(0,MIN(10,5+IFERROR(VALUE(TRIM(MID(SUBSTITUTE(SUBSTITUTE(SUBSTITUTE(UPPER($T486)," ",""),"P",""),";",REPT(" ",30)),1,30))),0)+IFERROR(VALUE(TRIM(MID(SUBSTITUTE(SUBSTITUTE(SUBSTITUTE(UPPER($T486)," ",""),"P",""),";",REPT(" ",30)),31,30))),0)+IFERROR(VALUE(TRIM(MID(SUBSTITUTE(SUBSTITUTE(SUBSTITUTE(UPPER($T486)," ",""),"P",""),";",REPT(" ",30)),61,30))),0)+IFERROR(VALUE(TRIM(MID(SUBSTITUTE(SUBSTITUTE(SUBSTITUTE(UPPER($T486)," ",""),"P",""),";",REPT(" ",30)),91,30))),0)+IFERROR(VALUE(TRIM(MID(SUBSTITUTE(SUBSTITUTE(SUBSTITUTE(UPPER($T486)," ",""),"P",""),";",REPT(" ",30)),121,30))),0)+IFERROR(VALUE(TRIM(MID(SUBSTITUTE(SUBSTITUTE(SUBSTITUTE(UPPER($T486)," ",""),"P",""),";",REPT(" ",30)),151,30))),0)+IFERROR(VALUE(TRIM(MID(SUBSTITUTE(SUBSTITUTE(SUBSTITUTE(UPPER($T486)," ",""),"P",""),";",REPT(" ",30)),181,30))),0)+IFERROR(VALUE(TRIM(MID(SUBSTITUTE(SUBSTITUTE(SUBSTITUTE(UPPER($T486)," ",""),"P",""),";",REPT(" ",30)),211,30))),0)))))</f>
        <v/>
      </c>
      <c r="W486" s="24" t="n"/>
      <c r="X486" s="14" t="n"/>
    </row>
    <row r="487">
      <c r="A487" s="8">
        <f>IF($C487="","",97)</f>
        <v/>
      </c>
      <c r="B487" s="8">
        <f>IF($C487="","","4ª Sessão")</f>
        <v/>
      </c>
      <c r="C487" s="8">
        <f>IF(Preenchimento!$B$106="","",Preenchimento!$B$106)</f>
        <v/>
      </c>
      <c r="D487" s="8">
        <f>IF($C487="","",IF(Preenchimento!$C$106="","-",Preenchimento!$C$106))</f>
        <v/>
      </c>
      <c r="E487" s="8" t="n"/>
      <c r="F487" s="8" t="n"/>
      <c r="G487" s="24" t="n"/>
      <c r="H487" s="8" t="n"/>
      <c r="I487" s="14" t="n"/>
      <c r="J487" s="25">
        <f>IF($C487="","",IF($E487="Falta","-",MAX(0,MIN(10,8+IFERROR(VALUE(TRIM(MID(SUBSTITUTE(SUBSTITUTE(SUBSTITUTE(UPPER($H487)," ",""),"D",""),";",REPT(" ",30)),1,30))),0)+IFERROR(VALUE(TRIM(MID(SUBSTITUTE(SUBSTITUTE(SUBSTITUTE(UPPER($H487)," ",""),"D",""),";",REPT(" ",30)),31,30))),0)+IFERROR(VALUE(TRIM(MID(SUBSTITUTE(SUBSTITUTE(SUBSTITUTE(UPPER($H487)," ",""),"D",""),";",REPT(" ",30)),61,30))),0)+IFERROR(VALUE(TRIM(MID(SUBSTITUTE(SUBSTITUTE(SUBSTITUTE(UPPER($H487)," ",""),"D",""),";",REPT(" ",30)),91,30))),0)+IFERROR(VALUE(TRIM(MID(SUBSTITUTE(SUBSTITUTE(SUBSTITUTE(UPPER($H487)," ",""),"D",""),";",REPT(" ",30)),121,30))),0)+IFERROR(VALUE(TRIM(MID(SUBSTITUTE(SUBSTITUTE(SUBSTITUTE(UPPER($H487)," ",""),"D",""),";",REPT(" ",30)),151,30))),0)+IFERROR(VALUE(TRIM(MID(SUBSTITUTE(SUBSTITUTE(SUBSTITUTE(UPPER($H487)," ",""),"D",""),";",REPT(" ",30)),181,30))),0)+IFERROR(VALUE(TRIM(MID(SUBSTITUTE(SUBSTITUTE(SUBSTITUTE(UPPER($H487)," ",""),"D",""),";",REPT(" ",30)),211,30))),0)))))</f>
        <v/>
      </c>
      <c r="K487" s="24" t="n"/>
      <c r="L487" s="8" t="n"/>
      <c r="M487" s="14" t="n"/>
      <c r="N487" s="25">
        <f>IF($C487="","",IF($E487="Falta","-",MAX(0,MIN(10,8+IFERROR(VALUE(TRIM(MID(SUBSTITUTE(SUBSTITUTE(SUBSTITUTE(UPPER($L487)," ",""),"F",""),";",REPT(" ",30)),1,30))),0)+IFERROR(VALUE(TRIM(MID(SUBSTITUTE(SUBSTITUTE(SUBSTITUTE(UPPER($L487)," ",""),"F",""),";",REPT(" ",30)),31,30))),0)+IFERROR(VALUE(TRIM(MID(SUBSTITUTE(SUBSTITUTE(SUBSTITUTE(UPPER($L487)," ",""),"F",""),";",REPT(" ",30)),61,30))),0)+IFERROR(VALUE(TRIM(MID(SUBSTITUTE(SUBSTITUTE(SUBSTITUTE(UPPER($L487)," ",""),"F",""),";",REPT(" ",30)),91,30))),0)+IFERROR(VALUE(TRIM(MID(SUBSTITUTE(SUBSTITUTE(SUBSTITUTE(UPPER($L487)," ",""),"F",""),";",REPT(" ",30)),121,30))),0)+IFERROR(VALUE(TRIM(MID(SUBSTITUTE(SUBSTITUTE(SUBSTITUTE(UPPER($L487)," ",""),"F",""),";",REPT(" ",30)),151,30))),0)+IFERROR(VALUE(TRIM(MID(SUBSTITUTE(SUBSTITUTE(SUBSTITUTE(UPPER($L487)," ",""),"F",""),";",REPT(" ",30)),181,30))),0)+IFERROR(VALUE(TRIM(MID(SUBSTITUTE(SUBSTITUTE(SUBSTITUTE(UPPER($L487)," ",""),"F",""),";",REPT(" ",30)),211,30))),0)))))</f>
        <v/>
      </c>
      <c r="O487" s="24" t="n"/>
      <c r="P487" s="8" t="n"/>
      <c r="Q487" s="14" t="n"/>
      <c r="R487" s="25">
        <f>IF($C487="","",IF($E487="Falta","-",MAX(0,MIN(10,5+IFERROR(VALUE(TRIM(MID(SUBSTITUTE(SUBSTITUTE(SUBSTITUTE(UPPER($P487)," ",""),"C",""),";",REPT(" ",30)),1,30))),0)+IFERROR(VALUE(TRIM(MID(SUBSTITUTE(SUBSTITUTE(SUBSTITUTE(UPPER($P487)," ",""),"C",""),";",REPT(" ",30)),31,30))),0)+IFERROR(VALUE(TRIM(MID(SUBSTITUTE(SUBSTITUTE(SUBSTITUTE(UPPER($P487)," ",""),"C",""),";",REPT(" ",30)),61,30))),0)+IFERROR(VALUE(TRIM(MID(SUBSTITUTE(SUBSTITUTE(SUBSTITUTE(UPPER($P487)," ",""),"C",""),";",REPT(" ",30)),91,30))),0)+IFERROR(VALUE(TRIM(MID(SUBSTITUTE(SUBSTITUTE(SUBSTITUTE(UPPER($P487)," ",""),"C",""),";",REPT(" ",30)),121,30))),0)+IFERROR(VALUE(TRIM(MID(SUBSTITUTE(SUBSTITUTE(SUBSTITUTE(UPPER($P487)," ",""),"C",""),";",REPT(" ",30)),151,30))),0)+IFERROR(VALUE(TRIM(MID(SUBSTITUTE(SUBSTITUTE(SUBSTITUTE(UPPER($P487)," ",""),"C",""),";",REPT(" ",30)),181,30))),0)+IFERROR(VALUE(TRIM(MID(SUBSTITUTE(SUBSTITUTE(SUBSTITUTE(UPPER($P487)," ",""),"C",""),";",REPT(" ",30)),211,30))),0)))))</f>
        <v/>
      </c>
      <c r="S487" s="24" t="n"/>
      <c r="T487" s="8" t="n"/>
      <c r="U487" s="14" t="n"/>
      <c r="V487" s="25">
        <f>IF($C487="","",IF($E487="Falta","-",MAX(0,MIN(10,5+IFERROR(VALUE(TRIM(MID(SUBSTITUTE(SUBSTITUTE(SUBSTITUTE(UPPER($T487)," ",""),"P",""),";",REPT(" ",30)),1,30))),0)+IFERROR(VALUE(TRIM(MID(SUBSTITUTE(SUBSTITUTE(SUBSTITUTE(UPPER($T487)," ",""),"P",""),";",REPT(" ",30)),31,30))),0)+IFERROR(VALUE(TRIM(MID(SUBSTITUTE(SUBSTITUTE(SUBSTITUTE(UPPER($T487)," ",""),"P",""),";",REPT(" ",30)),61,30))),0)+IFERROR(VALUE(TRIM(MID(SUBSTITUTE(SUBSTITUTE(SUBSTITUTE(UPPER($T487)," ",""),"P",""),";",REPT(" ",30)),91,30))),0)+IFERROR(VALUE(TRIM(MID(SUBSTITUTE(SUBSTITUTE(SUBSTITUTE(UPPER($T487)," ",""),"P",""),";",REPT(" ",30)),121,30))),0)+IFERROR(VALUE(TRIM(MID(SUBSTITUTE(SUBSTITUTE(SUBSTITUTE(UPPER($T487)," ",""),"P",""),";",REPT(" ",30)),151,30))),0)+IFERROR(VALUE(TRIM(MID(SUBSTITUTE(SUBSTITUTE(SUBSTITUTE(UPPER($T487)," ",""),"P",""),";",REPT(" ",30)),181,30))),0)+IFERROR(VALUE(TRIM(MID(SUBSTITUTE(SUBSTITUTE(SUBSTITUTE(UPPER($T487)," ",""),"P",""),";",REPT(" ",30)),211,30))),0)))))</f>
        <v/>
      </c>
      <c r="W487" s="24" t="n"/>
      <c r="X487" s="14" t="n"/>
    </row>
    <row r="488">
      <c r="A488" s="8">
        <f>IF($C488="","",97)</f>
        <v/>
      </c>
      <c r="B488" s="8">
        <f>IF($C488="","","5ª Sessão")</f>
        <v/>
      </c>
      <c r="C488" s="8">
        <f>IF(Preenchimento!$B$106="","",Preenchimento!$B$106)</f>
        <v/>
      </c>
      <c r="D488" s="8">
        <f>IF($C488="","",IF(Preenchimento!$C$106="","-",Preenchimento!$C$106))</f>
        <v/>
      </c>
      <c r="E488" s="8" t="n"/>
      <c r="F488" s="8" t="n"/>
      <c r="G488" s="24" t="n"/>
      <c r="H488" s="8" t="n"/>
      <c r="I488" s="14" t="n"/>
      <c r="J488" s="25">
        <f>IF($C488="","",IF($E488="Falta","-",MAX(0,MIN(10,8+IFERROR(VALUE(TRIM(MID(SUBSTITUTE(SUBSTITUTE(SUBSTITUTE(UPPER($H488)," ",""),"D",""),";",REPT(" ",30)),1,30))),0)+IFERROR(VALUE(TRIM(MID(SUBSTITUTE(SUBSTITUTE(SUBSTITUTE(UPPER($H488)," ",""),"D",""),";",REPT(" ",30)),31,30))),0)+IFERROR(VALUE(TRIM(MID(SUBSTITUTE(SUBSTITUTE(SUBSTITUTE(UPPER($H488)," ",""),"D",""),";",REPT(" ",30)),61,30))),0)+IFERROR(VALUE(TRIM(MID(SUBSTITUTE(SUBSTITUTE(SUBSTITUTE(UPPER($H488)," ",""),"D",""),";",REPT(" ",30)),91,30))),0)+IFERROR(VALUE(TRIM(MID(SUBSTITUTE(SUBSTITUTE(SUBSTITUTE(UPPER($H488)," ",""),"D",""),";",REPT(" ",30)),121,30))),0)+IFERROR(VALUE(TRIM(MID(SUBSTITUTE(SUBSTITUTE(SUBSTITUTE(UPPER($H488)," ",""),"D",""),";",REPT(" ",30)),151,30))),0)+IFERROR(VALUE(TRIM(MID(SUBSTITUTE(SUBSTITUTE(SUBSTITUTE(UPPER($H488)," ",""),"D",""),";",REPT(" ",30)),181,30))),0)+IFERROR(VALUE(TRIM(MID(SUBSTITUTE(SUBSTITUTE(SUBSTITUTE(UPPER($H488)," ",""),"D",""),";",REPT(" ",30)),211,30))),0)))))</f>
        <v/>
      </c>
      <c r="K488" s="24" t="n"/>
      <c r="L488" s="8" t="n"/>
      <c r="M488" s="14" t="n"/>
      <c r="N488" s="25">
        <f>IF($C488="","",IF($E488="Falta","-",MAX(0,MIN(10,8+IFERROR(VALUE(TRIM(MID(SUBSTITUTE(SUBSTITUTE(SUBSTITUTE(UPPER($L488)," ",""),"F",""),";",REPT(" ",30)),1,30))),0)+IFERROR(VALUE(TRIM(MID(SUBSTITUTE(SUBSTITUTE(SUBSTITUTE(UPPER($L488)," ",""),"F",""),";",REPT(" ",30)),31,30))),0)+IFERROR(VALUE(TRIM(MID(SUBSTITUTE(SUBSTITUTE(SUBSTITUTE(UPPER($L488)," ",""),"F",""),";",REPT(" ",30)),61,30))),0)+IFERROR(VALUE(TRIM(MID(SUBSTITUTE(SUBSTITUTE(SUBSTITUTE(UPPER($L488)," ",""),"F",""),";",REPT(" ",30)),91,30))),0)+IFERROR(VALUE(TRIM(MID(SUBSTITUTE(SUBSTITUTE(SUBSTITUTE(UPPER($L488)," ",""),"F",""),";",REPT(" ",30)),121,30))),0)+IFERROR(VALUE(TRIM(MID(SUBSTITUTE(SUBSTITUTE(SUBSTITUTE(UPPER($L488)," ",""),"F",""),";",REPT(" ",30)),151,30))),0)+IFERROR(VALUE(TRIM(MID(SUBSTITUTE(SUBSTITUTE(SUBSTITUTE(UPPER($L488)," ",""),"F",""),";",REPT(" ",30)),181,30))),0)+IFERROR(VALUE(TRIM(MID(SUBSTITUTE(SUBSTITUTE(SUBSTITUTE(UPPER($L488)," ",""),"F",""),";",REPT(" ",30)),211,30))),0)))))</f>
        <v/>
      </c>
      <c r="O488" s="24" t="n"/>
      <c r="P488" s="8" t="n"/>
      <c r="Q488" s="14" t="n"/>
      <c r="R488" s="25">
        <f>IF($C488="","",IF($E488="Falta","-",MAX(0,MIN(10,5+IFERROR(VALUE(TRIM(MID(SUBSTITUTE(SUBSTITUTE(SUBSTITUTE(UPPER($P488)," ",""),"C",""),";",REPT(" ",30)),1,30))),0)+IFERROR(VALUE(TRIM(MID(SUBSTITUTE(SUBSTITUTE(SUBSTITUTE(UPPER($P488)," ",""),"C",""),";",REPT(" ",30)),31,30))),0)+IFERROR(VALUE(TRIM(MID(SUBSTITUTE(SUBSTITUTE(SUBSTITUTE(UPPER($P488)," ",""),"C",""),";",REPT(" ",30)),61,30))),0)+IFERROR(VALUE(TRIM(MID(SUBSTITUTE(SUBSTITUTE(SUBSTITUTE(UPPER($P488)," ",""),"C",""),";",REPT(" ",30)),91,30))),0)+IFERROR(VALUE(TRIM(MID(SUBSTITUTE(SUBSTITUTE(SUBSTITUTE(UPPER($P488)," ",""),"C",""),";",REPT(" ",30)),121,30))),0)+IFERROR(VALUE(TRIM(MID(SUBSTITUTE(SUBSTITUTE(SUBSTITUTE(UPPER($P488)," ",""),"C",""),";",REPT(" ",30)),151,30))),0)+IFERROR(VALUE(TRIM(MID(SUBSTITUTE(SUBSTITUTE(SUBSTITUTE(UPPER($P488)," ",""),"C",""),";",REPT(" ",30)),181,30))),0)+IFERROR(VALUE(TRIM(MID(SUBSTITUTE(SUBSTITUTE(SUBSTITUTE(UPPER($P488)," ",""),"C",""),";",REPT(" ",30)),211,30))),0)))))</f>
        <v/>
      </c>
      <c r="S488" s="24" t="n"/>
      <c r="T488" s="8" t="n"/>
      <c r="U488" s="14" t="n"/>
      <c r="V488" s="25">
        <f>IF($C488="","",IF($E488="Falta","-",MAX(0,MIN(10,5+IFERROR(VALUE(TRIM(MID(SUBSTITUTE(SUBSTITUTE(SUBSTITUTE(UPPER($T488)," ",""),"P",""),";",REPT(" ",30)),1,30))),0)+IFERROR(VALUE(TRIM(MID(SUBSTITUTE(SUBSTITUTE(SUBSTITUTE(UPPER($T488)," ",""),"P",""),";",REPT(" ",30)),31,30))),0)+IFERROR(VALUE(TRIM(MID(SUBSTITUTE(SUBSTITUTE(SUBSTITUTE(UPPER($T488)," ",""),"P",""),";",REPT(" ",30)),61,30))),0)+IFERROR(VALUE(TRIM(MID(SUBSTITUTE(SUBSTITUTE(SUBSTITUTE(UPPER($T488)," ",""),"P",""),";",REPT(" ",30)),91,30))),0)+IFERROR(VALUE(TRIM(MID(SUBSTITUTE(SUBSTITUTE(SUBSTITUTE(UPPER($T488)," ",""),"P",""),";",REPT(" ",30)),121,30))),0)+IFERROR(VALUE(TRIM(MID(SUBSTITUTE(SUBSTITUTE(SUBSTITUTE(UPPER($T488)," ",""),"P",""),";",REPT(" ",30)),151,30))),0)+IFERROR(VALUE(TRIM(MID(SUBSTITUTE(SUBSTITUTE(SUBSTITUTE(UPPER($T488)," ",""),"P",""),";",REPT(" ",30)),181,30))),0)+IFERROR(VALUE(TRIM(MID(SUBSTITUTE(SUBSTITUTE(SUBSTITUTE(UPPER($T488)," ",""),"P",""),";",REPT(" ",30)),211,30))),0)))))</f>
        <v/>
      </c>
      <c r="W488" s="24" t="n"/>
      <c r="X488" s="14" t="n"/>
    </row>
    <row r="489">
      <c r="A489" s="6">
        <f>IF($C489="","",98)</f>
        <v/>
      </c>
      <c r="B489" s="6">
        <f>IF($C489="","","1ª Sessão")</f>
        <v/>
      </c>
      <c r="C489" s="6">
        <f>IF(Preenchimento!$B$107="","",Preenchimento!$B$107)</f>
        <v/>
      </c>
      <c r="D489" s="6">
        <f>IF($C489="","",IF(Preenchimento!$C$107="","-",Preenchimento!$C$107))</f>
        <v/>
      </c>
      <c r="E489" s="6" t="n"/>
      <c r="F489" s="6" t="n"/>
      <c r="G489" s="26" t="n"/>
      <c r="H489" s="6" t="n"/>
      <c r="I489" s="13" t="n"/>
      <c r="J489" s="27">
        <f>IF($C489="","",IF($E489="Falta","-",MAX(0,MIN(10,8+IFERROR(VALUE(TRIM(MID(SUBSTITUTE(SUBSTITUTE(SUBSTITUTE(UPPER($H489)," ",""),"D",""),";",REPT(" ",30)),1,30))),0)+IFERROR(VALUE(TRIM(MID(SUBSTITUTE(SUBSTITUTE(SUBSTITUTE(UPPER($H489)," ",""),"D",""),";",REPT(" ",30)),31,30))),0)+IFERROR(VALUE(TRIM(MID(SUBSTITUTE(SUBSTITUTE(SUBSTITUTE(UPPER($H489)," ",""),"D",""),";",REPT(" ",30)),61,30))),0)+IFERROR(VALUE(TRIM(MID(SUBSTITUTE(SUBSTITUTE(SUBSTITUTE(UPPER($H489)," ",""),"D",""),";",REPT(" ",30)),91,30))),0)+IFERROR(VALUE(TRIM(MID(SUBSTITUTE(SUBSTITUTE(SUBSTITUTE(UPPER($H489)," ",""),"D",""),";",REPT(" ",30)),121,30))),0)+IFERROR(VALUE(TRIM(MID(SUBSTITUTE(SUBSTITUTE(SUBSTITUTE(UPPER($H489)," ",""),"D",""),";",REPT(" ",30)),151,30))),0)+IFERROR(VALUE(TRIM(MID(SUBSTITUTE(SUBSTITUTE(SUBSTITUTE(UPPER($H489)," ",""),"D",""),";",REPT(" ",30)),181,30))),0)+IFERROR(VALUE(TRIM(MID(SUBSTITUTE(SUBSTITUTE(SUBSTITUTE(UPPER($H489)," ",""),"D",""),";",REPT(" ",30)),211,30))),0)))))</f>
        <v/>
      </c>
      <c r="K489" s="26" t="n"/>
      <c r="L489" s="6" t="n"/>
      <c r="M489" s="13" t="n"/>
      <c r="N489" s="27">
        <f>IF($C489="","",IF($E489="Falta","-",MAX(0,MIN(10,8+IFERROR(VALUE(TRIM(MID(SUBSTITUTE(SUBSTITUTE(SUBSTITUTE(UPPER($L489)," ",""),"F",""),";",REPT(" ",30)),1,30))),0)+IFERROR(VALUE(TRIM(MID(SUBSTITUTE(SUBSTITUTE(SUBSTITUTE(UPPER($L489)," ",""),"F",""),";",REPT(" ",30)),31,30))),0)+IFERROR(VALUE(TRIM(MID(SUBSTITUTE(SUBSTITUTE(SUBSTITUTE(UPPER($L489)," ",""),"F",""),";",REPT(" ",30)),61,30))),0)+IFERROR(VALUE(TRIM(MID(SUBSTITUTE(SUBSTITUTE(SUBSTITUTE(UPPER($L489)," ",""),"F",""),";",REPT(" ",30)),91,30))),0)+IFERROR(VALUE(TRIM(MID(SUBSTITUTE(SUBSTITUTE(SUBSTITUTE(UPPER($L489)," ",""),"F",""),";",REPT(" ",30)),121,30))),0)+IFERROR(VALUE(TRIM(MID(SUBSTITUTE(SUBSTITUTE(SUBSTITUTE(UPPER($L489)," ",""),"F",""),";",REPT(" ",30)),151,30))),0)+IFERROR(VALUE(TRIM(MID(SUBSTITUTE(SUBSTITUTE(SUBSTITUTE(UPPER($L489)," ",""),"F",""),";",REPT(" ",30)),181,30))),0)+IFERROR(VALUE(TRIM(MID(SUBSTITUTE(SUBSTITUTE(SUBSTITUTE(UPPER($L489)," ",""),"F",""),";",REPT(" ",30)),211,30))),0)))))</f>
        <v/>
      </c>
      <c r="O489" s="26" t="n"/>
      <c r="P489" s="6" t="n"/>
      <c r="Q489" s="13" t="n"/>
      <c r="R489" s="27">
        <f>IF($C489="","",IF($E489="Falta","-",MAX(0,MIN(10,5+IFERROR(VALUE(TRIM(MID(SUBSTITUTE(SUBSTITUTE(SUBSTITUTE(UPPER($P489)," ",""),"C",""),";",REPT(" ",30)),1,30))),0)+IFERROR(VALUE(TRIM(MID(SUBSTITUTE(SUBSTITUTE(SUBSTITUTE(UPPER($P489)," ",""),"C",""),";",REPT(" ",30)),31,30))),0)+IFERROR(VALUE(TRIM(MID(SUBSTITUTE(SUBSTITUTE(SUBSTITUTE(UPPER($P489)," ",""),"C",""),";",REPT(" ",30)),61,30))),0)+IFERROR(VALUE(TRIM(MID(SUBSTITUTE(SUBSTITUTE(SUBSTITUTE(UPPER($P489)," ",""),"C",""),";",REPT(" ",30)),91,30))),0)+IFERROR(VALUE(TRIM(MID(SUBSTITUTE(SUBSTITUTE(SUBSTITUTE(UPPER($P489)," ",""),"C",""),";",REPT(" ",30)),121,30))),0)+IFERROR(VALUE(TRIM(MID(SUBSTITUTE(SUBSTITUTE(SUBSTITUTE(UPPER($P489)," ",""),"C",""),";",REPT(" ",30)),151,30))),0)+IFERROR(VALUE(TRIM(MID(SUBSTITUTE(SUBSTITUTE(SUBSTITUTE(UPPER($P489)," ",""),"C",""),";",REPT(" ",30)),181,30))),0)+IFERROR(VALUE(TRIM(MID(SUBSTITUTE(SUBSTITUTE(SUBSTITUTE(UPPER($P489)," ",""),"C",""),";",REPT(" ",30)),211,30))),0)))))</f>
        <v/>
      </c>
      <c r="S489" s="26" t="n"/>
      <c r="T489" s="6" t="n"/>
      <c r="U489" s="13" t="n"/>
      <c r="V489" s="27">
        <f>IF($C489="","",IF($E489="Falta","-",MAX(0,MIN(10,5+IFERROR(VALUE(TRIM(MID(SUBSTITUTE(SUBSTITUTE(SUBSTITUTE(UPPER($T489)," ",""),"P",""),";",REPT(" ",30)),1,30))),0)+IFERROR(VALUE(TRIM(MID(SUBSTITUTE(SUBSTITUTE(SUBSTITUTE(UPPER($T489)," ",""),"P",""),";",REPT(" ",30)),31,30))),0)+IFERROR(VALUE(TRIM(MID(SUBSTITUTE(SUBSTITUTE(SUBSTITUTE(UPPER($T489)," ",""),"P",""),";",REPT(" ",30)),61,30))),0)+IFERROR(VALUE(TRIM(MID(SUBSTITUTE(SUBSTITUTE(SUBSTITUTE(UPPER($T489)," ",""),"P",""),";",REPT(" ",30)),91,30))),0)+IFERROR(VALUE(TRIM(MID(SUBSTITUTE(SUBSTITUTE(SUBSTITUTE(UPPER($T489)," ",""),"P",""),";",REPT(" ",30)),121,30))),0)+IFERROR(VALUE(TRIM(MID(SUBSTITUTE(SUBSTITUTE(SUBSTITUTE(UPPER($T489)," ",""),"P",""),";",REPT(" ",30)),151,30))),0)+IFERROR(VALUE(TRIM(MID(SUBSTITUTE(SUBSTITUTE(SUBSTITUTE(UPPER($T489)," ",""),"P",""),";",REPT(" ",30)),181,30))),0)+IFERROR(VALUE(TRIM(MID(SUBSTITUTE(SUBSTITUTE(SUBSTITUTE(UPPER($T489)," ",""),"P",""),";",REPT(" ",30)),211,30))),0)))))</f>
        <v/>
      </c>
      <c r="W489" s="26" t="n"/>
      <c r="X489" s="13" t="n"/>
    </row>
    <row r="490">
      <c r="A490" s="6">
        <f>IF($C490="","",98)</f>
        <v/>
      </c>
      <c r="B490" s="6">
        <f>IF($C490="","","2ª Sessão")</f>
        <v/>
      </c>
      <c r="C490" s="6">
        <f>IF(Preenchimento!$B$107="","",Preenchimento!$B$107)</f>
        <v/>
      </c>
      <c r="D490" s="6">
        <f>IF($C490="","",IF(Preenchimento!$C$107="","-",Preenchimento!$C$107))</f>
        <v/>
      </c>
      <c r="E490" s="6" t="n"/>
      <c r="F490" s="6" t="n"/>
      <c r="G490" s="26" t="n"/>
      <c r="H490" s="6" t="n"/>
      <c r="I490" s="13" t="n"/>
      <c r="J490" s="27">
        <f>IF($C490="","",IF($E490="Falta","-",MAX(0,MIN(10,8+IFERROR(VALUE(TRIM(MID(SUBSTITUTE(SUBSTITUTE(SUBSTITUTE(UPPER($H490)," ",""),"D",""),";",REPT(" ",30)),1,30))),0)+IFERROR(VALUE(TRIM(MID(SUBSTITUTE(SUBSTITUTE(SUBSTITUTE(UPPER($H490)," ",""),"D",""),";",REPT(" ",30)),31,30))),0)+IFERROR(VALUE(TRIM(MID(SUBSTITUTE(SUBSTITUTE(SUBSTITUTE(UPPER($H490)," ",""),"D",""),";",REPT(" ",30)),61,30))),0)+IFERROR(VALUE(TRIM(MID(SUBSTITUTE(SUBSTITUTE(SUBSTITUTE(UPPER($H490)," ",""),"D",""),";",REPT(" ",30)),91,30))),0)+IFERROR(VALUE(TRIM(MID(SUBSTITUTE(SUBSTITUTE(SUBSTITUTE(UPPER($H490)," ",""),"D",""),";",REPT(" ",30)),121,30))),0)+IFERROR(VALUE(TRIM(MID(SUBSTITUTE(SUBSTITUTE(SUBSTITUTE(UPPER($H490)," ",""),"D",""),";",REPT(" ",30)),151,30))),0)+IFERROR(VALUE(TRIM(MID(SUBSTITUTE(SUBSTITUTE(SUBSTITUTE(UPPER($H490)," ",""),"D",""),";",REPT(" ",30)),181,30))),0)+IFERROR(VALUE(TRIM(MID(SUBSTITUTE(SUBSTITUTE(SUBSTITUTE(UPPER($H490)," ",""),"D",""),";",REPT(" ",30)),211,30))),0)))))</f>
        <v/>
      </c>
      <c r="K490" s="26" t="n"/>
      <c r="L490" s="6" t="n"/>
      <c r="M490" s="13" t="n"/>
      <c r="N490" s="27">
        <f>IF($C490="","",IF($E490="Falta","-",MAX(0,MIN(10,8+IFERROR(VALUE(TRIM(MID(SUBSTITUTE(SUBSTITUTE(SUBSTITUTE(UPPER($L490)," ",""),"F",""),";",REPT(" ",30)),1,30))),0)+IFERROR(VALUE(TRIM(MID(SUBSTITUTE(SUBSTITUTE(SUBSTITUTE(UPPER($L490)," ",""),"F",""),";",REPT(" ",30)),31,30))),0)+IFERROR(VALUE(TRIM(MID(SUBSTITUTE(SUBSTITUTE(SUBSTITUTE(UPPER($L490)," ",""),"F",""),";",REPT(" ",30)),61,30))),0)+IFERROR(VALUE(TRIM(MID(SUBSTITUTE(SUBSTITUTE(SUBSTITUTE(UPPER($L490)," ",""),"F",""),";",REPT(" ",30)),91,30))),0)+IFERROR(VALUE(TRIM(MID(SUBSTITUTE(SUBSTITUTE(SUBSTITUTE(UPPER($L490)," ",""),"F",""),";",REPT(" ",30)),121,30))),0)+IFERROR(VALUE(TRIM(MID(SUBSTITUTE(SUBSTITUTE(SUBSTITUTE(UPPER($L490)," ",""),"F",""),";",REPT(" ",30)),151,30))),0)+IFERROR(VALUE(TRIM(MID(SUBSTITUTE(SUBSTITUTE(SUBSTITUTE(UPPER($L490)," ",""),"F",""),";",REPT(" ",30)),181,30))),0)+IFERROR(VALUE(TRIM(MID(SUBSTITUTE(SUBSTITUTE(SUBSTITUTE(UPPER($L490)," ",""),"F",""),";",REPT(" ",30)),211,30))),0)))))</f>
        <v/>
      </c>
      <c r="O490" s="26" t="n"/>
      <c r="P490" s="6" t="n"/>
      <c r="Q490" s="13" t="n"/>
      <c r="R490" s="27">
        <f>IF($C490="","",IF($E490="Falta","-",MAX(0,MIN(10,5+IFERROR(VALUE(TRIM(MID(SUBSTITUTE(SUBSTITUTE(SUBSTITUTE(UPPER($P490)," ",""),"C",""),";",REPT(" ",30)),1,30))),0)+IFERROR(VALUE(TRIM(MID(SUBSTITUTE(SUBSTITUTE(SUBSTITUTE(UPPER($P490)," ",""),"C",""),";",REPT(" ",30)),31,30))),0)+IFERROR(VALUE(TRIM(MID(SUBSTITUTE(SUBSTITUTE(SUBSTITUTE(UPPER($P490)," ",""),"C",""),";",REPT(" ",30)),61,30))),0)+IFERROR(VALUE(TRIM(MID(SUBSTITUTE(SUBSTITUTE(SUBSTITUTE(UPPER($P490)," ",""),"C",""),";",REPT(" ",30)),91,30))),0)+IFERROR(VALUE(TRIM(MID(SUBSTITUTE(SUBSTITUTE(SUBSTITUTE(UPPER($P490)," ",""),"C",""),";",REPT(" ",30)),121,30))),0)+IFERROR(VALUE(TRIM(MID(SUBSTITUTE(SUBSTITUTE(SUBSTITUTE(UPPER($P490)," ",""),"C",""),";",REPT(" ",30)),151,30))),0)+IFERROR(VALUE(TRIM(MID(SUBSTITUTE(SUBSTITUTE(SUBSTITUTE(UPPER($P490)," ",""),"C",""),";",REPT(" ",30)),181,30))),0)+IFERROR(VALUE(TRIM(MID(SUBSTITUTE(SUBSTITUTE(SUBSTITUTE(UPPER($P490)," ",""),"C",""),";",REPT(" ",30)),211,30))),0)))))</f>
        <v/>
      </c>
      <c r="S490" s="26" t="n"/>
      <c r="T490" s="6" t="n"/>
      <c r="U490" s="13" t="n"/>
      <c r="V490" s="27">
        <f>IF($C490="","",IF($E490="Falta","-",MAX(0,MIN(10,5+IFERROR(VALUE(TRIM(MID(SUBSTITUTE(SUBSTITUTE(SUBSTITUTE(UPPER($T490)," ",""),"P",""),";",REPT(" ",30)),1,30))),0)+IFERROR(VALUE(TRIM(MID(SUBSTITUTE(SUBSTITUTE(SUBSTITUTE(UPPER($T490)," ",""),"P",""),";",REPT(" ",30)),31,30))),0)+IFERROR(VALUE(TRIM(MID(SUBSTITUTE(SUBSTITUTE(SUBSTITUTE(UPPER($T490)," ",""),"P",""),";",REPT(" ",30)),61,30))),0)+IFERROR(VALUE(TRIM(MID(SUBSTITUTE(SUBSTITUTE(SUBSTITUTE(UPPER($T490)," ",""),"P",""),";",REPT(" ",30)),91,30))),0)+IFERROR(VALUE(TRIM(MID(SUBSTITUTE(SUBSTITUTE(SUBSTITUTE(UPPER($T490)," ",""),"P",""),";",REPT(" ",30)),121,30))),0)+IFERROR(VALUE(TRIM(MID(SUBSTITUTE(SUBSTITUTE(SUBSTITUTE(UPPER($T490)," ",""),"P",""),";",REPT(" ",30)),151,30))),0)+IFERROR(VALUE(TRIM(MID(SUBSTITUTE(SUBSTITUTE(SUBSTITUTE(UPPER($T490)," ",""),"P",""),";",REPT(" ",30)),181,30))),0)+IFERROR(VALUE(TRIM(MID(SUBSTITUTE(SUBSTITUTE(SUBSTITUTE(UPPER($T490)," ",""),"P",""),";",REPT(" ",30)),211,30))),0)))))</f>
        <v/>
      </c>
      <c r="W490" s="26" t="n"/>
      <c r="X490" s="13" t="n"/>
    </row>
    <row r="491">
      <c r="A491" s="6">
        <f>IF($C491="","",98)</f>
        <v/>
      </c>
      <c r="B491" s="6">
        <f>IF($C491="","","3ª Sessão")</f>
        <v/>
      </c>
      <c r="C491" s="6">
        <f>IF(Preenchimento!$B$107="","",Preenchimento!$B$107)</f>
        <v/>
      </c>
      <c r="D491" s="6">
        <f>IF($C491="","",IF(Preenchimento!$C$107="","-",Preenchimento!$C$107))</f>
        <v/>
      </c>
      <c r="E491" s="6" t="n"/>
      <c r="F491" s="6" t="n"/>
      <c r="G491" s="26" t="n"/>
      <c r="H491" s="6" t="n"/>
      <c r="I491" s="13" t="n"/>
      <c r="J491" s="27">
        <f>IF($C491="","",IF($E491="Falta","-",MAX(0,MIN(10,8+IFERROR(VALUE(TRIM(MID(SUBSTITUTE(SUBSTITUTE(SUBSTITUTE(UPPER($H491)," ",""),"D",""),";",REPT(" ",30)),1,30))),0)+IFERROR(VALUE(TRIM(MID(SUBSTITUTE(SUBSTITUTE(SUBSTITUTE(UPPER($H491)," ",""),"D",""),";",REPT(" ",30)),31,30))),0)+IFERROR(VALUE(TRIM(MID(SUBSTITUTE(SUBSTITUTE(SUBSTITUTE(UPPER($H491)," ",""),"D",""),";",REPT(" ",30)),61,30))),0)+IFERROR(VALUE(TRIM(MID(SUBSTITUTE(SUBSTITUTE(SUBSTITUTE(UPPER($H491)," ",""),"D",""),";",REPT(" ",30)),91,30))),0)+IFERROR(VALUE(TRIM(MID(SUBSTITUTE(SUBSTITUTE(SUBSTITUTE(UPPER($H491)," ",""),"D",""),";",REPT(" ",30)),121,30))),0)+IFERROR(VALUE(TRIM(MID(SUBSTITUTE(SUBSTITUTE(SUBSTITUTE(UPPER($H491)," ",""),"D",""),";",REPT(" ",30)),151,30))),0)+IFERROR(VALUE(TRIM(MID(SUBSTITUTE(SUBSTITUTE(SUBSTITUTE(UPPER($H491)," ",""),"D",""),";",REPT(" ",30)),181,30))),0)+IFERROR(VALUE(TRIM(MID(SUBSTITUTE(SUBSTITUTE(SUBSTITUTE(UPPER($H491)," ",""),"D",""),";",REPT(" ",30)),211,30))),0)))))</f>
        <v/>
      </c>
      <c r="K491" s="26" t="n"/>
      <c r="L491" s="6" t="n"/>
      <c r="M491" s="13" t="n"/>
      <c r="N491" s="27">
        <f>IF($C491="","",IF($E491="Falta","-",MAX(0,MIN(10,8+IFERROR(VALUE(TRIM(MID(SUBSTITUTE(SUBSTITUTE(SUBSTITUTE(UPPER($L491)," ",""),"F",""),";",REPT(" ",30)),1,30))),0)+IFERROR(VALUE(TRIM(MID(SUBSTITUTE(SUBSTITUTE(SUBSTITUTE(UPPER($L491)," ",""),"F",""),";",REPT(" ",30)),31,30))),0)+IFERROR(VALUE(TRIM(MID(SUBSTITUTE(SUBSTITUTE(SUBSTITUTE(UPPER($L491)," ",""),"F",""),";",REPT(" ",30)),61,30))),0)+IFERROR(VALUE(TRIM(MID(SUBSTITUTE(SUBSTITUTE(SUBSTITUTE(UPPER($L491)," ",""),"F",""),";",REPT(" ",30)),91,30))),0)+IFERROR(VALUE(TRIM(MID(SUBSTITUTE(SUBSTITUTE(SUBSTITUTE(UPPER($L491)," ",""),"F",""),";",REPT(" ",30)),121,30))),0)+IFERROR(VALUE(TRIM(MID(SUBSTITUTE(SUBSTITUTE(SUBSTITUTE(UPPER($L491)," ",""),"F",""),";",REPT(" ",30)),151,30))),0)+IFERROR(VALUE(TRIM(MID(SUBSTITUTE(SUBSTITUTE(SUBSTITUTE(UPPER($L491)," ",""),"F",""),";",REPT(" ",30)),181,30))),0)+IFERROR(VALUE(TRIM(MID(SUBSTITUTE(SUBSTITUTE(SUBSTITUTE(UPPER($L491)," ",""),"F",""),";",REPT(" ",30)),211,30))),0)))))</f>
        <v/>
      </c>
      <c r="O491" s="26" t="n"/>
      <c r="P491" s="6" t="n"/>
      <c r="Q491" s="13" t="n"/>
      <c r="R491" s="27">
        <f>IF($C491="","",IF($E491="Falta","-",MAX(0,MIN(10,5+IFERROR(VALUE(TRIM(MID(SUBSTITUTE(SUBSTITUTE(SUBSTITUTE(UPPER($P491)," ",""),"C",""),";",REPT(" ",30)),1,30))),0)+IFERROR(VALUE(TRIM(MID(SUBSTITUTE(SUBSTITUTE(SUBSTITUTE(UPPER($P491)," ",""),"C",""),";",REPT(" ",30)),31,30))),0)+IFERROR(VALUE(TRIM(MID(SUBSTITUTE(SUBSTITUTE(SUBSTITUTE(UPPER($P491)," ",""),"C",""),";",REPT(" ",30)),61,30))),0)+IFERROR(VALUE(TRIM(MID(SUBSTITUTE(SUBSTITUTE(SUBSTITUTE(UPPER($P491)," ",""),"C",""),";",REPT(" ",30)),91,30))),0)+IFERROR(VALUE(TRIM(MID(SUBSTITUTE(SUBSTITUTE(SUBSTITUTE(UPPER($P491)," ",""),"C",""),";",REPT(" ",30)),121,30))),0)+IFERROR(VALUE(TRIM(MID(SUBSTITUTE(SUBSTITUTE(SUBSTITUTE(UPPER($P491)," ",""),"C",""),";",REPT(" ",30)),151,30))),0)+IFERROR(VALUE(TRIM(MID(SUBSTITUTE(SUBSTITUTE(SUBSTITUTE(UPPER($P491)," ",""),"C",""),";",REPT(" ",30)),181,30))),0)+IFERROR(VALUE(TRIM(MID(SUBSTITUTE(SUBSTITUTE(SUBSTITUTE(UPPER($P491)," ",""),"C",""),";",REPT(" ",30)),211,30))),0)))))</f>
        <v/>
      </c>
      <c r="S491" s="26" t="n"/>
      <c r="T491" s="6" t="n"/>
      <c r="U491" s="13" t="n"/>
      <c r="V491" s="27">
        <f>IF($C491="","",IF($E491="Falta","-",MAX(0,MIN(10,5+IFERROR(VALUE(TRIM(MID(SUBSTITUTE(SUBSTITUTE(SUBSTITUTE(UPPER($T491)," ",""),"P",""),";",REPT(" ",30)),1,30))),0)+IFERROR(VALUE(TRIM(MID(SUBSTITUTE(SUBSTITUTE(SUBSTITUTE(UPPER($T491)," ",""),"P",""),";",REPT(" ",30)),31,30))),0)+IFERROR(VALUE(TRIM(MID(SUBSTITUTE(SUBSTITUTE(SUBSTITUTE(UPPER($T491)," ",""),"P",""),";",REPT(" ",30)),61,30))),0)+IFERROR(VALUE(TRIM(MID(SUBSTITUTE(SUBSTITUTE(SUBSTITUTE(UPPER($T491)," ",""),"P",""),";",REPT(" ",30)),91,30))),0)+IFERROR(VALUE(TRIM(MID(SUBSTITUTE(SUBSTITUTE(SUBSTITUTE(UPPER($T491)," ",""),"P",""),";",REPT(" ",30)),121,30))),0)+IFERROR(VALUE(TRIM(MID(SUBSTITUTE(SUBSTITUTE(SUBSTITUTE(UPPER($T491)," ",""),"P",""),";",REPT(" ",30)),151,30))),0)+IFERROR(VALUE(TRIM(MID(SUBSTITUTE(SUBSTITUTE(SUBSTITUTE(UPPER($T491)," ",""),"P",""),";",REPT(" ",30)),181,30))),0)+IFERROR(VALUE(TRIM(MID(SUBSTITUTE(SUBSTITUTE(SUBSTITUTE(UPPER($T491)," ",""),"P",""),";",REPT(" ",30)),211,30))),0)))))</f>
        <v/>
      </c>
      <c r="W491" s="26" t="n"/>
      <c r="X491" s="13" t="n"/>
    </row>
    <row r="492">
      <c r="A492" s="6">
        <f>IF($C492="","",98)</f>
        <v/>
      </c>
      <c r="B492" s="6">
        <f>IF($C492="","","4ª Sessão")</f>
        <v/>
      </c>
      <c r="C492" s="6">
        <f>IF(Preenchimento!$B$107="","",Preenchimento!$B$107)</f>
        <v/>
      </c>
      <c r="D492" s="6">
        <f>IF($C492="","",IF(Preenchimento!$C$107="","-",Preenchimento!$C$107))</f>
        <v/>
      </c>
      <c r="E492" s="6" t="n"/>
      <c r="F492" s="6" t="n"/>
      <c r="G492" s="26" t="n"/>
      <c r="H492" s="6" t="n"/>
      <c r="I492" s="13" t="n"/>
      <c r="J492" s="27">
        <f>IF($C492="","",IF($E492="Falta","-",MAX(0,MIN(10,8+IFERROR(VALUE(TRIM(MID(SUBSTITUTE(SUBSTITUTE(SUBSTITUTE(UPPER($H492)," ",""),"D",""),";",REPT(" ",30)),1,30))),0)+IFERROR(VALUE(TRIM(MID(SUBSTITUTE(SUBSTITUTE(SUBSTITUTE(UPPER($H492)," ",""),"D",""),";",REPT(" ",30)),31,30))),0)+IFERROR(VALUE(TRIM(MID(SUBSTITUTE(SUBSTITUTE(SUBSTITUTE(UPPER($H492)," ",""),"D",""),";",REPT(" ",30)),61,30))),0)+IFERROR(VALUE(TRIM(MID(SUBSTITUTE(SUBSTITUTE(SUBSTITUTE(UPPER($H492)," ",""),"D",""),";",REPT(" ",30)),91,30))),0)+IFERROR(VALUE(TRIM(MID(SUBSTITUTE(SUBSTITUTE(SUBSTITUTE(UPPER($H492)," ",""),"D",""),";",REPT(" ",30)),121,30))),0)+IFERROR(VALUE(TRIM(MID(SUBSTITUTE(SUBSTITUTE(SUBSTITUTE(UPPER($H492)," ",""),"D",""),";",REPT(" ",30)),151,30))),0)+IFERROR(VALUE(TRIM(MID(SUBSTITUTE(SUBSTITUTE(SUBSTITUTE(UPPER($H492)," ",""),"D",""),";",REPT(" ",30)),181,30))),0)+IFERROR(VALUE(TRIM(MID(SUBSTITUTE(SUBSTITUTE(SUBSTITUTE(UPPER($H492)," ",""),"D",""),";",REPT(" ",30)),211,30))),0)))))</f>
        <v/>
      </c>
      <c r="K492" s="26" t="n"/>
      <c r="L492" s="6" t="n"/>
      <c r="M492" s="13" t="n"/>
      <c r="N492" s="27">
        <f>IF($C492="","",IF($E492="Falta","-",MAX(0,MIN(10,8+IFERROR(VALUE(TRIM(MID(SUBSTITUTE(SUBSTITUTE(SUBSTITUTE(UPPER($L492)," ",""),"F",""),";",REPT(" ",30)),1,30))),0)+IFERROR(VALUE(TRIM(MID(SUBSTITUTE(SUBSTITUTE(SUBSTITUTE(UPPER($L492)," ",""),"F",""),";",REPT(" ",30)),31,30))),0)+IFERROR(VALUE(TRIM(MID(SUBSTITUTE(SUBSTITUTE(SUBSTITUTE(UPPER($L492)," ",""),"F",""),";",REPT(" ",30)),61,30))),0)+IFERROR(VALUE(TRIM(MID(SUBSTITUTE(SUBSTITUTE(SUBSTITUTE(UPPER($L492)," ",""),"F",""),";",REPT(" ",30)),91,30))),0)+IFERROR(VALUE(TRIM(MID(SUBSTITUTE(SUBSTITUTE(SUBSTITUTE(UPPER($L492)," ",""),"F",""),";",REPT(" ",30)),121,30))),0)+IFERROR(VALUE(TRIM(MID(SUBSTITUTE(SUBSTITUTE(SUBSTITUTE(UPPER($L492)," ",""),"F",""),";",REPT(" ",30)),151,30))),0)+IFERROR(VALUE(TRIM(MID(SUBSTITUTE(SUBSTITUTE(SUBSTITUTE(UPPER($L492)," ",""),"F",""),";",REPT(" ",30)),181,30))),0)+IFERROR(VALUE(TRIM(MID(SUBSTITUTE(SUBSTITUTE(SUBSTITUTE(UPPER($L492)," ",""),"F",""),";",REPT(" ",30)),211,30))),0)))))</f>
        <v/>
      </c>
      <c r="O492" s="26" t="n"/>
      <c r="P492" s="6" t="n"/>
      <c r="Q492" s="13" t="n"/>
      <c r="R492" s="27">
        <f>IF($C492="","",IF($E492="Falta","-",MAX(0,MIN(10,5+IFERROR(VALUE(TRIM(MID(SUBSTITUTE(SUBSTITUTE(SUBSTITUTE(UPPER($P492)," ",""),"C",""),";",REPT(" ",30)),1,30))),0)+IFERROR(VALUE(TRIM(MID(SUBSTITUTE(SUBSTITUTE(SUBSTITUTE(UPPER($P492)," ",""),"C",""),";",REPT(" ",30)),31,30))),0)+IFERROR(VALUE(TRIM(MID(SUBSTITUTE(SUBSTITUTE(SUBSTITUTE(UPPER($P492)," ",""),"C",""),";",REPT(" ",30)),61,30))),0)+IFERROR(VALUE(TRIM(MID(SUBSTITUTE(SUBSTITUTE(SUBSTITUTE(UPPER($P492)," ",""),"C",""),";",REPT(" ",30)),91,30))),0)+IFERROR(VALUE(TRIM(MID(SUBSTITUTE(SUBSTITUTE(SUBSTITUTE(UPPER($P492)," ",""),"C",""),";",REPT(" ",30)),121,30))),0)+IFERROR(VALUE(TRIM(MID(SUBSTITUTE(SUBSTITUTE(SUBSTITUTE(UPPER($P492)," ",""),"C",""),";",REPT(" ",30)),151,30))),0)+IFERROR(VALUE(TRIM(MID(SUBSTITUTE(SUBSTITUTE(SUBSTITUTE(UPPER($P492)," ",""),"C",""),";",REPT(" ",30)),181,30))),0)+IFERROR(VALUE(TRIM(MID(SUBSTITUTE(SUBSTITUTE(SUBSTITUTE(UPPER($P492)," ",""),"C",""),";",REPT(" ",30)),211,30))),0)))))</f>
        <v/>
      </c>
      <c r="S492" s="26" t="n"/>
      <c r="T492" s="6" t="n"/>
      <c r="U492" s="13" t="n"/>
      <c r="V492" s="27">
        <f>IF($C492="","",IF($E492="Falta","-",MAX(0,MIN(10,5+IFERROR(VALUE(TRIM(MID(SUBSTITUTE(SUBSTITUTE(SUBSTITUTE(UPPER($T492)," ",""),"P",""),";",REPT(" ",30)),1,30))),0)+IFERROR(VALUE(TRIM(MID(SUBSTITUTE(SUBSTITUTE(SUBSTITUTE(UPPER($T492)," ",""),"P",""),";",REPT(" ",30)),31,30))),0)+IFERROR(VALUE(TRIM(MID(SUBSTITUTE(SUBSTITUTE(SUBSTITUTE(UPPER($T492)," ",""),"P",""),";",REPT(" ",30)),61,30))),0)+IFERROR(VALUE(TRIM(MID(SUBSTITUTE(SUBSTITUTE(SUBSTITUTE(UPPER($T492)," ",""),"P",""),";",REPT(" ",30)),91,30))),0)+IFERROR(VALUE(TRIM(MID(SUBSTITUTE(SUBSTITUTE(SUBSTITUTE(UPPER($T492)," ",""),"P",""),";",REPT(" ",30)),121,30))),0)+IFERROR(VALUE(TRIM(MID(SUBSTITUTE(SUBSTITUTE(SUBSTITUTE(UPPER($T492)," ",""),"P",""),";",REPT(" ",30)),151,30))),0)+IFERROR(VALUE(TRIM(MID(SUBSTITUTE(SUBSTITUTE(SUBSTITUTE(UPPER($T492)," ",""),"P",""),";",REPT(" ",30)),181,30))),0)+IFERROR(VALUE(TRIM(MID(SUBSTITUTE(SUBSTITUTE(SUBSTITUTE(UPPER($T492)," ",""),"P",""),";",REPT(" ",30)),211,30))),0)))))</f>
        <v/>
      </c>
      <c r="W492" s="26" t="n"/>
      <c r="X492" s="13" t="n"/>
    </row>
    <row r="493">
      <c r="A493" s="6">
        <f>IF($C493="","",98)</f>
        <v/>
      </c>
      <c r="B493" s="6">
        <f>IF($C493="","","5ª Sessão")</f>
        <v/>
      </c>
      <c r="C493" s="6">
        <f>IF(Preenchimento!$B$107="","",Preenchimento!$B$107)</f>
        <v/>
      </c>
      <c r="D493" s="6">
        <f>IF($C493="","",IF(Preenchimento!$C$107="","-",Preenchimento!$C$107))</f>
        <v/>
      </c>
      <c r="E493" s="6" t="n"/>
      <c r="F493" s="6" t="n"/>
      <c r="G493" s="26" t="n"/>
      <c r="H493" s="6" t="n"/>
      <c r="I493" s="13" t="n"/>
      <c r="J493" s="27">
        <f>IF($C493="","",IF($E493="Falta","-",MAX(0,MIN(10,8+IFERROR(VALUE(TRIM(MID(SUBSTITUTE(SUBSTITUTE(SUBSTITUTE(UPPER($H493)," ",""),"D",""),";",REPT(" ",30)),1,30))),0)+IFERROR(VALUE(TRIM(MID(SUBSTITUTE(SUBSTITUTE(SUBSTITUTE(UPPER($H493)," ",""),"D",""),";",REPT(" ",30)),31,30))),0)+IFERROR(VALUE(TRIM(MID(SUBSTITUTE(SUBSTITUTE(SUBSTITUTE(UPPER($H493)," ",""),"D",""),";",REPT(" ",30)),61,30))),0)+IFERROR(VALUE(TRIM(MID(SUBSTITUTE(SUBSTITUTE(SUBSTITUTE(UPPER($H493)," ",""),"D",""),";",REPT(" ",30)),91,30))),0)+IFERROR(VALUE(TRIM(MID(SUBSTITUTE(SUBSTITUTE(SUBSTITUTE(UPPER($H493)," ",""),"D",""),";",REPT(" ",30)),121,30))),0)+IFERROR(VALUE(TRIM(MID(SUBSTITUTE(SUBSTITUTE(SUBSTITUTE(UPPER($H493)," ",""),"D",""),";",REPT(" ",30)),151,30))),0)+IFERROR(VALUE(TRIM(MID(SUBSTITUTE(SUBSTITUTE(SUBSTITUTE(UPPER($H493)," ",""),"D",""),";",REPT(" ",30)),181,30))),0)+IFERROR(VALUE(TRIM(MID(SUBSTITUTE(SUBSTITUTE(SUBSTITUTE(UPPER($H493)," ",""),"D",""),";",REPT(" ",30)),211,30))),0)))))</f>
        <v/>
      </c>
      <c r="K493" s="26" t="n"/>
      <c r="L493" s="6" t="n"/>
      <c r="M493" s="13" t="n"/>
      <c r="N493" s="27">
        <f>IF($C493="","",IF($E493="Falta","-",MAX(0,MIN(10,8+IFERROR(VALUE(TRIM(MID(SUBSTITUTE(SUBSTITUTE(SUBSTITUTE(UPPER($L493)," ",""),"F",""),";",REPT(" ",30)),1,30))),0)+IFERROR(VALUE(TRIM(MID(SUBSTITUTE(SUBSTITUTE(SUBSTITUTE(UPPER($L493)," ",""),"F",""),";",REPT(" ",30)),31,30))),0)+IFERROR(VALUE(TRIM(MID(SUBSTITUTE(SUBSTITUTE(SUBSTITUTE(UPPER($L493)," ",""),"F",""),";",REPT(" ",30)),61,30))),0)+IFERROR(VALUE(TRIM(MID(SUBSTITUTE(SUBSTITUTE(SUBSTITUTE(UPPER($L493)," ",""),"F",""),";",REPT(" ",30)),91,30))),0)+IFERROR(VALUE(TRIM(MID(SUBSTITUTE(SUBSTITUTE(SUBSTITUTE(UPPER($L493)," ",""),"F",""),";",REPT(" ",30)),121,30))),0)+IFERROR(VALUE(TRIM(MID(SUBSTITUTE(SUBSTITUTE(SUBSTITUTE(UPPER($L493)," ",""),"F",""),";",REPT(" ",30)),151,30))),0)+IFERROR(VALUE(TRIM(MID(SUBSTITUTE(SUBSTITUTE(SUBSTITUTE(UPPER($L493)," ",""),"F",""),";",REPT(" ",30)),181,30))),0)+IFERROR(VALUE(TRIM(MID(SUBSTITUTE(SUBSTITUTE(SUBSTITUTE(UPPER($L493)," ",""),"F",""),";",REPT(" ",30)),211,30))),0)))))</f>
        <v/>
      </c>
      <c r="O493" s="26" t="n"/>
      <c r="P493" s="6" t="n"/>
      <c r="Q493" s="13" t="n"/>
      <c r="R493" s="27">
        <f>IF($C493="","",IF($E493="Falta","-",MAX(0,MIN(10,5+IFERROR(VALUE(TRIM(MID(SUBSTITUTE(SUBSTITUTE(SUBSTITUTE(UPPER($P493)," ",""),"C",""),";",REPT(" ",30)),1,30))),0)+IFERROR(VALUE(TRIM(MID(SUBSTITUTE(SUBSTITUTE(SUBSTITUTE(UPPER($P493)," ",""),"C",""),";",REPT(" ",30)),31,30))),0)+IFERROR(VALUE(TRIM(MID(SUBSTITUTE(SUBSTITUTE(SUBSTITUTE(UPPER($P493)," ",""),"C",""),";",REPT(" ",30)),61,30))),0)+IFERROR(VALUE(TRIM(MID(SUBSTITUTE(SUBSTITUTE(SUBSTITUTE(UPPER($P493)," ",""),"C",""),";",REPT(" ",30)),91,30))),0)+IFERROR(VALUE(TRIM(MID(SUBSTITUTE(SUBSTITUTE(SUBSTITUTE(UPPER($P493)," ",""),"C",""),";",REPT(" ",30)),121,30))),0)+IFERROR(VALUE(TRIM(MID(SUBSTITUTE(SUBSTITUTE(SUBSTITUTE(UPPER($P493)," ",""),"C",""),";",REPT(" ",30)),151,30))),0)+IFERROR(VALUE(TRIM(MID(SUBSTITUTE(SUBSTITUTE(SUBSTITUTE(UPPER($P493)," ",""),"C",""),";",REPT(" ",30)),181,30))),0)+IFERROR(VALUE(TRIM(MID(SUBSTITUTE(SUBSTITUTE(SUBSTITUTE(UPPER($P493)," ",""),"C",""),";",REPT(" ",30)),211,30))),0)))))</f>
        <v/>
      </c>
      <c r="S493" s="26" t="n"/>
      <c r="T493" s="6" t="n"/>
      <c r="U493" s="13" t="n"/>
      <c r="V493" s="27">
        <f>IF($C493="","",IF($E493="Falta","-",MAX(0,MIN(10,5+IFERROR(VALUE(TRIM(MID(SUBSTITUTE(SUBSTITUTE(SUBSTITUTE(UPPER($T493)," ",""),"P",""),";",REPT(" ",30)),1,30))),0)+IFERROR(VALUE(TRIM(MID(SUBSTITUTE(SUBSTITUTE(SUBSTITUTE(UPPER($T493)," ",""),"P",""),";",REPT(" ",30)),31,30))),0)+IFERROR(VALUE(TRIM(MID(SUBSTITUTE(SUBSTITUTE(SUBSTITUTE(UPPER($T493)," ",""),"P",""),";",REPT(" ",30)),61,30))),0)+IFERROR(VALUE(TRIM(MID(SUBSTITUTE(SUBSTITUTE(SUBSTITUTE(UPPER($T493)," ",""),"P",""),";",REPT(" ",30)),91,30))),0)+IFERROR(VALUE(TRIM(MID(SUBSTITUTE(SUBSTITUTE(SUBSTITUTE(UPPER($T493)," ",""),"P",""),";",REPT(" ",30)),121,30))),0)+IFERROR(VALUE(TRIM(MID(SUBSTITUTE(SUBSTITUTE(SUBSTITUTE(UPPER($T493)," ",""),"P",""),";",REPT(" ",30)),151,30))),0)+IFERROR(VALUE(TRIM(MID(SUBSTITUTE(SUBSTITUTE(SUBSTITUTE(UPPER($T493)," ",""),"P",""),";",REPT(" ",30)),181,30))),0)+IFERROR(VALUE(TRIM(MID(SUBSTITUTE(SUBSTITUTE(SUBSTITUTE(UPPER($T493)," ",""),"P",""),";",REPT(" ",30)),211,30))),0)))))</f>
        <v/>
      </c>
      <c r="W493" s="26" t="n"/>
      <c r="X493" s="13" t="n"/>
    </row>
    <row r="494">
      <c r="A494" s="8">
        <f>IF($C494="","",99)</f>
        <v/>
      </c>
      <c r="B494" s="8">
        <f>IF($C494="","","1ª Sessão")</f>
        <v/>
      </c>
      <c r="C494" s="8">
        <f>IF(Preenchimento!$B$108="","",Preenchimento!$B$108)</f>
        <v/>
      </c>
      <c r="D494" s="8">
        <f>IF($C494="","",IF(Preenchimento!$C$108="","-",Preenchimento!$C$108))</f>
        <v/>
      </c>
      <c r="E494" s="8" t="n"/>
      <c r="F494" s="8" t="n"/>
      <c r="G494" s="24" t="n"/>
      <c r="H494" s="8" t="n"/>
      <c r="I494" s="14" t="n"/>
      <c r="J494" s="25">
        <f>IF($C494="","",IF($E494="Falta","-",MAX(0,MIN(10,8+IFERROR(VALUE(TRIM(MID(SUBSTITUTE(SUBSTITUTE(SUBSTITUTE(UPPER($H494)," ",""),"D",""),";",REPT(" ",30)),1,30))),0)+IFERROR(VALUE(TRIM(MID(SUBSTITUTE(SUBSTITUTE(SUBSTITUTE(UPPER($H494)," ",""),"D",""),";",REPT(" ",30)),31,30))),0)+IFERROR(VALUE(TRIM(MID(SUBSTITUTE(SUBSTITUTE(SUBSTITUTE(UPPER($H494)," ",""),"D",""),";",REPT(" ",30)),61,30))),0)+IFERROR(VALUE(TRIM(MID(SUBSTITUTE(SUBSTITUTE(SUBSTITUTE(UPPER($H494)," ",""),"D",""),";",REPT(" ",30)),91,30))),0)+IFERROR(VALUE(TRIM(MID(SUBSTITUTE(SUBSTITUTE(SUBSTITUTE(UPPER($H494)," ",""),"D",""),";",REPT(" ",30)),121,30))),0)+IFERROR(VALUE(TRIM(MID(SUBSTITUTE(SUBSTITUTE(SUBSTITUTE(UPPER($H494)," ",""),"D",""),";",REPT(" ",30)),151,30))),0)+IFERROR(VALUE(TRIM(MID(SUBSTITUTE(SUBSTITUTE(SUBSTITUTE(UPPER($H494)," ",""),"D",""),";",REPT(" ",30)),181,30))),0)+IFERROR(VALUE(TRIM(MID(SUBSTITUTE(SUBSTITUTE(SUBSTITUTE(UPPER($H494)," ",""),"D",""),";",REPT(" ",30)),211,30))),0)))))</f>
        <v/>
      </c>
      <c r="K494" s="24" t="n"/>
      <c r="L494" s="8" t="n"/>
      <c r="M494" s="14" t="n"/>
      <c r="N494" s="25">
        <f>IF($C494="","",IF($E494="Falta","-",MAX(0,MIN(10,8+IFERROR(VALUE(TRIM(MID(SUBSTITUTE(SUBSTITUTE(SUBSTITUTE(UPPER($L494)," ",""),"F",""),";",REPT(" ",30)),1,30))),0)+IFERROR(VALUE(TRIM(MID(SUBSTITUTE(SUBSTITUTE(SUBSTITUTE(UPPER($L494)," ",""),"F",""),";",REPT(" ",30)),31,30))),0)+IFERROR(VALUE(TRIM(MID(SUBSTITUTE(SUBSTITUTE(SUBSTITUTE(UPPER($L494)," ",""),"F",""),";",REPT(" ",30)),61,30))),0)+IFERROR(VALUE(TRIM(MID(SUBSTITUTE(SUBSTITUTE(SUBSTITUTE(UPPER($L494)," ",""),"F",""),";",REPT(" ",30)),91,30))),0)+IFERROR(VALUE(TRIM(MID(SUBSTITUTE(SUBSTITUTE(SUBSTITUTE(UPPER($L494)," ",""),"F",""),";",REPT(" ",30)),121,30))),0)+IFERROR(VALUE(TRIM(MID(SUBSTITUTE(SUBSTITUTE(SUBSTITUTE(UPPER($L494)," ",""),"F",""),";",REPT(" ",30)),151,30))),0)+IFERROR(VALUE(TRIM(MID(SUBSTITUTE(SUBSTITUTE(SUBSTITUTE(UPPER($L494)," ",""),"F",""),";",REPT(" ",30)),181,30))),0)+IFERROR(VALUE(TRIM(MID(SUBSTITUTE(SUBSTITUTE(SUBSTITUTE(UPPER($L494)," ",""),"F",""),";",REPT(" ",30)),211,30))),0)))))</f>
        <v/>
      </c>
      <c r="O494" s="24" t="n"/>
      <c r="P494" s="8" t="n"/>
      <c r="Q494" s="14" t="n"/>
      <c r="R494" s="25">
        <f>IF($C494="","",IF($E494="Falta","-",MAX(0,MIN(10,5+IFERROR(VALUE(TRIM(MID(SUBSTITUTE(SUBSTITUTE(SUBSTITUTE(UPPER($P494)," ",""),"C",""),";",REPT(" ",30)),1,30))),0)+IFERROR(VALUE(TRIM(MID(SUBSTITUTE(SUBSTITUTE(SUBSTITUTE(UPPER($P494)," ",""),"C",""),";",REPT(" ",30)),31,30))),0)+IFERROR(VALUE(TRIM(MID(SUBSTITUTE(SUBSTITUTE(SUBSTITUTE(UPPER($P494)," ",""),"C",""),";",REPT(" ",30)),61,30))),0)+IFERROR(VALUE(TRIM(MID(SUBSTITUTE(SUBSTITUTE(SUBSTITUTE(UPPER($P494)," ",""),"C",""),";",REPT(" ",30)),91,30))),0)+IFERROR(VALUE(TRIM(MID(SUBSTITUTE(SUBSTITUTE(SUBSTITUTE(UPPER($P494)," ",""),"C",""),";",REPT(" ",30)),121,30))),0)+IFERROR(VALUE(TRIM(MID(SUBSTITUTE(SUBSTITUTE(SUBSTITUTE(UPPER($P494)," ",""),"C",""),";",REPT(" ",30)),151,30))),0)+IFERROR(VALUE(TRIM(MID(SUBSTITUTE(SUBSTITUTE(SUBSTITUTE(UPPER($P494)," ",""),"C",""),";",REPT(" ",30)),181,30))),0)+IFERROR(VALUE(TRIM(MID(SUBSTITUTE(SUBSTITUTE(SUBSTITUTE(UPPER($P494)," ",""),"C",""),";",REPT(" ",30)),211,30))),0)))))</f>
        <v/>
      </c>
      <c r="S494" s="24" t="n"/>
      <c r="T494" s="8" t="n"/>
      <c r="U494" s="14" t="n"/>
      <c r="V494" s="25">
        <f>IF($C494="","",IF($E494="Falta","-",MAX(0,MIN(10,5+IFERROR(VALUE(TRIM(MID(SUBSTITUTE(SUBSTITUTE(SUBSTITUTE(UPPER($T494)," ",""),"P",""),";",REPT(" ",30)),1,30))),0)+IFERROR(VALUE(TRIM(MID(SUBSTITUTE(SUBSTITUTE(SUBSTITUTE(UPPER($T494)," ",""),"P",""),";",REPT(" ",30)),31,30))),0)+IFERROR(VALUE(TRIM(MID(SUBSTITUTE(SUBSTITUTE(SUBSTITUTE(UPPER($T494)," ",""),"P",""),";",REPT(" ",30)),61,30))),0)+IFERROR(VALUE(TRIM(MID(SUBSTITUTE(SUBSTITUTE(SUBSTITUTE(UPPER($T494)," ",""),"P",""),";",REPT(" ",30)),91,30))),0)+IFERROR(VALUE(TRIM(MID(SUBSTITUTE(SUBSTITUTE(SUBSTITUTE(UPPER($T494)," ",""),"P",""),";",REPT(" ",30)),121,30))),0)+IFERROR(VALUE(TRIM(MID(SUBSTITUTE(SUBSTITUTE(SUBSTITUTE(UPPER($T494)," ",""),"P",""),";",REPT(" ",30)),151,30))),0)+IFERROR(VALUE(TRIM(MID(SUBSTITUTE(SUBSTITUTE(SUBSTITUTE(UPPER($T494)," ",""),"P",""),";",REPT(" ",30)),181,30))),0)+IFERROR(VALUE(TRIM(MID(SUBSTITUTE(SUBSTITUTE(SUBSTITUTE(UPPER($T494)," ",""),"P",""),";",REPT(" ",30)),211,30))),0)))))</f>
        <v/>
      </c>
      <c r="W494" s="24" t="n"/>
      <c r="X494" s="14" t="n"/>
    </row>
    <row r="495">
      <c r="A495" s="8">
        <f>IF($C495="","",99)</f>
        <v/>
      </c>
      <c r="B495" s="8">
        <f>IF($C495="","","2ª Sessão")</f>
        <v/>
      </c>
      <c r="C495" s="8">
        <f>IF(Preenchimento!$B$108="","",Preenchimento!$B$108)</f>
        <v/>
      </c>
      <c r="D495" s="8">
        <f>IF($C495="","",IF(Preenchimento!$C$108="","-",Preenchimento!$C$108))</f>
        <v/>
      </c>
      <c r="E495" s="8" t="n"/>
      <c r="F495" s="8" t="n"/>
      <c r="G495" s="24" t="n"/>
      <c r="H495" s="8" t="n"/>
      <c r="I495" s="14" t="n"/>
      <c r="J495" s="25">
        <f>IF($C495="","",IF($E495="Falta","-",MAX(0,MIN(10,8+IFERROR(VALUE(TRIM(MID(SUBSTITUTE(SUBSTITUTE(SUBSTITUTE(UPPER($H495)," ",""),"D",""),";",REPT(" ",30)),1,30))),0)+IFERROR(VALUE(TRIM(MID(SUBSTITUTE(SUBSTITUTE(SUBSTITUTE(UPPER($H495)," ",""),"D",""),";",REPT(" ",30)),31,30))),0)+IFERROR(VALUE(TRIM(MID(SUBSTITUTE(SUBSTITUTE(SUBSTITUTE(UPPER($H495)," ",""),"D",""),";",REPT(" ",30)),61,30))),0)+IFERROR(VALUE(TRIM(MID(SUBSTITUTE(SUBSTITUTE(SUBSTITUTE(UPPER($H495)," ",""),"D",""),";",REPT(" ",30)),91,30))),0)+IFERROR(VALUE(TRIM(MID(SUBSTITUTE(SUBSTITUTE(SUBSTITUTE(UPPER($H495)," ",""),"D",""),";",REPT(" ",30)),121,30))),0)+IFERROR(VALUE(TRIM(MID(SUBSTITUTE(SUBSTITUTE(SUBSTITUTE(UPPER($H495)," ",""),"D",""),";",REPT(" ",30)),151,30))),0)+IFERROR(VALUE(TRIM(MID(SUBSTITUTE(SUBSTITUTE(SUBSTITUTE(UPPER($H495)," ",""),"D",""),";",REPT(" ",30)),181,30))),0)+IFERROR(VALUE(TRIM(MID(SUBSTITUTE(SUBSTITUTE(SUBSTITUTE(UPPER($H495)," ",""),"D",""),";",REPT(" ",30)),211,30))),0)))))</f>
        <v/>
      </c>
      <c r="K495" s="24" t="n"/>
      <c r="L495" s="8" t="n"/>
      <c r="M495" s="14" t="n"/>
      <c r="N495" s="25">
        <f>IF($C495="","",IF($E495="Falta","-",MAX(0,MIN(10,8+IFERROR(VALUE(TRIM(MID(SUBSTITUTE(SUBSTITUTE(SUBSTITUTE(UPPER($L495)," ",""),"F",""),";",REPT(" ",30)),1,30))),0)+IFERROR(VALUE(TRIM(MID(SUBSTITUTE(SUBSTITUTE(SUBSTITUTE(UPPER($L495)," ",""),"F",""),";",REPT(" ",30)),31,30))),0)+IFERROR(VALUE(TRIM(MID(SUBSTITUTE(SUBSTITUTE(SUBSTITUTE(UPPER($L495)," ",""),"F",""),";",REPT(" ",30)),61,30))),0)+IFERROR(VALUE(TRIM(MID(SUBSTITUTE(SUBSTITUTE(SUBSTITUTE(UPPER($L495)," ",""),"F",""),";",REPT(" ",30)),91,30))),0)+IFERROR(VALUE(TRIM(MID(SUBSTITUTE(SUBSTITUTE(SUBSTITUTE(UPPER($L495)," ",""),"F",""),";",REPT(" ",30)),121,30))),0)+IFERROR(VALUE(TRIM(MID(SUBSTITUTE(SUBSTITUTE(SUBSTITUTE(UPPER($L495)," ",""),"F",""),";",REPT(" ",30)),151,30))),0)+IFERROR(VALUE(TRIM(MID(SUBSTITUTE(SUBSTITUTE(SUBSTITUTE(UPPER($L495)," ",""),"F",""),";",REPT(" ",30)),181,30))),0)+IFERROR(VALUE(TRIM(MID(SUBSTITUTE(SUBSTITUTE(SUBSTITUTE(UPPER($L495)," ",""),"F",""),";",REPT(" ",30)),211,30))),0)))))</f>
        <v/>
      </c>
      <c r="O495" s="24" t="n"/>
      <c r="P495" s="8" t="n"/>
      <c r="Q495" s="14" t="n"/>
      <c r="R495" s="25">
        <f>IF($C495="","",IF($E495="Falta","-",MAX(0,MIN(10,5+IFERROR(VALUE(TRIM(MID(SUBSTITUTE(SUBSTITUTE(SUBSTITUTE(UPPER($P495)," ",""),"C",""),";",REPT(" ",30)),1,30))),0)+IFERROR(VALUE(TRIM(MID(SUBSTITUTE(SUBSTITUTE(SUBSTITUTE(UPPER($P495)," ",""),"C",""),";",REPT(" ",30)),31,30))),0)+IFERROR(VALUE(TRIM(MID(SUBSTITUTE(SUBSTITUTE(SUBSTITUTE(UPPER($P495)," ",""),"C",""),";",REPT(" ",30)),61,30))),0)+IFERROR(VALUE(TRIM(MID(SUBSTITUTE(SUBSTITUTE(SUBSTITUTE(UPPER($P495)," ",""),"C",""),";",REPT(" ",30)),91,30))),0)+IFERROR(VALUE(TRIM(MID(SUBSTITUTE(SUBSTITUTE(SUBSTITUTE(UPPER($P495)," ",""),"C",""),";",REPT(" ",30)),121,30))),0)+IFERROR(VALUE(TRIM(MID(SUBSTITUTE(SUBSTITUTE(SUBSTITUTE(UPPER($P495)," ",""),"C",""),";",REPT(" ",30)),151,30))),0)+IFERROR(VALUE(TRIM(MID(SUBSTITUTE(SUBSTITUTE(SUBSTITUTE(UPPER($P495)," ",""),"C",""),";",REPT(" ",30)),181,30))),0)+IFERROR(VALUE(TRIM(MID(SUBSTITUTE(SUBSTITUTE(SUBSTITUTE(UPPER($P495)," ",""),"C",""),";",REPT(" ",30)),211,30))),0)))))</f>
        <v/>
      </c>
      <c r="S495" s="24" t="n"/>
      <c r="T495" s="8" t="n"/>
      <c r="U495" s="14" t="n"/>
      <c r="V495" s="25">
        <f>IF($C495="","",IF($E495="Falta","-",MAX(0,MIN(10,5+IFERROR(VALUE(TRIM(MID(SUBSTITUTE(SUBSTITUTE(SUBSTITUTE(UPPER($T495)," ",""),"P",""),";",REPT(" ",30)),1,30))),0)+IFERROR(VALUE(TRIM(MID(SUBSTITUTE(SUBSTITUTE(SUBSTITUTE(UPPER($T495)," ",""),"P",""),";",REPT(" ",30)),31,30))),0)+IFERROR(VALUE(TRIM(MID(SUBSTITUTE(SUBSTITUTE(SUBSTITUTE(UPPER($T495)," ",""),"P",""),";",REPT(" ",30)),61,30))),0)+IFERROR(VALUE(TRIM(MID(SUBSTITUTE(SUBSTITUTE(SUBSTITUTE(UPPER($T495)," ",""),"P",""),";",REPT(" ",30)),91,30))),0)+IFERROR(VALUE(TRIM(MID(SUBSTITUTE(SUBSTITUTE(SUBSTITUTE(UPPER($T495)," ",""),"P",""),";",REPT(" ",30)),121,30))),0)+IFERROR(VALUE(TRIM(MID(SUBSTITUTE(SUBSTITUTE(SUBSTITUTE(UPPER($T495)," ",""),"P",""),";",REPT(" ",30)),151,30))),0)+IFERROR(VALUE(TRIM(MID(SUBSTITUTE(SUBSTITUTE(SUBSTITUTE(UPPER($T495)," ",""),"P",""),";",REPT(" ",30)),181,30))),0)+IFERROR(VALUE(TRIM(MID(SUBSTITUTE(SUBSTITUTE(SUBSTITUTE(UPPER($T495)," ",""),"P",""),";",REPT(" ",30)),211,30))),0)))))</f>
        <v/>
      </c>
      <c r="W495" s="24" t="n"/>
      <c r="X495" s="14" t="n"/>
    </row>
    <row r="496">
      <c r="A496" s="8">
        <f>IF($C496="","",99)</f>
        <v/>
      </c>
      <c r="B496" s="8">
        <f>IF($C496="","","3ª Sessão")</f>
        <v/>
      </c>
      <c r="C496" s="8">
        <f>IF(Preenchimento!$B$108="","",Preenchimento!$B$108)</f>
        <v/>
      </c>
      <c r="D496" s="8">
        <f>IF($C496="","",IF(Preenchimento!$C$108="","-",Preenchimento!$C$108))</f>
        <v/>
      </c>
      <c r="E496" s="8" t="n"/>
      <c r="F496" s="8" t="n"/>
      <c r="G496" s="24" t="n"/>
      <c r="H496" s="8" t="n"/>
      <c r="I496" s="14" t="n"/>
      <c r="J496" s="25">
        <f>IF($C496="","",IF($E496="Falta","-",MAX(0,MIN(10,8+IFERROR(VALUE(TRIM(MID(SUBSTITUTE(SUBSTITUTE(SUBSTITUTE(UPPER($H496)," ",""),"D",""),";",REPT(" ",30)),1,30))),0)+IFERROR(VALUE(TRIM(MID(SUBSTITUTE(SUBSTITUTE(SUBSTITUTE(UPPER($H496)," ",""),"D",""),";",REPT(" ",30)),31,30))),0)+IFERROR(VALUE(TRIM(MID(SUBSTITUTE(SUBSTITUTE(SUBSTITUTE(UPPER($H496)," ",""),"D",""),";",REPT(" ",30)),61,30))),0)+IFERROR(VALUE(TRIM(MID(SUBSTITUTE(SUBSTITUTE(SUBSTITUTE(UPPER($H496)," ",""),"D",""),";",REPT(" ",30)),91,30))),0)+IFERROR(VALUE(TRIM(MID(SUBSTITUTE(SUBSTITUTE(SUBSTITUTE(UPPER($H496)," ",""),"D",""),";",REPT(" ",30)),121,30))),0)+IFERROR(VALUE(TRIM(MID(SUBSTITUTE(SUBSTITUTE(SUBSTITUTE(UPPER($H496)," ",""),"D",""),";",REPT(" ",30)),151,30))),0)+IFERROR(VALUE(TRIM(MID(SUBSTITUTE(SUBSTITUTE(SUBSTITUTE(UPPER($H496)," ",""),"D",""),";",REPT(" ",30)),181,30))),0)+IFERROR(VALUE(TRIM(MID(SUBSTITUTE(SUBSTITUTE(SUBSTITUTE(UPPER($H496)," ",""),"D",""),";",REPT(" ",30)),211,30))),0)))))</f>
        <v/>
      </c>
      <c r="K496" s="24" t="n"/>
      <c r="L496" s="8" t="n"/>
      <c r="M496" s="14" t="n"/>
      <c r="N496" s="25">
        <f>IF($C496="","",IF($E496="Falta","-",MAX(0,MIN(10,8+IFERROR(VALUE(TRIM(MID(SUBSTITUTE(SUBSTITUTE(SUBSTITUTE(UPPER($L496)," ",""),"F",""),";",REPT(" ",30)),1,30))),0)+IFERROR(VALUE(TRIM(MID(SUBSTITUTE(SUBSTITUTE(SUBSTITUTE(UPPER($L496)," ",""),"F",""),";",REPT(" ",30)),31,30))),0)+IFERROR(VALUE(TRIM(MID(SUBSTITUTE(SUBSTITUTE(SUBSTITUTE(UPPER($L496)," ",""),"F",""),";",REPT(" ",30)),61,30))),0)+IFERROR(VALUE(TRIM(MID(SUBSTITUTE(SUBSTITUTE(SUBSTITUTE(UPPER($L496)," ",""),"F",""),";",REPT(" ",30)),91,30))),0)+IFERROR(VALUE(TRIM(MID(SUBSTITUTE(SUBSTITUTE(SUBSTITUTE(UPPER($L496)," ",""),"F",""),";",REPT(" ",30)),121,30))),0)+IFERROR(VALUE(TRIM(MID(SUBSTITUTE(SUBSTITUTE(SUBSTITUTE(UPPER($L496)," ",""),"F",""),";",REPT(" ",30)),151,30))),0)+IFERROR(VALUE(TRIM(MID(SUBSTITUTE(SUBSTITUTE(SUBSTITUTE(UPPER($L496)," ",""),"F",""),";",REPT(" ",30)),181,30))),0)+IFERROR(VALUE(TRIM(MID(SUBSTITUTE(SUBSTITUTE(SUBSTITUTE(UPPER($L496)," ",""),"F",""),";",REPT(" ",30)),211,30))),0)))))</f>
        <v/>
      </c>
      <c r="O496" s="24" t="n"/>
      <c r="P496" s="8" t="n"/>
      <c r="Q496" s="14" t="n"/>
      <c r="R496" s="25">
        <f>IF($C496="","",IF($E496="Falta","-",MAX(0,MIN(10,5+IFERROR(VALUE(TRIM(MID(SUBSTITUTE(SUBSTITUTE(SUBSTITUTE(UPPER($P496)," ",""),"C",""),";",REPT(" ",30)),1,30))),0)+IFERROR(VALUE(TRIM(MID(SUBSTITUTE(SUBSTITUTE(SUBSTITUTE(UPPER($P496)," ",""),"C",""),";",REPT(" ",30)),31,30))),0)+IFERROR(VALUE(TRIM(MID(SUBSTITUTE(SUBSTITUTE(SUBSTITUTE(UPPER($P496)," ",""),"C",""),";",REPT(" ",30)),61,30))),0)+IFERROR(VALUE(TRIM(MID(SUBSTITUTE(SUBSTITUTE(SUBSTITUTE(UPPER($P496)," ",""),"C",""),";",REPT(" ",30)),91,30))),0)+IFERROR(VALUE(TRIM(MID(SUBSTITUTE(SUBSTITUTE(SUBSTITUTE(UPPER($P496)," ",""),"C",""),";",REPT(" ",30)),121,30))),0)+IFERROR(VALUE(TRIM(MID(SUBSTITUTE(SUBSTITUTE(SUBSTITUTE(UPPER($P496)," ",""),"C",""),";",REPT(" ",30)),151,30))),0)+IFERROR(VALUE(TRIM(MID(SUBSTITUTE(SUBSTITUTE(SUBSTITUTE(UPPER($P496)," ",""),"C",""),";",REPT(" ",30)),181,30))),0)+IFERROR(VALUE(TRIM(MID(SUBSTITUTE(SUBSTITUTE(SUBSTITUTE(UPPER($P496)," ",""),"C",""),";",REPT(" ",30)),211,30))),0)))))</f>
        <v/>
      </c>
      <c r="S496" s="24" t="n"/>
      <c r="T496" s="8" t="n"/>
      <c r="U496" s="14" t="n"/>
      <c r="V496" s="25">
        <f>IF($C496="","",IF($E496="Falta","-",MAX(0,MIN(10,5+IFERROR(VALUE(TRIM(MID(SUBSTITUTE(SUBSTITUTE(SUBSTITUTE(UPPER($T496)," ",""),"P",""),";",REPT(" ",30)),1,30))),0)+IFERROR(VALUE(TRIM(MID(SUBSTITUTE(SUBSTITUTE(SUBSTITUTE(UPPER($T496)," ",""),"P",""),";",REPT(" ",30)),31,30))),0)+IFERROR(VALUE(TRIM(MID(SUBSTITUTE(SUBSTITUTE(SUBSTITUTE(UPPER($T496)," ",""),"P",""),";",REPT(" ",30)),61,30))),0)+IFERROR(VALUE(TRIM(MID(SUBSTITUTE(SUBSTITUTE(SUBSTITUTE(UPPER($T496)," ",""),"P",""),";",REPT(" ",30)),91,30))),0)+IFERROR(VALUE(TRIM(MID(SUBSTITUTE(SUBSTITUTE(SUBSTITUTE(UPPER($T496)," ",""),"P",""),";",REPT(" ",30)),121,30))),0)+IFERROR(VALUE(TRIM(MID(SUBSTITUTE(SUBSTITUTE(SUBSTITUTE(UPPER($T496)," ",""),"P",""),";",REPT(" ",30)),151,30))),0)+IFERROR(VALUE(TRIM(MID(SUBSTITUTE(SUBSTITUTE(SUBSTITUTE(UPPER($T496)," ",""),"P",""),";",REPT(" ",30)),181,30))),0)+IFERROR(VALUE(TRIM(MID(SUBSTITUTE(SUBSTITUTE(SUBSTITUTE(UPPER($T496)," ",""),"P",""),";",REPT(" ",30)),211,30))),0)))))</f>
        <v/>
      </c>
      <c r="W496" s="24" t="n"/>
      <c r="X496" s="14" t="n"/>
    </row>
    <row r="497">
      <c r="A497" s="8">
        <f>IF($C497="","",99)</f>
        <v/>
      </c>
      <c r="B497" s="8">
        <f>IF($C497="","","4ª Sessão")</f>
        <v/>
      </c>
      <c r="C497" s="8">
        <f>IF(Preenchimento!$B$108="","",Preenchimento!$B$108)</f>
        <v/>
      </c>
      <c r="D497" s="8">
        <f>IF($C497="","",IF(Preenchimento!$C$108="","-",Preenchimento!$C$108))</f>
        <v/>
      </c>
      <c r="E497" s="8" t="n"/>
      <c r="F497" s="8" t="n"/>
      <c r="G497" s="24" t="n"/>
      <c r="H497" s="8" t="n"/>
      <c r="I497" s="14" t="n"/>
      <c r="J497" s="25">
        <f>IF($C497="","",IF($E497="Falta","-",MAX(0,MIN(10,8+IFERROR(VALUE(TRIM(MID(SUBSTITUTE(SUBSTITUTE(SUBSTITUTE(UPPER($H497)," ",""),"D",""),";",REPT(" ",30)),1,30))),0)+IFERROR(VALUE(TRIM(MID(SUBSTITUTE(SUBSTITUTE(SUBSTITUTE(UPPER($H497)," ",""),"D",""),";",REPT(" ",30)),31,30))),0)+IFERROR(VALUE(TRIM(MID(SUBSTITUTE(SUBSTITUTE(SUBSTITUTE(UPPER($H497)," ",""),"D",""),";",REPT(" ",30)),61,30))),0)+IFERROR(VALUE(TRIM(MID(SUBSTITUTE(SUBSTITUTE(SUBSTITUTE(UPPER($H497)," ",""),"D",""),";",REPT(" ",30)),91,30))),0)+IFERROR(VALUE(TRIM(MID(SUBSTITUTE(SUBSTITUTE(SUBSTITUTE(UPPER($H497)," ",""),"D",""),";",REPT(" ",30)),121,30))),0)+IFERROR(VALUE(TRIM(MID(SUBSTITUTE(SUBSTITUTE(SUBSTITUTE(UPPER($H497)," ",""),"D",""),";",REPT(" ",30)),151,30))),0)+IFERROR(VALUE(TRIM(MID(SUBSTITUTE(SUBSTITUTE(SUBSTITUTE(UPPER($H497)," ",""),"D",""),";",REPT(" ",30)),181,30))),0)+IFERROR(VALUE(TRIM(MID(SUBSTITUTE(SUBSTITUTE(SUBSTITUTE(UPPER($H497)," ",""),"D",""),";",REPT(" ",30)),211,30))),0)))))</f>
        <v/>
      </c>
      <c r="K497" s="24" t="n"/>
      <c r="L497" s="8" t="n"/>
      <c r="M497" s="14" t="n"/>
      <c r="N497" s="25">
        <f>IF($C497="","",IF($E497="Falta","-",MAX(0,MIN(10,8+IFERROR(VALUE(TRIM(MID(SUBSTITUTE(SUBSTITUTE(SUBSTITUTE(UPPER($L497)," ",""),"F",""),";",REPT(" ",30)),1,30))),0)+IFERROR(VALUE(TRIM(MID(SUBSTITUTE(SUBSTITUTE(SUBSTITUTE(UPPER($L497)," ",""),"F",""),";",REPT(" ",30)),31,30))),0)+IFERROR(VALUE(TRIM(MID(SUBSTITUTE(SUBSTITUTE(SUBSTITUTE(UPPER($L497)," ",""),"F",""),";",REPT(" ",30)),61,30))),0)+IFERROR(VALUE(TRIM(MID(SUBSTITUTE(SUBSTITUTE(SUBSTITUTE(UPPER($L497)," ",""),"F",""),";",REPT(" ",30)),91,30))),0)+IFERROR(VALUE(TRIM(MID(SUBSTITUTE(SUBSTITUTE(SUBSTITUTE(UPPER($L497)," ",""),"F",""),";",REPT(" ",30)),121,30))),0)+IFERROR(VALUE(TRIM(MID(SUBSTITUTE(SUBSTITUTE(SUBSTITUTE(UPPER($L497)," ",""),"F",""),";",REPT(" ",30)),151,30))),0)+IFERROR(VALUE(TRIM(MID(SUBSTITUTE(SUBSTITUTE(SUBSTITUTE(UPPER($L497)," ",""),"F",""),";",REPT(" ",30)),181,30))),0)+IFERROR(VALUE(TRIM(MID(SUBSTITUTE(SUBSTITUTE(SUBSTITUTE(UPPER($L497)," ",""),"F",""),";",REPT(" ",30)),211,30))),0)))))</f>
        <v/>
      </c>
      <c r="O497" s="24" t="n"/>
      <c r="P497" s="8" t="n"/>
      <c r="Q497" s="14" t="n"/>
      <c r="R497" s="25">
        <f>IF($C497="","",IF($E497="Falta","-",MAX(0,MIN(10,5+IFERROR(VALUE(TRIM(MID(SUBSTITUTE(SUBSTITUTE(SUBSTITUTE(UPPER($P497)," ",""),"C",""),";",REPT(" ",30)),1,30))),0)+IFERROR(VALUE(TRIM(MID(SUBSTITUTE(SUBSTITUTE(SUBSTITUTE(UPPER($P497)," ",""),"C",""),";",REPT(" ",30)),31,30))),0)+IFERROR(VALUE(TRIM(MID(SUBSTITUTE(SUBSTITUTE(SUBSTITUTE(UPPER($P497)," ",""),"C",""),";",REPT(" ",30)),61,30))),0)+IFERROR(VALUE(TRIM(MID(SUBSTITUTE(SUBSTITUTE(SUBSTITUTE(UPPER($P497)," ",""),"C",""),";",REPT(" ",30)),91,30))),0)+IFERROR(VALUE(TRIM(MID(SUBSTITUTE(SUBSTITUTE(SUBSTITUTE(UPPER($P497)," ",""),"C",""),";",REPT(" ",30)),121,30))),0)+IFERROR(VALUE(TRIM(MID(SUBSTITUTE(SUBSTITUTE(SUBSTITUTE(UPPER($P497)," ",""),"C",""),";",REPT(" ",30)),151,30))),0)+IFERROR(VALUE(TRIM(MID(SUBSTITUTE(SUBSTITUTE(SUBSTITUTE(UPPER($P497)," ",""),"C",""),";",REPT(" ",30)),181,30))),0)+IFERROR(VALUE(TRIM(MID(SUBSTITUTE(SUBSTITUTE(SUBSTITUTE(UPPER($P497)," ",""),"C",""),";",REPT(" ",30)),211,30))),0)))))</f>
        <v/>
      </c>
      <c r="S497" s="24" t="n"/>
      <c r="T497" s="8" t="n"/>
      <c r="U497" s="14" t="n"/>
      <c r="V497" s="25">
        <f>IF($C497="","",IF($E497="Falta","-",MAX(0,MIN(10,5+IFERROR(VALUE(TRIM(MID(SUBSTITUTE(SUBSTITUTE(SUBSTITUTE(UPPER($T497)," ",""),"P",""),";",REPT(" ",30)),1,30))),0)+IFERROR(VALUE(TRIM(MID(SUBSTITUTE(SUBSTITUTE(SUBSTITUTE(UPPER($T497)," ",""),"P",""),";",REPT(" ",30)),31,30))),0)+IFERROR(VALUE(TRIM(MID(SUBSTITUTE(SUBSTITUTE(SUBSTITUTE(UPPER($T497)," ",""),"P",""),";",REPT(" ",30)),61,30))),0)+IFERROR(VALUE(TRIM(MID(SUBSTITUTE(SUBSTITUTE(SUBSTITUTE(UPPER($T497)," ",""),"P",""),";",REPT(" ",30)),91,30))),0)+IFERROR(VALUE(TRIM(MID(SUBSTITUTE(SUBSTITUTE(SUBSTITUTE(UPPER($T497)," ",""),"P",""),";",REPT(" ",30)),121,30))),0)+IFERROR(VALUE(TRIM(MID(SUBSTITUTE(SUBSTITUTE(SUBSTITUTE(UPPER($T497)," ",""),"P",""),";",REPT(" ",30)),151,30))),0)+IFERROR(VALUE(TRIM(MID(SUBSTITUTE(SUBSTITUTE(SUBSTITUTE(UPPER($T497)," ",""),"P",""),";",REPT(" ",30)),181,30))),0)+IFERROR(VALUE(TRIM(MID(SUBSTITUTE(SUBSTITUTE(SUBSTITUTE(UPPER($T497)," ",""),"P",""),";",REPT(" ",30)),211,30))),0)))))</f>
        <v/>
      </c>
      <c r="W497" s="24" t="n"/>
      <c r="X497" s="14" t="n"/>
    </row>
    <row r="498">
      <c r="A498" s="8">
        <f>IF($C498="","",99)</f>
        <v/>
      </c>
      <c r="B498" s="8">
        <f>IF($C498="","","5ª Sessão")</f>
        <v/>
      </c>
      <c r="C498" s="8">
        <f>IF(Preenchimento!$B$108="","",Preenchimento!$B$108)</f>
        <v/>
      </c>
      <c r="D498" s="8">
        <f>IF($C498="","",IF(Preenchimento!$C$108="","-",Preenchimento!$C$108))</f>
        <v/>
      </c>
      <c r="E498" s="8" t="n"/>
      <c r="F498" s="8" t="n"/>
      <c r="G498" s="24" t="n"/>
      <c r="H498" s="8" t="n"/>
      <c r="I498" s="14" t="n"/>
      <c r="J498" s="25">
        <f>IF($C498="","",IF($E498="Falta","-",MAX(0,MIN(10,8+IFERROR(VALUE(TRIM(MID(SUBSTITUTE(SUBSTITUTE(SUBSTITUTE(UPPER($H498)," ",""),"D",""),";",REPT(" ",30)),1,30))),0)+IFERROR(VALUE(TRIM(MID(SUBSTITUTE(SUBSTITUTE(SUBSTITUTE(UPPER($H498)," ",""),"D",""),";",REPT(" ",30)),31,30))),0)+IFERROR(VALUE(TRIM(MID(SUBSTITUTE(SUBSTITUTE(SUBSTITUTE(UPPER($H498)," ",""),"D",""),";",REPT(" ",30)),61,30))),0)+IFERROR(VALUE(TRIM(MID(SUBSTITUTE(SUBSTITUTE(SUBSTITUTE(UPPER($H498)," ",""),"D",""),";",REPT(" ",30)),91,30))),0)+IFERROR(VALUE(TRIM(MID(SUBSTITUTE(SUBSTITUTE(SUBSTITUTE(UPPER($H498)," ",""),"D",""),";",REPT(" ",30)),121,30))),0)+IFERROR(VALUE(TRIM(MID(SUBSTITUTE(SUBSTITUTE(SUBSTITUTE(UPPER($H498)," ",""),"D",""),";",REPT(" ",30)),151,30))),0)+IFERROR(VALUE(TRIM(MID(SUBSTITUTE(SUBSTITUTE(SUBSTITUTE(UPPER($H498)," ",""),"D",""),";",REPT(" ",30)),181,30))),0)+IFERROR(VALUE(TRIM(MID(SUBSTITUTE(SUBSTITUTE(SUBSTITUTE(UPPER($H498)," ",""),"D",""),";",REPT(" ",30)),211,30))),0)))))</f>
        <v/>
      </c>
      <c r="K498" s="24" t="n"/>
      <c r="L498" s="8" t="n"/>
      <c r="M498" s="14" t="n"/>
      <c r="N498" s="25">
        <f>IF($C498="","",IF($E498="Falta","-",MAX(0,MIN(10,8+IFERROR(VALUE(TRIM(MID(SUBSTITUTE(SUBSTITUTE(SUBSTITUTE(UPPER($L498)," ",""),"F",""),";",REPT(" ",30)),1,30))),0)+IFERROR(VALUE(TRIM(MID(SUBSTITUTE(SUBSTITUTE(SUBSTITUTE(UPPER($L498)," ",""),"F",""),";",REPT(" ",30)),31,30))),0)+IFERROR(VALUE(TRIM(MID(SUBSTITUTE(SUBSTITUTE(SUBSTITUTE(UPPER($L498)," ",""),"F",""),";",REPT(" ",30)),61,30))),0)+IFERROR(VALUE(TRIM(MID(SUBSTITUTE(SUBSTITUTE(SUBSTITUTE(UPPER($L498)," ",""),"F",""),";",REPT(" ",30)),91,30))),0)+IFERROR(VALUE(TRIM(MID(SUBSTITUTE(SUBSTITUTE(SUBSTITUTE(UPPER($L498)," ",""),"F",""),";",REPT(" ",30)),121,30))),0)+IFERROR(VALUE(TRIM(MID(SUBSTITUTE(SUBSTITUTE(SUBSTITUTE(UPPER($L498)," ",""),"F",""),";",REPT(" ",30)),151,30))),0)+IFERROR(VALUE(TRIM(MID(SUBSTITUTE(SUBSTITUTE(SUBSTITUTE(UPPER($L498)," ",""),"F",""),";",REPT(" ",30)),181,30))),0)+IFERROR(VALUE(TRIM(MID(SUBSTITUTE(SUBSTITUTE(SUBSTITUTE(UPPER($L498)," ",""),"F",""),";",REPT(" ",30)),211,30))),0)))))</f>
        <v/>
      </c>
      <c r="O498" s="24" t="n"/>
      <c r="P498" s="8" t="n"/>
      <c r="Q498" s="14" t="n"/>
      <c r="R498" s="25">
        <f>IF($C498="","",IF($E498="Falta","-",MAX(0,MIN(10,5+IFERROR(VALUE(TRIM(MID(SUBSTITUTE(SUBSTITUTE(SUBSTITUTE(UPPER($P498)," ",""),"C",""),";",REPT(" ",30)),1,30))),0)+IFERROR(VALUE(TRIM(MID(SUBSTITUTE(SUBSTITUTE(SUBSTITUTE(UPPER($P498)," ",""),"C",""),";",REPT(" ",30)),31,30))),0)+IFERROR(VALUE(TRIM(MID(SUBSTITUTE(SUBSTITUTE(SUBSTITUTE(UPPER($P498)," ",""),"C",""),";",REPT(" ",30)),61,30))),0)+IFERROR(VALUE(TRIM(MID(SUBSTITUTE(SUBSTITUTE(SUBSTITUTE(UPPER($P498)," ",""),"C",""),";",REPT(" ",30)),91,30))),0)+IFERROR(VALUE(TRIM(MID(SUBSTITUTE(SUBSTITUTE(SUBSTITUTE(UPPER($P498)," ",""),"C",""),";",REPT(" ",30)),121,30))),0)+IFERROR(VALUE(TRIM(MID(SUBSTITUTE(SUBSTITUTE(SUBSTITUTE(UPPER($P498)," ",""),"C",""),";",REPT(" ",30)),151,30))),0)+IFERROR(VALUE(TRIM(MID(SUBSTITUTE(SUBSTITUTE(SUBSTITUTE(UPPER($P498)," ",""),"C",""),";",REPT(" ",30)),181,30))),0)+IFERROR(VALUE(TRIM(MID(SUBSTITUTE(SUBSTITUTE(SUBSTITUTE(UPPER($P498)," ",""),"C",""),";",REPT(" ",30)),211,30))),0)))))</f>
        <v/>
      </c>
      <c r="S498" s="24" t="n"/>
      <c r="T498" s="8" t="n"/>
      <c r="U498" s="14" t="n"/>
      <c r="V498" s="25">
        <f>IF($C498="","",IF($E498="Falta","-",MAX(0,MIN(10,5+IFERROR(VALUE(TRIM(MID(SUBSTITUTE(SUBSTITUTE(SUBSTITUTE(UPPER($T498)," ",""),"P",""),";",REPT(" ",30)),1,30))),0)+IFERROR(VALUE(TRIM(MID(SUBSTITUTE(SUBSTITUTE(SUBSTITUTE(UPPER($T498)," ",""),"P",""),";",REPT(" ",30)),31,30))),0)+IFERROR(VALUE(TRIM(MID(SUBSTITUTE(SUBSTITUTE(SUBSTITUTE(UPPER($T498)," ",""),"P",""),";",REPT(" ",30)),61,30))),0)+IFERROR(VALUE(TRIM(MID(SUBSTITUTE(SUBSTITUTE(SUBSTITUTE(UPPER($T498)," ",""),"P",""),";",REPT(" ",30)),91,30))),0)+IFERROR(VALUE(TRIM(MID(SUBSTITUTE(SUBSTITUTE(SUBSTITUTE(UPPER($T498)," ",""),"P",""),";",REPT(" ",30)),121,30))),0)+IFERROR(VALUE(TRIM(MID(SUBSTITUTE(SUBSTITUTE(SUBSTITUTE(UPPER($T498)," ",""),"P",""),";",REPT(" ",30)),151,30))),0)+IFERROR(VALUE(TRIM(MID(SUBSTITUTE(SUBSTITUTE(SUBSTITUTE(UPPER($T498)," ",""),"P",""),";",REPT(" ",30)),181,30))),0)+IFERROR(VALUE(TRIM(MID(SUBSTITUTE(SUBSTITUTE(SUBSTITUTE(UPPER($T498)," ",""),"P",""),";",REPT(" ",30)),211,30))),0)))))</f>
        <v/>
      </c>
      <c r="W498" s="24" t="n"/>
      <c r="X498" s="14" t="n"/>
    </row>
    <row r="499">
      <c r="A499" s="6">
        <f>IF($C499="","",100)</f>
        <v/>
      </c>
      <c r="B499" s="6">
        <f>IF($C499="","","1ª Sessão")</f>
        <v/>
      </c>
      <c r="C499" s="6">
        <f>IF(Preenchimento!$B$109="","",Preenchimento!$B$109)</f>
        <v/>
      </c>
      <c r="D499" s="6">
        <f>IF($C499="","",IF(Preenchimento!$C$109="","-",Preenchimento!$C$109))</f>
        <v/>
      </c>
      <c r="E499" s="6" t="n"/>
      <c r="F499" s="6" t="n"/>
      <c r="G499" s="26" t="n"/>
      <c r="H499" s="6" t="n"/>
      <c r="I499" s="13" t="n"/>
      <c r="J499" s="27">
        <f>IF($C499="","",IF($E499="Falta","-",MAX(0,MIN(10,8+IFERROR(VALUE(TRIM(MID(SUBSTITUTE(SUBSTITUTE(SUBSTITUTE(UPPER($H499)," ",""),"D",""),";",REPT(" ",30)),1,30))),0)+IFERROR(VALUE(TRIM(MID(SUBSTITUTE(SUBSTITUTE(SUBSTITUTE(UPPER($H499)," ",""),"D",""),";",REPT(" ",30)),31,30))),0)+IFERROR(VALUE(TRIM(MID(SUBSTITUTE(SUBSTITUTE(SUBSTITUTE(UPPER($H499)," ",""),"D",""),";",REPT(" ",30)),61,30))),0)+IFERROR(VALUE(TRIM(MID(SUBSTITUTE(SUBSTITUTE(SUBSTITUTE(UPPER($H499)," ",""),"D",""),";",REPT(" ",30)),91,30))),0)+IFERROR(VALUE(TRIM(MID(SUBSTITUTE(SUBSTITUTE(SUBSTITUTE(UPPER($H499)," ",""),"D",""),";",REPT(" ",30)),121,30))),0)+IFERROR(VALUE(TRIM(MID(SUBSTITUTE(SUBSTITUTE(SUBSTITUTE(UPPER($H499)," ",""),"D",""),";",REPT(" ",30)),151,30))),0)+IFERROR(VALUE(TRIM(MID(SUBSTITUTE(SUBSTITUTE(SUBSTITUTE(UPPER($H499)," ",""),"D",""),";",REPT(" ",30)),181,30))),0)+IFERROR(VALUE(TRIM(MID(SUBSTITUTE(SUBSTITUTE(SUBSTITUTE(UPPER($H499)," ",""),"D",""),";",REPT(" ",30)),211,30))),0)))))</f>
        <v/>
      </c>
      <c r="K499" s="26" t="n"/>
      <c r="L499" s="6" t="n"/>
      <c r="M499" s="13" t="n"/>
      <c r="N499" s="27">
        <f>IF($C499="","",IF($E499="Falta","-",MAX(0,MIN(10,8+IFERROR(VALUE(TRIM(MID(SUBSTITUTE(SUBSTITUTE(SUBSTITUTE(UPPER($L499)," ",""),"F",""),";",REPT(" ",30)),1,30))),0)+IFERROR(VALUE(TRIM(MID(SUBSTITUTE(SUBSTITUTE(SUBSTITUTE(UPPER($L499)," ",""),"F",""),";",REPT(" ",30)),31,30))),0)+IFERROR(VALUE(TRIM(MID(SUBSTITUTE(SUBSTITUTE(SUBSTITUTE(UPPER($L499)," ",""),"F",""),";",REPT(" ",30)),61,30))),0)+IFERROR(VALUE(TRIM(MID(SUBSTITUTE(SUBSTITUTE(SUBSTITUTE(UPPER($L499)," ",""),"F",""),";",REPT(" ",30)),91,30))),0)+IFERROR(VALUE(TRIM(MID(SUBSTITUTE(SUBSTITUTE(SUBSTITUTE(UPPER($L499)," ",""),"F",""),";",REPT(" ",30)),121,30))),0)+IFERROR(VALUE(TRIM(MID(SUBSTITUTE(SUBSTITUTE(SUBSTITUTE(UPPER($L499)," ",""),"F",""),";",REPT(" ",30)),151,30))),0)+IFERROR(VALUE(TRIM(MID(SUBSTITUTE(SUBSTITUTE(SUBSTITUTE(UPPER($L499)," ",""),"F",""),";",REPT(" ",30)),181,30))),0)+IFERROR(VALUE(TRIM(MID(SUBSTITUTE(SUBSTITUTE(SUBSTITUTE(UPPER($L499)," ",""),"F",""),";",REPT(" ",30)),211,30))),0)))))</f>
        <v/>
      </c>
      <c r="O499" s="26" t="n"/>
      <c r="P499" s="6" t="n"/>
      <c r="Q499" s="13" t="n"/>
      <c r="R499" s="27">
        <f>IF($C499="","",IF($E499="Falta","-",MAX(0,MIN(10,5+IFERROR(VALUE(TRIM(MID(SUBSTITUTE(SUBSTITUTE(SUBSTITUTE(UPPER($P499)," ",""),"C",""),";",REPT(" ",30)),1,30))),0)+IFERROR(VALUE(TRIM(MID(SUBSTITUTE(SUBSTITUTE(SUBSTITUTE(UPPER($P499)," ",""),"C",""),";",REPT(" ",30)),31,30))),0)+IFERROR(VALUE(TRIM(MID(SUBSTITUTE(SUBSTITUTE(SUBSTITUTE(UPPER($P499)," ",""),"C",""),";",REPT(" ",30)),61,30))),0)+IFERROR(VALUE(TRIM(MID(SUBSTITUTE(SUBSTITUTE(SUBSTITUTE(UPPER($P499)," ",""),"C",""),";",REPT(" ",30)),91,30))),0)+IFERROR(VALUE(TRIM(MID(SUBSTITUTE(SUBSTITUTE(SUBSTITUTE(UPPER($P499)," ",""),"C",""),";",REPT(" ",30)),121,30))),0)+IFERROR(VALUE(TRIM(MID(SUBSTITUTE(SUBSTITUTE(SUBSTITUTE(UPPER($P499)," ",""),"C",""),";",REPT(" ",30)),151,30))),0)+IFERROR(VALUE(TRIM(MID(SUBSTITUTE(SUBSTITUTE(SUBSTITUTE(UPPER($P499)," ",""),"C",""),";",REPT(" ",30)),181,30))),0)+IFERROR(VALUE(TRIM(MID(SUBSTITUTE(SUBSTITUTE(SUBSTITUTE(UPPER($P499)," ",""),"C",""),";",REPT(" ",30)),211,30))),0)))))</f>
        <v/>
      </c>
      <c r="S499" s="26" t="n"/>
      <c r="T499" s="6" t="n"/>
      <c r="U499" s="13" t="n"/>
      <c r="V499" s="27">
        <f>IF($C499="","",IF($E499="Falta","-",MAX(0,MIN(10,5+IFERROR(VALUE(TRIM(MID(SUBSTITUTE(SUBSTITUTE(SUBSTITUTE(UPPER($T499)," ",""),"P",""),";",REPT(" ",30)),1,30))),0)+IFERROR(VALUE(TRIM(MID(SUBSTITUTE(SUBSTITUTE(SUBSTITUTE(UPPER($T499)," ",""),"P",""),";",REPT(" ",30)),31,30))),0)+IFERROR(VALUE(TRIM(MID(SUBSTITUTE(SUBSTITUTE(SUBSTITUTE(UPPER($T499)," ",""),"P",""),";",REPT(" ",30)),61,30))),0)+IFERROR(VALUE(TRIM(MID(SUBSTITUTE(SUBSTITUTE(SUBSTITUTE(UPPER($T499)," ",""),"P",""),";",REPT(" ",30)),91,30))),0)+IFERROR(VALUE(TRIM(MID(SUBSTITUTE(SUBSTITUTE(SUBSTITUTE(UPPER($T499)," ",""),"P",""),";",REPT(" ",30)),121,30))),0)+IFERROR(VALUE(TRIM(MID(SUBSTITUTE(SUBSTITUTE(SUBSTITUTE(UPPER($T499)," ",""),"P",""),";",REPT(" ",30)),151,30))),0)+IFERROR(VALUE(TRIM(MID(SUBSTITUTE(SUBSTITUTE(SUBSTITUTE(UPPER($T499)," ",""),"P",""),";",REPT(" ",30)),181,30))),0)+IFERROR(VALUE(TRIM(MID(SUBSTITUTE(SUBSTITUTE(SUBSTITUTE(UPPER($T499)," ",""),"P",""),";",REPT(" ",30)),211,30))),0)))))</f>
        <v/>
      </c>
      <c r="W499" s="26" t="n"/>
      <c r="X499" s="13" t="n"/>
    </row>
    <row r="500">
      <c r="A500" s="6">
        <f>IF($C500="","",100)</f>
        <v/>
      </c>
      <c r="B500" s="6">
        <f>IF($C500="","","2ª Sessão")</f>
        <v/>
      </c>
      <c r="C500" s="6">
        <f>IF(Preenchimento!$B$109="","",Preenchimento!$B$109)</f>
        <v/>
      </c>
      <c r="D500" s="6">
        <f>IF($C500="","",IF(Preenchimento!$C$109="","-",Preenchimento!$C$109))</f>
        <v/>
      </c>
      <c r="E500" s="6" t="n"/>
      <c r="F500" s="6" t="n"/>
      <c r="G500" s="26" t="n"/>
      <c r="H500" s="6" t="n"/>
      <c r="I500" s="13" t="n"/>
      <c r="J500" s="27">
        <f>IF($C500="","",IF($E500="Falta","-",MAX(0,MIN(10,8+IFERROR(VALUE(TRIM(MID(SUBSTITUTE(SUBSTITUTE(SUBSTITUTE(UPPER($H500)," ",""),"D",""),";",REPT(" ",30)),1,30))),0)+IFERROR(VALUE(TRIM(MID(SUBSTITUTE(SUBSTITUTE(SUBSTITUTE(UPPER($H500)," ",""),"D",""),";",REPT(" ",30)),31,30))),0)+IFERROR(VALUE(TRIM(MID(SUBSTITUTE(SUBSTITUTE(SUBSTITUTE(UPPER($H500)," ",""),"D",""),";",REPT(" ",30)),61,30))),0)+IFERROR(VALUE(TRIM(MID(SUBSTITUTE(SUBSTITUTE(SUBSTITUTE(UPPER($H500)," ",""),"D",""),";",REPT(" ",30)),91,30))),0)+IFERROR(VALUE(TRIM(MID(SUBSTITUTE(SUBSTITUTE(SUBSTITUTE(UPPER($H500)," ",""),"D",""),";",REPT(" ",30)),121,30))),0)+IFERROR(VALUE(TRIM(MID(SUBSTITUTE(SUBSTITUTE(SUBSTITUTE(UPPER($H500)," ",""),"D",""),";",REPT(" ",30)),151,30))),0)+IFERROR(VALUE(TRIM(MID(SUBSTITUTE(SUBSTITUTE(SUBSTITUTE(UPPER($H500)," ",""),"D",""),";",REPT(" ",30)),181,30))),0)+IFERROR(VALUE(TRIM(MID(SUBSTITUTE(SUBSTITUTE(SUBSTITUTE(UPPER($H500)," ",""),"D",""),";",REPT(" ",30)),211,30))),0)))))</f>
        <v/>
      </c>
      <c r="K500" s="26" t="n"/>
      <c r="L500" s="6" t="n"/>
      <c r="M500" s="13" t="n"/>
      <c r="N500" s="27">
        <f>IF($C500="","",IF($E500="Falta","-",MAX(0,MIN(10,8+IFERROR(VALUE(TRIM(MID(SUBSTITUTE(SUBSTITUTE(SUBSTITUTE(UPPER($L500)," ",""),"F",""),";",REPT(" ",30)),1,30))),0)+IFERROR(VALUE(TRIM(MID(SUBSTITUTE(SUBSTITUTE(SUBSTITUTE(UPPER($L500)," ",""),"F",""),";",REPT(" ",30)),31,30))),0)+IFERROR(VALUE(TRIM(MID(SUBSTITUTE(SUBSTITUTE(SUBSTITUTE(UPPER($L500)," ",""),"F",""),";",REPT(" ",30)),61,30))),0)+IFERROR(VALUE(TRIM(MID(SUBSTITUTE(SUBSTITUTE(SUBSTITUTE(UPPER($L500)," ",""),"F",""),";",REPT(" ",30)),91,30))),0)+IFERROR(VALUE(TRIM(MID(SUBSTITUTE(SUBSTITUTE(SUBSTITUTE(UPPER($L500)," ",""),"F",""),";",REPT(" ",30)),121,30))),0)+IFERROR(VALUE(TRIM(MID(SUBSTITUTE(SUBSTITUTE(SUBSTITUTE(UPPER($L500)," ",""),"F",""),";",REPT(" ",30)),151,30))),0)+IFERROR(VALUE(TRIM(MID(SUBSTITUTE(SUBSTITUTE(SUBSTITUTE(UPPER($L500)," ",""),"F",""),";",REPT(" ",30)),181,30))),0)+IFERROR(VALUE(TRIM(MID(SUBSTITUTE(SUBSTITUTE(SUBSTITUTE(UPPER($L500)," ",""),"F",""),";",REPT(" ",30)),211,30))),0)))))</f>
        <v/>
      </c>
      <c r="O500" s="26" t="n"/>
      <c r="P500" s="6" t="n"/>
      <c r="Q500" s="13" t="n"/>
      <c r="R500" s="27">
        <f>IF($C500="","",IF($E500="Falta","-",MAX(0,MIN(10,5+IFERROR(VALUE(TRIM(MID(SUBSTITUTE(SUBSTITUTE(SUBSTITUTE(UPPER($P500)," ",""),"C",""),";",REPT(" ",30)),1,30))),0)+IFERROR(VALUE(TRIM(MID(SUBSTITUTE(SUBSTITUTE(SUBSTITUTE(UPPER($P500)," ",""),"C",""),";",REPT(" ",30)),31,30))),0)+IFERROR(VALUE(TRIM(MID(SUBSTITUTE(SUBSTITUTE(SUBSTITUTE(UPPER($P500)," ",""),"C",""),";",REPT(" ",30)),61,30))),0)+IFERROR(VALUE(TRIM(MID(SUBSTITUTE(SUBSTITUTE(SUBSTITUTE(UPPER($P500)," ",""),"C",""),";",REPT(" ",30)),91,30))),0)+IFERROR(VALUE(TRIM(MID(SUBSTITUTE(SUBSTITUTE(SUBSTITUTE(UPPER($P500)," ",""),"C",""),";",REPT(" ",30)),121,30))),0)+IFERROR(VALUE(TRIM(MID(SUBSTITUTE(SUBSTITUTE(SUBSTITUTE(UPPER($P500)," ",""),"C",""),";",REPT(" ",30)),151,30))),0)+IFERROR(VALUE(TRIM(MID(SUBSTITUTE(SUBSTITUTE(SUBSTITUTE(UPPER($P500)," ",""),"C",""),";",REPT(" ",30)),181,30))),0)+IFERROR(VALUE(TRIM(MID(SUBSTITUTE(SUBSTITUTE(SUBSTITUTE(UPPER($P500)," ",""),"C",""),";",REPT(" ",30)),211,30))),0)))))</f>
        <v/>
      </c>
      <c r="S500" s="26" t="n"/>
      <c r="T500" s="6" t="n"/>
      <c r="U500" s="13" t="n"/>
      <c r="V500" s="27">
        <f>IF($C500="","",IF($E500="Falta","-",MAX(0,MIN(10,5+IFERROR(VALUE(TRIM(MID(SUBSTITUTE(SUBSTITUTE(SUBSTITUTE(UPPER($T500)," ",""),"P",""),";",REPT(" ",30)),1,30))),0)+IFERROR(VALUE(TRIM(MID(SUBSTITUTE(SUBSTITUTE(SUBSTITUTE(UPPER($T500)," ",""),"P",""),";",REPT(" ",30)),31,30))),0)+IFERROR(VALUE(TRIM(MID(SUBSTITUTE(SUBSTITUTE(SUBSTITUTE(UPPER($T500)," ",""),"P",""),";",REPT(" ",30)),61,30))),0)+IFERROR(VALUE(TRIM(MID(SUBSTITUTE(SUBSTITUTE(SUBSTITUTE(UPPER($T500)," ",""),"P",""),";",REPT(" ",30)),91,30))),0)+IFERROR(VALUE(TRIM(MID(SUBSTITUTE(SUBSTITUTE(SUBSTITUTE(UPPER($T500)," ",""),"P",""),";",REPT(" ",30)),121,30))),0)+IFERROR(VALUE(TRIM(MID(SUBSTITUTE(SUBSTITUTE(SUBSTITUTE(UPPER($T500)," ",""),"P",""),";",REPT(" ",30)),151,30))),0)+IFERROR(VALUE(TRIM(MID(SUBSTITUTE(SUBSTITUTE(SUBSTITUTE(UPPER($T500)," ",""),"P",""),";",REPT(" ",30)),181,30))),0)+IFERROR(VALUE(TRIM(MID(SUBSTITUTE(SUBSTITUTE(SUBSTITUTE(UPPER($T500)," ",""),"P",""),";",REPT(" ",30)),211,30))),0)))))</f>
        <v/>
      </c>
      <c r="W500" s="26" t="n"/>
      <c r="X500" s="13" t="n"/>
    </row>
    <row r="501">
      <c r="A501" s="6">
        <f>IF($C501="","",100)</f>
        <v/>
      </c>
      <c r="B501" s="6">
        <f>IF($C501="","","3ª Sessão")</f>
        <v/>
      </c>
      <c r="C501" s="6">
        <f>IF(Preenchimento!$B$109="","",Preenchimento!$B$109)</f>
        <v/>
      </c>
      <c r="D501" s="6">
        <f>IF($C501="","",IF(Preenchimento!$C$109="","-",Preenchimento!$C$109))</f>
        <v/>
      </c>
      <c r="E501" s="6" t="n"/>
      <c r="F501" s="6" t="n"/>
      <c r="G501" s="26" t="n"/>
      <c r="H501" s="6" t="n"/>
      <c r="I501" s="13" t="n"/>
      <c r="J501" s="27">
        <f>IF($C501="","",IF($E501="Falta","-",MAX(0,MIN(10,8+IFERROR(VALUE(TRIM(MID(SUBSTITUTE(SUBSTITUTE(SUBSTITUTE(UPPER($H501)," ",""),"D",""),";",REPT(" ",30)),1,30))),0)+IFERROR(VALUE(TRIM(MID(SUBSTITUTE(SUBSTITUTE(SUBSTITUTE(UPPER($H501)," ",""),"D",""),";",REPT(" ",30)),31,30))),0)+IFERROR(VALUE(TRIM(MID(SUBSTITUTE(SUBSTITUTE(SUBSTITUTE(UPPER($H501)," ",""),"D",""),";",REPT(" ",30)),61,30))),0)+IFERROR(VALUE(TRIM(MID(SUBSTITUTE(SUBSTITUTE(SUBSTITUTE(UPPER($H501)," ",""),"D",""),";",REPT(" ",30)),91,30))),0)+IFERROR(VALUE(TRIM(MID(SUBSTITUTE(SUBSTITUTE(SUBSTITUTE(UPPER($H501)," ",""),"D",""),";",REPT(" ",30)),121,30))),0)+IFERROR(VALUE(TRIM(MID(SUBSTITUTE(SUBSTITUTE(SUBSTITUTE(UPPER($H501)," ",""),"D",""),";",REPT(" ",30)),151,30))),0)+IFERROR(VALUE(TRIM(MID(SUBSTITUTE(SUBSTITUTE(SUBSTITUTE(UPPER($H501)," ",""),"D",""),";",REPT(" ",30)),181,30))),0)+IFERROR(VALUE(TRIM(MID(SUBSTITUTE(SUBSTITUTE(SUBSTITUTE(UPPER($H501)," ",""),"D",""),";",REPT(" ",30)),211,30))),0)))))</f>
        <v/>
      </c>
      <c r="K501" s="26" t="n"/>
      <c r="L501" s="6" t="n"/>
      <c r="M501" s="13" t="n"/>
      <c r="N501" s="27">
        <f>IF($C501="","",IF($E501="Falta","-",MAX(0,MIN(10,8+IFERROR(VALUE(TRIM(MID(SUBSTITUTE(SUBSTITUTE(SUBSTITUTE(UPPER($L501)," ",""),"F",""),";",REPT(" ",30)),1,30))),0)+IFERROR(VALUE(TRIM(MID(SUBSTITUTE(SUBSTITUTE(SUBSTITUTE(UPPER($L501)," ",""),"F",""),";",REPT(" ",30)),31,30))),0)+IFERROR(VALUE(TRIM(MID(SUBSTITUTE(SUBSTITUTE(SUBSTITUTE(UPPER($L501)," ",""),"F",""),";",REPT(" ",30)),61,30))),0)+IFERROR(VALUE(TRIM(MID(SUBSTITUTE(SUBSTITUTE(SUBSTITUTE(UPPER($L501)," ",""),"F",""),";",REPT(" ",30)),91,30))),0)+IFERROR(VALUE(TRIM(MID(SUBSTITUTE(SUBSTITUTE(SUBSTITUTE(UPPER($L501)," ",""),"F",""),";",REPT(" ",30)),121,30))),0)+IFERROR(VALUE(TRIM(MID(SUBSTITUTE(SUBSTITUTE(SUBSTITUTE(UPPER($L501)," ",""),"F",""),";",REPT(" ",30)),151,30))),0)+IFERROR(VALUE(TRIM(MID(SUBSTITUTE(SUBSTITUTE(SUBSTITUTE(UPPER($L501)," ",""),"F",""),";",REPT(" ",30)),181,30))),0)+IFERROR(VALUE(TRIM(MID(SUBSTITUTE(SUBSTITUTE(SUBSTITUTE(UPPER($L501)," ",""),"F",""),";",REPT(" ",30)),211,30))),0)))))</f>
        <v/>
      </c>
      <c r="O501" s="26" t="n"/>
      <c r="P501" s="6" t="n"/>
      <c r="Q501" s="13" t="n"/>
      <c r="R501" s="27">
        <f>IF($C501="","",IF($E501="Falta","-",MAX(0,MIN(10,5+IFERROR(VALUE(TRIM(MID(SUBSTITUTE(SUBSTITUTE(SUBSTITUTE(UPPER($P501)," ",""),"C",""),";",REPT(" ",30)),1,30))),0)+IFERROR(VALUE(TRIM(MID(SUBSTITUTE(SUBSTITUTE(SUBSTITUTE(UPPER($P501)," ",""),"C",""),";",REPT(" ",30)),31,30))),0)+IFERROR(VALUE(TRIM(MID(SUBSTITUTE(SUBSTITUTE(SUBSTITUTE(UPPER($P501)," ",""),"C",""),";",REPT(" ",30)),61,30))),0)+IFERROR(VALUE(TRIM(MID(SUBSTITUTE(SUBSTITUTE(SUBSTITUTE(UPPER($P501)," ",""),"C",""),";",REPT(" ",30)),91,30))),0)+IFERROR(VALUE(TRIM(MID(SUBSTITUTE(SUBSTITUTE(SUBSTITUTE(UPPER($P501)," ",""),"C",""),";",REPT(" ",30)),121,30))),0)+IFERROR(VALUE(TRIM(MID(SUBSTITUTE(SUBSTITUTE(SUBSTITUTE(UPPER($P501)," ",""),"C",""),";",REPT(" ",30)),151,30))),0)+IFERROR(VALUE(TRIM(MID(SUBSTITUTE(SUBSTITUTE(SUBSTITUTE(UPPER($P501)," ",""),"C",""),";",REPT(" ",30)),181,30))),0)+IFERROR(VALUE(TRIM(MID(SUBSTITUTE(SUBSTITUTE(SUBSTITUTE(UPPER($P501)," ",""),"C",""),";",REPT(" ",30)),211,30))),0)))))</f>
        <v/>
      </c>
      <c r="S501" s="26" t="n"/>
      <c r="T501" s="6" t="n"/>
      <c r="U501" s="13" t="n"/>
      <c r="V501" s="27">
        <f>IF($C501="","",IF($E501="Falta","-",MAX(0,MIN(10,5+IFERROR(VALUE(TRIM(MID(SUBSTITUTE(SUBSTITUTE(SUBSTITUTE(UPPER($T501)," ",""),"P",""),";",REPT(" ",30)),1,30))),0)+IFERROR(VALUE(TRIM(MID(SUBSTITUTE(SUBSTITUTE(SUBSTITUTE(UPPER($T501)," ",""),"P",""),";",REPT(" ",30)),31,30))),0)+IFERROR(VALUE(TRIM(MID(SUBSTITUTE(SUBSTITUTE(SUBSTITUTE(UPPER($T501)," ",""),"P",""),";",REPT(" ",30)),61,30))),0)+IFERROR(VALUE(TRIM(MID(SUBSTITUTE(SUBSTITUTE(SUBSTITUTE(UPPER($T501)," ",""),"P",""),";",REPT(" ",30)),91,30))),0)+IFERROR(VALUE(TRIM(MID(SUBSTITUTE(SUBSTITUTE(SUBSTITUTE(UPPER($T501)," ",""),"P",""),";",REPT(" ",30)),121,30))),0)+IFERROR(VALUE(TRIM(MID(SUBSTITUTE(SUBSTITUTE(SUBSTITUTE(UPPER($T501)," ",""),"P",""),";",REPT(" ",30)),151,30))),0)+IFERROR(VALUE(TRIM(MID(SUBSTITUTE(SUBSTITUTE(SUBSTITUTE(UPPER($T501)," ",""),"P",""),";",REPT(" ",30)),181,30))),0)+IFERROR(VALUE(TRIM(MID(SUBSTITUTE(SUBSTITUTE(SUBSTITUTE(UPPER($T501)," ",""),"P",""),";",REPT(" ",30)),211,30))),0)))))</f>
        <v/>
      </c>
      <c r="W501" s="26" t="n"/>
      <c r="X501" s="13" t="n"/>
    </row>
    <row r="502">
      <c r="A502" s="6">
        <f>IF($C502="","",100)</f>
        <v/>
      </c>
      <c r="B502" s="6">
        <f>IF($C502="","","4ª Sessão")</f>
        <v/>
      </c>
      <c r="C502" s="6">
        <f>IF(Preenchimento!$B$109="","",Preenchimento!$B$109)</f>
        <v/>
      </c>
      <c r="D502" s="6">
        <f>IF($C502="","",IF(Preenchimento!$C$109="","-",Preenchimento!$C$109))</f>
        <v/>
      </c>
      <c r="E502" s="6" t="n"/>
      <c r="F502" s="6" t="n"/>
      <c r="G502" s="26" t="n"/>
      <c r="H502" s="6" t="n"/>
      <c r="I502" s="13" t="n"/>
      <c r="J502" s="27">
        <f>IF($C502="","",IF($E502="Falta","-",MAX(0,MIN(10,8+IFERROR(VALUE(TRIM(MID(SUBSTITUTE(SUBSTITUTE(SUBSTITUTE(UPPER($H502)," ",""),"D",""),";",REPT(" ",30)),1,30))),0)+IFERROR(VALUE(TRIM(MID(SUBSTITUTE(SUBSTITUTE(SUBSTITUTE(UPPER($H502)," ",""),"D",""),";",REPT(" ",30)),31,30))),0)+IFERROR(VALUE(TRIM(MID(SUBSTITUTE(SUBSTITUTE(SUBSTITUTE(UPPER($H502)," ",""),"D",""),";",REPT(" ",30)),61,30))),0)+IFERROR(VALUE(TRIM(MID(SUBSTITUTE(SUBSTITUTE(SUBSTITUTE(UPPER($H502)," ",""),"D",""),";",REPT(" ",30)),91,30))),0)+IFERROR(VALUE(TRIM(MID(SUBSTITUTE(SUBSTITUTE(SUBSTITUTE(UPPER($H502)," ",""),"D",""),";",REPT(" ",30)),121,30))),0)+IFERROR(VALUE(TRIM(MID(SUBSTITUTE(SUBSTITUTE(SUBSTITUTE(UPPER($H502)," ",""),"D",""),";",REPT(" ",30)),151,30))),0)+IFERROR(VALUE(TRIM(MID(SUBSTITUTE(SUBSTITUTE(SUBSTITUTE(UPPER($H502)," ",""),"D",""),";",REPT(" ",30)),181,30))),0)+IFERROR(VALUE(TRIM(MID(SUBSTITUTE(SUBSTITUTE(SUBSTITUTE(UPPER($H502)," ",""),"D",""),";",REPT(" ",30)),211,30))),0)))))</f>
        <v/>
      </c>
      <c r="K502" s="26" t="n"/>
      <c r="L502" s="6" t="n"/>
      <c r="M502" s="13" t="n"/>
      <c r="N502" s="27">
        <f>IF($C502="","",IF($E502="Falta","-",MAX(0,MIN(10,8+IFERROR(VALUE(TRIM(MID(SUBSTITUTE(SUBSTITUTE(SUBSTITUTE(UPPER($L502)," ",""),"F",""),";",REPT(" ",30)),1,30))),0)+IFERROR(VALUE(TRIM(MID(SUBSTITUTE(SUBSTITUTE(SUBSTITUTE(UPPER($L502)," ",""),"F",""),";",REPT(" ",30)),31,30))),0)+IFERROR(VALUE(TRIM(MID(SUBSTITUTE(SUBSTITUTE(SUBSTITUTE(UPPER($L502)," ",""),"F",""),";",REPT(" ",30)),61,30))),0)+IFERROR(VALUE(TRIM(MID(SUBSTITUTE(SUBSTITUTE(SUBSTITUTE(UPPER($L502)," ",""),"F",""),";",REPT(" ",30)),91,30))),0)+IFERROR(VALUE(TRIM(MID(SUBSTITUTE(SUBSTITUTE(SUBSTITUTE(UPPER($L502)," ",""),"F",""),";",REPT(" ",30)),121,30))),0)+IFERROR(VALUE(TRIM(MID(SUBSTITUTE(SUBSTITUTE(SUBSTITUTE(UPPER($L502)," ",""),"F",""),";",REPT(" ",30)),151,30))),0)+IFERROR(VALUE(TRIM(MID(SUBSTITUTE(SUBSTITUTE(SUBSTITUTE(UPPER($L502)," ",""),"F",""),";",REPT(" ",30)),181,30))),0)+IFERROR(VALUE(TRIM(MID(SUBSTITUTE(SUBSTITUTE(SUBSTITUTE(UPPER($L502)," ",""),"F",""),";",REPT(" ",30)),211,30))),0)))))</f>
        <v/>
      </c>
      <c r="O502" s="26" t="n"/>
      <c r="P502" s="6" t="n"/>
      <c r="Q502" s="13" t="n"/>
      <c r="R502" s="27">
        <f>IF($C502="","",IF($E502="Falta","-",MAX(0,MIN(10,5+IFERROR(VALUE(TRIM(MID(SUBSTITUTE(SUBSTITUTE(SUBSTITUTE(UPPER($P502)," ",""),"C",""),";",REPT(" ",30)),1,30))),0)+IFERROR(VALUE(TRIM(MID(SUBSTITUTE(SUBSTITUTE(SUBSTITUTE(UPPER($P502)," ",""),"C",""),";",REPT(" ",30)),31,30))),0)+IFERROR(VALUE(TRIM(MID(SUBSTITUTE(SUBSTITUTE(SUBSTITUTE(UPPER($P502)," ",""),"C",""),";",REPT(" ",30)),61,30))),0)+IFERROR(VALUE(TRIM(MID(SUBSTITUTE(SUBSTITUTE(SUBSTITUTE(UPPER($P502)," ",""),"C",""),";",REPT(" ",30)),91,30))),0)+IFERROR(VALUE(TRIM(MID(SUBSTITUTE(SUBSTITUTE(SUBSTITUTE(UPPER($P502)," ",""),"C",""),";",REPT(" ",30)),121,30))),0)+IFERROR(VALUE(TRIM(MID(SUBSTITUTE(SUBSTITUTE(SUBSTITUTE(UPPER($P502)," ",""),"C",""),";",REPT(" ",30)),151,30))),0)+IFERROR(VALUE(TRIM(MID(SUBSTITUTE(SUBSTITUTE(SUBSTITUTE(UPPER($P502)," ",""),"C",""),";",REPT(" ",30)),181,30))),0)+IFERROR(VALUE(TRIM(MID(SUBSTITUTE(SUBSTITUTE(SUBSTITUTE(UPPER($P502)," ",""),"C",""),";",REPT(" ",30)),211,30))),0)))))</f>
        <v/>
      </c>
      <c r="S502" s="26" t="n"/>
      <c r="T502" s="6" t="n"/>
      <c r="U502" s="13" t="n"/>
      <c r="V502" s="27">
        <f>IF($C502="","",IF($E502="Falta","-",MAX(0,MIN(10,5+IFERROR(VALUE(TRIM(MID(SUBSTITUTE(SUBSTITUTE(SUBSTITUTE(UPPER($T502)," ",""),"P",""),";",REPT(" ",30)),1,30))),0)+IFERROR(VALUE(TRIM(MID(SUBSTITUTE(SUBSTITUTE(SUBSTITUTE(UPPER($T502)," ",""),"P",""),";",REPT(" ",30)),31,30))),0)+IFERROR(VALUE(TRIM(MID(SUBSTITUTE(SUBSTITUTE(SUBSTITUTE(UPPER($T502)," ",""),"P",""),";",REPT(" ",30)),61,30))),0)+IFERROR(VALUE(TRIM(MID(SUBSTITUTE(SUBSTITUTE(SUBSTITUTE(UPPER($T502)," ",""),"P",""),";",REPT(" ",30)),91,30))),0)+IFERROR(VALUE(TRIM(MID(SUBSTITUTE(SUBSTITUTE(SUBSTITUTE(UPPER($T502)," ",""),"P",""),";",REPT(" ",30)),121,30))),0)+IFERROR(VALUE(TRIM(MID(SUBSTITUTE(SUBSTITUTE(SUBSTITUTE(UPPER($T502)," ",""),"P",""),";",REPT(" ",30)),151,30))),0)+IFERROR(VALUE(TRIM(MID(SUBSTITUTE(SUBSTITUTE(SUBSTITUTE(UPPER($T502)," ",""),"P",""),";",REPT(" ",30)),181,30))),0)+IFERROR(VALUE(TRIM(MID(SUBSTITUTE(SUBSTITUTE(SUBSTITUTE(UPPER($T502)," ",""),"P",""),";",REPT(" ",30)),211,30))),0)))))</f>
        <v/>
      </c>
      <c r="W502" s="26" t="n"/>
      <c r="X502" s="13" t="n"/>
    </row>
    <row r="503">
      <c r="A503" s="6">
        <f>IF($C503="","",100)</f>
        <v/>
      </c>
      <c r="B503" s="6">
        <f>IF($C503="","","5ª Sessão")</f>
        <v/>
      </c>
      <c r="C503" s="6">
        <f>IF(Preenchimento!$B$109="","",Preenchimento!$B$109)</f>
        <v/>
      </c>
      <c r="D503" s="6">
        <f>IF($C503="","",IF(Preenchimento!$C$109="","-",Preenchimento!$C$109))</f>
        <v/>
      </c>
      <c r="E503" s="6" t="n"/>
      <c r="F503" s="6" t="n"/>
      <c r="G503" s="26" t="n"/>
      <c r="H503" s="6" t="n"/>
      <c r="I503" s="13" t="n"/>
      <c r="J503" s="27">
        <f>IF($C503="","",IF($E503="Falta","-",MAX(0,MIN(10,8+IFERROR(VALUE(TRIM(MID(SUBSTITUTE(SUBSTITUTE(SUBSTITUTE(UPPER($H503)," ",""),"D",""),";",REPT(" ",30)),1,30))),0)+IFERROR(VALUE(TRIM(MID(SUBSTITUTE(SUBSTITUTE(SUBSTITUTE(UPPER($H503)," ",""),"D",""),";",REPT(" ",30)),31,30))),0)+IFERROR(VALUE(TRIM(MID(SUBSTITUTE(SUBSTITUTE(SUBSTITUTE(UPPER($H503)," ",""),"D",""),";",REPT(" ",30)),61,30))),0)+IFERROR(VALUE(TRIM(MID(SUBSTITUTE(SUBSTITUTE(SUBSTITUTE(UPPER($H503)," ",""),"D",""),";",REPT(" ",30)),91,30))),0)+IFERROR(VALUE(TRIM(MID(SUBSTITUTE(SUBSTITUTE(SUBSTITUTE(UPPER($H503)," ",""),"D",""),";",REPT(" ",30)),121,30))),0)+IFERROR(VALUE(TRIM(MID(SUBSTITUTE(SUBSTITUTE(SUBSTITUTE(UPPER($H503)," ",""),"D",""),";",REPT(" ",30)),151,30))),0)+IFERROR(VALUE(TRIM(MID(SUBSTITUTE(SUBSTITUTE(SUBSTITUTE(UPPER($H503)," ",""),"D",""),";",REPT(" ",30)),181,30))),0)+IFERROR(VALUE(TRIM(MID(SUBSTITUTE(SUBSTITUTE(SUBSTITUTE(UPPER($H503)," ",""),"D",""),";",REPT(" ",30)),211,30))),0)))))</f>
        <v/>
      </c>
      <c r="K503" s="26" t="n"/>
      <c r="L503" s="6" t="n"/>
      <c r="M503" s="13" t="n"/>
      <c r="N503" s="27">
        <f>IF($C503="","",IF($E503="Falta","-",MAX(0,MIN(10,8+IFERROR(VALUE(TRIM(MID(SUBSTITUTE(SUBSTITUTE(SUBSTITUTE(UPPER($L503)," ",""),"F",""),";",REPT(" ",30)),1,30))),0)+IFERROR(VALUE(TRIM(MID(SUBSTITUTE(SUBSTITUTE(SUBSTITUTE(UPPER($L503)," ",""),"F",""),";",REPT(" ",30)),31,30))),0)+IFERROR(VALUE(TRIM(MID(SUBSTITUTE(SUBSTITUTE(SUBSTITUTE(UPPER($L503)," ",""),"F",""),";",REPT(" ",30)),61,30))),0)+IFERROR(VALUE(TRIM(MID(SUBSTITUTE(SUBSTITUTE(SUBSTITUTE(UPPER($L503)," ",""),"F",""),";",REPT(" ",30)),91,30))),0)+IFERROR(VALUE(TRIM(MID(SUBSTITUTE(SUBSTITUTE(SUBSTITUTE(UPPER($L503)," ",""),"F",""),";",REPT(" ",30)),121,30))),0)+IFERROR(VALUE(TRIM(MID(SUBSTITUTE(SUBSTITUTE(SUBSTITUTE(UPPER($L503)," ",""),"F",""),";",REPT(" ",30)),151,30))),0)+IFERROR(VALUE(TRIM(MID(SUBSTITUTE(SUBSTITUTE(SUBSTITUTE(UPPER($L503)," ",""),"F",""),";",REPT(" ",30)),181,30))),0)+IFERROR(VALUE(TRIM(MID(SUBSTITUTE(SUBSTITUTE(SUBSTITUTE(UPPER($L503)," ",""),"F",""),";",REPT(" ",30)),211,30))),0)))))</f>
        <v/>
      </c>
      <c r="O503" s="26" t="n"/>
      <c r="P503" s="6" t="n"/>
      <c r="Q503" s="13" t="n"/>
      <c r="R503" s="27">
        <f>IF($C503="","",IF($E503="Falta","-",MAX(0,MIN(10,5+IFERROR(VALUE(TRIM(MID(SUBSTITUTE(SUBSTITUTE(SUBSTITUTE(UPPER($P503)," ",""),"C",""),";",REPT(" ",30)),1,30))),0)+IFERROR(VALUE(TRIM(MID(SUBSTITUTE(SUBSTITUTE(SUBSTITUTE(UPPER($P503)," ",""),"C",""),";",REPT(" ",30)),31,30))),0)+IFERROR(VALUE(TRIM(MID(SUBSTITUTE(SUBSTITUTE(SUBSTITUTE(UPPER($P503)," ",""),"C",""),";",REPT(" ",30)),61,30))),0)+IFERROR(VALUE(TRIM(MID(SUBSTITUTE(SUBSTITUTE(SUBSTITUTE(UPPER($P503)," ",""),"C",""),";",REPT(" ",30)),91,30))),0)+IFERROR(VALUE(TRIM(MID(SUBSTITUTE(SUBSTITUTE(SUBSTITUTE(UPPER($P503)," ",""),"C",""),";",REPT(" ",30)),121,30))),0)+IFERROR(VALUE(TRIM(MID(SUBSTITUTE(SUBSTITUTE(SUBSTITUTE(UPPER($P503)," ",""),"C",""),";",REPT(" ",30)),151,30))),0)+IFERROR(VALUE(TRIM(MID(SUBSTITUTE(SUBSTITUTE(SUBSTITUTE(UPPER($P503)," ",""),"C",""),";",REPT(" ",30)),181,30))),0)+IFERROR(VALUE(TRIM(MID(SUBSTITUTE(SUBSTITUTE(SUBSTITUTE(UPPER($P503)," ",""),"C",""),";",REPT(" ",30)),211,30))),0)))))</f>
        <v/>
      </c>
      <c r="S503" s="26" t="n"/>
      <c r="T503" s="6" t="n"/>
      <c r="U503" s="13" t="n"/>
      <c r="V503" s="27">
        <f>IF($C503="","",IF($E503="Falta","-",MAX(0,MIN(10,5+IFERROR(VALUE(TRIM(MID(SUBSTITUTE(SUBSTITUTE(SUBSTITUTE(UPPER($T503)," ",""),"P",""),";",REPT(" ",30)),1,30))),0)+IFERROR(VALUE(TRIM(MID(SUBSTITUTE(SUBSTITUTE(SUBSTITUTE(UPPER($T503)," ",""),"P",""),";",REPT(" ",30)),31,30))),0)+IFERROR(VALUE(TRIM(MID(SUBSTITUTE(SUBSTITUTE(SUBSTITUTE(UPPER($T503)," ",""),"P",""),";",REPT(" ",30)),61,30))),0)+IFERROR(VALUE(TRIM(MID(SUBSTITUTE(SUBSTITUTE(SUBSTITUTE(UPPER($T503)," ",""),"P",""),";",REPT(" ",30)),91,30))),0)+IFERROR(VALUE(TRIM(MID(SUBSTITUTE(SUBSTITUTE(SUBSTITUTE(UPPER($T503)," ",""),"P",""),";",REPT(" ",30)),121,30))),0)+IFERROR(VALUE(TRIM(MID(SUBSTITUTE(SUBSTITUTE(SUBSTITUTE(UPPER($T503)," ",""),"P",""),";",REPT(" ",30)),151,30))),0)+IFERROR(VALUE(TRIM(MID(SUBSTITUTE(SUBSTITUTE(SUBSTITUTE(UPPER($T503)," ",""),"P",""),";",REPT(" ",30)),181,30))),0)+IFERROR(VALUE(TRIM(MID(SUBSTITUTE(SUBSTITUTE(SUBSTITUTE(UPPER($T503)," ",""),"P",""),";",REPT(" ",30)),211,30))),0)))))</f>
        <v/>
      </c>
      <c r="W503" s="26" t="n"/>
      <c r="X503" s="13" t="n"/>
    </row>
  </sheetData>
  <autoFilter ref="A3:X503"/>
  <mergeCells count="7">
    <mergeCell ref="A2:F2"/>
    <mergeCell ref="W2:X2"/>
    <mergeCell ref="S2:V2"/>
    <mergeCell ref="G2:J2"/>
    <mergeCell ref="O2:R2"/>
    <mergeCell ref="K2:N2"/>
    <mergeCell ref="A1:X1"/>
  </mergeCells>
  <conditionalFormatting sqref="A4:X503">
    <cfRule type="expression" priority="1" dxfId="0">
      <formula>$E4="Falta"</formula>
    </cfRule>
  </conditionalFormatting>
  <dataValidations count="6">
    <dataValidation sqref="E4:E503" showDropDown="0" showInputMessage="0" showErrorMessage="1" allowBlank="1" error="Use apenas Presente ou Falta." type="list">
      <formula1>"Presente,Falta"</formula1>
    </dataValidation>
    <dataValidation sqref="F4:F503" showDropDown="0" showInputMessage="0" showErrorMessage="1" allowBlank="1" error="Use um dos status previstos." type="list">
      <formula1>"Pendente,Em andamento,Concluído,Revisado"</formula1>
    </dataValidation>
    <dataValidation sqref="I4:I503" showDropDown="0" showInputMessage="0" showErrorMessage="1" allowBlank="1" error="Use uma opção de Triagem da Rubrica." type="list">
      <formula1>'Rubrica'!$C$55:$C$62</formula1>
    </dataValidation>
    <dataValidation sqref="M4:M503" showDropDown="0" showInputMessage="0" showErrorMessage="1" allowBlank="1" error="Use uma opção de Triagem da Rubrica." type="list">
      <formula1>'Rubrica'!$C$63:$C$70</formula1>
    </dataValidation>
    <dataValidation sqref="Q4:Q503" showDropDown="0" showInputMessage="0" showErrorMessage="1" allowBlank="1" error="Use uma opção de Triagem da Rubrica." type="list">
      <formula1>'Rubrica'!$C$71:$C$80</formula1>
    </dataValidation>
    <dataValidation sqref="U4:U503" showDropDown="0" showInputMessage="0" showErrorMessage="1" allowBlank="1" error="Use uma opção de Triagem da Rubrica." type="list">
      <formula1>'Rubrica'!$C$81:$C$89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0124D"/>
    <outlinePr summaryBelow="1" summaryRight="1"/>
    <pageSetUpPr/>
  </sheetPr>
  <dimension ref="A1:AF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50" customWidth="1" min="10" max="10"/>
    <col width="44" customWidth="1" min="11" max="11"/>
    <col width="2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</cols>
  <sheetData>
    <row r="1" ht="30" customHeight="1">
      <c r="A1" s="1" t="inlineStr">
        <is>
          <t>Controle Avaliação — Nota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Área de colagem — copiar M4:AF103 e colar somente valores em 'Avaliações'!E4 da Planilha de Notas oficial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24" customHeight="1">
      <c r="A2" s="28" t="inlineStr">
        <is>
          <t>Conferência e síntese (não colar na Planilha de Notas)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2" t="n"/>
      <c r="M2" s="29" t="inlineStr">
        <is>
          <t>Diplomacia e Respeito às regras</t>
        </is>
      </c>
      <c r="N2" s="11" t="n"/>
      <c r="O2" s="11" t="n"/>
      <c r="P2" s="11" t="n"/>
      <c r="Q2" s="11" t="n"/>
      <c r="R2" s="29" t="inlineStr">
        <is>
          <t>Fidelidade à Função designada</t>
        </is>
      </c>
      <c r="S2" s="11" t="n"/>
      <c r="T2" s="11" t="n"/>
      <c r="U2" s="11" t="n"/>
      <c r="V2" s="11" t="n"/>
      <c r="W2" s="29" t="inlineStr">
        <is>
          <t>Contribuição</t>
        </is>
      </c>
      <c r="X2" s="11" t="n"/>
      <c r="Y2" s="11" t="n"/>
      <c r="Z2" s="11" t="n"/>
      <c r="AA2" s="11" t="n"/>
      <c r="AB2" s="29" t="inlineStr">
        <is>
          <t>Participação</t>
        </is>
      </c>
      <c r="AC2" s="11" t="n"/>
      <c r="AD2" s="11" t="n"/>
      <c r="AE2" s="11" t="n"/>
      <c r="AF2" s="11" t="n"/>
    </row>
    <row r="3" ht="28" customHeight="1">
      <c r="A3" s="12" t="inlineStr"/>
      <c r="B3" s="12" t="inlineStr">
        <is>
          <t>Delegado</t>
        </is>
      </c>
      <c r="C3" s="12" t="inlineStr">
        <is>
          <t>Representação/Função</t>
        </is>
      </c>
      <c r="D3" s="12" t="inlineStr">
        <is>
          <t>Presença geral</t>
        </is>
      </c>
      <c r="E3" s="12" t="inlineStr">
        <is>
          <t>Média D</t>
        </is>
      </c>
      <c r="F3" s="12" t="inlineStr">
        <is>
          <t>Média F</t>
        </is>
      </c>
      <c r="G3" s="12" t="inlineStr">
        <is>
          <t>Média C</t>
        </is>
      </c>
      <c r="H3" s="12" t="inlineStr">
        <is>
          <t>Média P</t>
        </is>
      </c>
      <c r="I3" s="12" t="inlineStr">
        <is>
          <t>Média geral</t>
        </is>
      </c>
      <c r="J3" s="12" t="inlineStr">
        <is>
          <t>Evidências das 5 sessões</t>
        </is>
      </c>
      <c r="K3" s="12" t="inlineStr">
        <is>
          <t>Sínteses e observações das 5 sessões</t>
        </is>
      </c>
      <c r="L3" s="30" t="inlineStr"/>
      <c r="M3" s="12" t="inlineStr">
        <is>
          <t>1ª Sessão</t>
        </is>
      </c>
      <c r="N3" s="12" t="inlineStr">
        <is>
          <t>2ª Sessão</t>
        </is>
      </c>
      <c r="O3" s="12" t="inlineStr">
        <is>
          <t>3ª Sessão</t>
        </is>
      </c>
      <c r="P3" s="12" t="inlineStr">
        <is>
          <t>4ª Sessão</t>
        </is>
      </c>
      <c r="Q3" s="12" t="inlineStr">
        <is>
          <t>5ª Sessão</t>
        </is>
      </c>
      <c r="R3" s="12" t="inlineStr">
        <is>
          <t>1ª Sessão</t>
        </is>
      </c>
      <c r="S3" s="12" t="inlineStr">
        <is>
          <t>2ª Sessão</t>
        </is>
      </c>
      <c r="T3" s="12" t="inlineStr">
        <is>
          <t>3ª Sessão</t>
        </is>
      </c>
      <c r="U3" s="12" t="inlineStr">
        <is>
          <t>4ª Sessão</t>
        </is>
      </c>
      <c r="V3" s="12" t="inlineStr">
        <is>
          <t>5ª Sessão</t>
        </is>
      </c>
      <c r="W3" s="12" t="inlineStr">
        <is>
          <t>1ª Sessão</t>
        </is>
      </c>
      <c r="X3" s="12" t="inlineStr">
        <is>
          <t>2ª Sessão</t>
        </is>
      </c>
      <c r="Y3" s="12" t="inlineStr">
        <is>
          <t>3ª Sessão</t>
        </is>
      </c>
      <c r="Z3" s="12" t="inlineStr">
        <is>
          <t>4ª Sessão</t>
        </is>
      </c>
      <c r="AA3" s="12" t="inlineStr">
        <is>
          <t>5ª Sessão</t>
        </is>
      </c>
      <c r="AB3" s="12" t="inlineStr">
        <is>
          <t>1ª Sessão</t>
        </is>
      </c>
      <c r="AC3" s="12" t="inlineStr">
        <is>
          <t>2ª Sessão</t>
        </is>
      </c>
      <c r="AD3" s="12" t="inlineStr">
        <is>
          <t>3ª Sessão</t>
        </is>
      </c>
      <c r="AE3" s="12" t="inlineStr">
        <is>
          <t>4ª Sessão</t>
        </is>
      </c>
      <c r="AF3" s="12" t="inlineStr">
        <is>
          <t>5ª Sessão</t>
        </is>
      </c>
    </row>
    <row r="4">
      <c r="A4" s="6">
        <f>IF($B4="","",ROW()-3)</f>
        <v/>
      </c>
      <c r="B4" s="7">
        <f>IF(Preenchimento!$B$10="","",Preenchimento!$B$10)</f>
        <v/>
      </c>
      <c r="C4" s="7">
        <f>IF($B4="","",IF(Preenchimento!$C$10="","-",Preenchimento!$C$10))</f>
        <v/>
      </c>
      <c r="D4" s="6">
        <f>IF($B4="","",IF(Preenchimento!$D$10="","-",Preenchimento!$D$10))</f>
        <v/>
      </c>
      <c r="E4" s="31">
        <f>IF($B4="","",IFERROR(AVERAGE(M4:Q4),"-"))</f>
        <v/>
      </c>
      <c r="F4" s="31">
        <f>IF($B4="","",IFERROR(AVERAGE(R4:V4),"-"))</f>
        <v/>
      </c>
      <c r="G4" s="31">
        <f>IF($B4="","",IFERROR(AVERAGE(W4:AA4),"-"))</f>
        <v/>
      </c>
      <c r="H4" s="31">
        <f>IF($B4="","",IFERROR(AVERAGE(AB4:AF4),"-"))</f>
        <v/>
      </c>
      <c r="I4" s="31">
        <f>IF($B4="","",IFERROR(AVERAGE(M4:AF4),"-"))</f>
        <v/>
      </c>
      <c r="J4" s="13">
        <f>IF($B4="","",IF('Registro por Sessão'!$G4="","","S1 D: "&amp;'Registro por Sessão'!$G4&amp;CHAR(10))&amp;IF('Registro por Sessão'!$K4="","","S1 F: "&amp;'Registro por Sessão'!$K4&amp;CHAR(10))&amp;IF('Registro por Sessão'!$O4="","","S1 C: "&amp;'Registro por Sessão'!$O4&amp;CHAR(10))&amp;IF('Registro por Sessão'!$S4="","","S1 P: "&amp;'Registro por Sessão'!$S4&amp;CHAR(10))&amp;IF('Registro por Sessão'!$G5="","","S2 D: "&amp;'Registro por Sessão'!$G5&amp;CHAR(10))&amp;IF('Registro por Sessão'!$K5="","","S2 F: "&amp;'Registro por Sessão'!$K5&amp;CHAR(10))&amp;IF('Registro por Sessão'!$O5="","","S2 C: "&amp;'Registro por Sessão'!$O5&amp;CHAR(10))&amp;IF('Registro por Sessão'!$S5="","","S2 P: "&amp;'Registro por Sessão'!$S5&amp;CHAR(10))&amp;IF('Registro por Sessão'!$G6="","","S3 D: "&amp;'Registro por Sessão'!$G6&amp;CHAR(10))&amp;IF('Registro por Sessão'!$K6="","","S3 F: "&amp;'Registro por Sessão'!$K6&amp;CHAR(10))&amp;IF('Registro por Sessão'!$O6="","","S3 C: "&amp;'Registro por Sessão'!$O6&amp;CHAR(10))&amp;IF('Registro por Sessão'!$S6="","","S3 P: "&amp;'Registro por Sessão'!$S6&amp;CHAR(10))&amp;IF('Registro por Sessão'!$G7="","","S4 D: "&amp;'Registro por Sessão'!$G7&amp;CHAR(10))&amp;IF('Registro por Sessão'!$K7="","","S4 F: "&amp;'Registro por Sessão'!$K7&amp;CHAR(10))&amp;IF('Registro por Sessão'!$O7="","","S4 C: "&amp;'Registro por Sessão'!$O7&amp;CHAR(10))&amp;IF('Registro por Sessão'!$S7="","","S4 P: "&amp;'Registro por Sessão'!$S7&amp;CHAR(10))&amp;IF('Registro por Sessão'!$G8="","","S5 D: "&amp;'Registro por Sessão'!$G8&amp;CHAR(10))&amp;IF('Registro por Sessão'!$K8="","","S5 F: "&amp;'Registro por Sessão'!$K8&amp;CHAR(10))&amp;IF('Registro por Sessão'!$O8="","","S5 C: "&amp;'Registro por Sessão'!$O8&amp;CHAR(10))&amp;IF('Registro por Sessão'!$S8="","","S5 P: "&amp;'Registro por Sessão'!$S8&amp;CHAR(10)))</f>
        <v/>
      </c>
      <c r="K4" s="13">
        <f>IF($B4="","",IF('Registro por Sessão'!$W4="","","S1: "&amp;'Registro por Sessão'!$W4&amp;CHAR(10))&amp;IF('Registro por Sessão'!$X4="","","S1 obs: "&amp;'Registro por Sessão'!$X4&amp;CHAR(10))&amp;IF('Registro por Sessão'!$W5="","","S2: "&amp;'Registro por Sessão'!$W5&amp;CHAR(10))&amp;IF('Registro por Sessão'!$X5="","","S2 obs: "&amp;'Registro por Sessão'!$X5&amp;CHAR(10))&amp;IF('Registro por Sessão'!$W6="","","S3: "&amp;'Registro por Sessão'!$W6&amp;CHAR(10))&amp;IF('Registro por Sessão'!$X6="","","S3 obs: "&amp;'Registro por Sessão'!$X6&amp;CHAR(10))&amp;IF('Registro por Sessão'!$W7="","","S4: "&amp;'Registro por Sessão'!$W7&amp;CHAR(10))&amp;IF('Registro por Sessão'!$X7="","","S4 obs: "&amp;'Registro por Sessão'!$X7&amp;CHAR(10))&amp;IF('Registro por Sessão'!$W8="","","S5: "&amp;'Registro por Sessão'!$W8&amp;CHAR(10))&amp;IF('Registro por Sessão'!$X8="","","S5 obs: "&amp;'Registro por Sessão'!$X8&amp;CHAR(10)))</f>
        <v/>
      </c>
      <c r="L4" s="2" t="n"/>
      <c r="M4" s="6">
        <f>IF(ISNUMBER('Registro por Sessão'!$J4),'Registro por Sessão'!$J4,"")</f>
        <v/>
      </c>
      <c r="N4" s="6">
        <f>IF(ISNUMBER('Registro por Sessão'!$J5),'Registro por Sessão'!$J5,"")</f>
        <v/>
      </c>
      <c r="O4" s="6">
        <f>IF(ISNUMBER('Registro por Sessão'!$J6),'Registro por Sessão'!$J6,"")</f>
        <v/>
      </c>
      <c r="P4" s="6">
        <f>IF(ISNUMBER('Registro por Sessão'!$J7),'Registro por Sessão'!$J7,"")</f>
        <v/>
      </c>
      <c r="Q4" s="6">
        <f>IF(ISNUMBER('Registro por Sessão'!$J8),'Registro por Sessão'!$J8,"")</f>
        <v/>
      </c>
      <c r="R4" s="6">
        <f>IF(ISNUMBER('Registro por Sessão'!$N4),'Registro por Sessão'!$N4,"")</f>
        <v/>
      </c>
      <c r="S4" s="6">
        <f>IF(ISNUMBER('Registro por Sessão'!$N5),'Registro por Sessão'!$N5,"")</f>
        <v/>
      </c>
      <c r="T4" s="6">
        <f>IF(ISNUMBER('Registro por Sessão'!$N6),'Registro por Sessão'!$N6,"")</f>
        <v/>
      </c>
      <c r="U4" s="6">
        <f>IF(ISNUMBER('Registro por Sessão'!$N7),'Registro por Sessão'!$N7,"")</f>
        <v/>
      </c>
      <c r="V4" s="6">
        <f>IF(ISNUMBER('Registro por Sessão'!$N8),'Registro por Sessão'!$N8,"")</f>
        <v/>
      </c>
      <c r="W4" s="6">
        <f>IF(ISNUMBER('Registro por Sessão'!$R4),'Registro por Sessão'!$R4,"")</f>
        <v/>
      </c>
      <c r="X4" s="6">
        <f>IF(ISNUMBER('Registro por Sessão'!$R5),'Registro por Sessão'!$R5,"")</f>
        <v/>
      </c>
      <c r="Y4" s="6">
        <f>IF(ISNUMBER('Registro por Sessão'!$R6),'Registro por Sessão'!$R6,"")</f>
        <v/>
      </c>
      <c r="Z4" s="6">
        <f>IF(ISNUMBER('Registro por Sessão'!$R7),'Registro por Sessão'!$R7,"")</f>
        <v/>
      </c>
      <c r="AA4" s="6">
        <f>IF(ISNUMBER('Registro por Sessão'!$R8),'Registro por Sessão'!$R8,"")</f>
        <v/>
      </c>
      <c r="AB4" s="6">
        <f>IF(ISNUMBER('Registro por Sessão'!$V4),'Registro por Sessão'!$V4,"")</f>
        <v/>
      </c>
      <c r="AC4" s="6">
        <f>IF(ISNUMBER('Registro por Sessão'!$V5),'Registro por Sessão'!$V5,"")</f>
        <v/>
      </c>
      <c r="AD4" s="6">
        <f>IF(ISNUMBER('Registro por Sessão'!$V6),'Registro por Sessão'!$V6,"")</f>
        <v/>
      </c>
      <c r="AE4" s="6">
        <f>IF(ISNUMBER('Registro por Sessão'!$V7),'Registro por Sessão'!$V7,"")</f>
        <v/>
      </c>
      <c r="AF4" s="6">
        <f>IF(ISNUMBER('Registro por Sessão'!$V8),'Registro por Sessão'!$V8,"")</f>
        <v/>
      </c>
    </row>
    <row r="5">
      <c r="A5" s="8">
        <f>IF($B5="","",ROW()-3)</f>
        <v/>
      </c>
      <c r="B5" s="9">
        <f>IF(Preenchimento!$B$11="","",Preenchimento!$B$11)</f>
        <v/>
      </c>
      <c r="C5" s="9">
        <f>IF($B5="","",IF(Preenchimento!$C$11="","-",Preenchimento!$C$11))</f>
        <v/>
      </c>
      <c r="D5" s="8">
        <f>IF($B5="","",IF(Preenchimento!$D$11="","-",Preenchimento!$D$11))</f>
        <v/>
      </c>
      <c r="E5" s="32">
        <f>IF($B5="","",IFERROR(AVERAGE(M5:Q5),"-"))</f>
        <v/>
      </c>
      <c r="F5" s="32">
        <f>IF($B5="","",IFERROR(AVERAGE(R5:V5),"-"))</f>
        <v/>
      </c>
      <c r="G5" s="32">
        <f>IF($B5="","",IFERROR(AVERAGE(W5:AA5),"-"))</f>
        <v/>
      </c>
      <c r="H5" s="32">
        <f>IF($B5="","",IFERROR(AVERAGE(AB5:AF5),"-"))</f>
        <v/>
      </c>
      <c r="I5" s="32">
        <f>IF($B5="","",IFERROR(AVERAGE(M5:AF5),"-"))</f>
        <v/>
      </c>
      <c r="J5" s="14">
        <f>IF($B5="","",IF('Registro por Sessão'!$G9="","","S1 D: "&amp;'Registro por Sessão'!$G9&amp;CHAR(10))&amp;IF('Registro por Sessão'!$K9="","","S1 F: "&amp;'Registro por Sessão'!$K9&amp;CHAR(10))&amp;IF('Registro por Sessão'!$O9="","","S1 C: "&amp;'Registro por Sessão'!$O9&amp;CHAR(10))&amp;IF('Registro por Sessão'!$S9="","","S1 P: "&amp;'Registro por Sessão'!$S9&amp;CHAR(10))&amp;IF('Registro por Sessão'!$G10="","","S2 D: "&amp;'Registro por Sessão'!$G10&amp;CHAR(10))&amp;IF('Registro por Sessão'!$K10="","","S2 F: "&amp;'Registro por Sessão'!$K10&amp;CHAR(10))&amp;IF('Registro por Sessão'!$O10="","","S2 C: "&amp;'Registro por Sessão'!$O10&amp;CHAR(10))&amp;IF('Registro por Sessão'!$S10="","","S2 P: "&amp;'Registro por Sessão'!$S10&amp;CHAR(10))&amp;IF('Registro por Sessão'!$G11="","","S3 D: "&amp;'Registro por Sessão'!$G11&amp;CHAR(10))&amp;IF('Registro por Sessão'!$K11="","","S3 F: "&amp;'Registro por Sessão'!$K11&amp;CHAR(10))&amp;IF('Registro por Sessão'!$O11="","","S3 C: "&amp;'Registro por Sessão'!$O11&amp;CHAR(10))&amp;IF('Registro por Sessão'!$S11="","","S3 P: "&amp;'Registro por Sessão'!$S11&amp;CHAR(10))&amp;IF('Registro por Sessão'!$G12="","","S4 D: "&amp;'Registro por Sessão'!$G12&amp;CHAR(10))&amp;IF('Registro por Sessão'!$K12="","","S4 F: "&amp;'Registro por Sessão'!$K12&amp;CHAR(10))&amp;IF('Registro por Sessão'!$O12="","","S4 C: "&amp;'Registro por Sessão'!$O12&amp;CHAR(10))&amp;IF('Registro por Sessão'!$S12="","","S4 P: "&amp;'Registro por Sessão'!$S12&amp;CHAR(10))&amp;IF('Registro por Sessão'!$G13="","","S5 D: "&amp;'Registro por Sessão'!$G13&amp;CHAR(10))&amp;IF('Registro por Sessão'!$K13="","","S5 F: "&amp;'Registro por Sessão'!$K13&amp;CHAR(10))&amp;IF('Registro por Sessão'!$O13="","","S5 C: "&amp;'Registro por Sessão'!$O13&amp;CHAR(10))&amp;IF('Registro por Sessão'!$S13="","","S5 P: "&amp;'Registro por Sessão'!$S13&amp;CHAR(10)))</f>
        <v/>
      </c>
      <c r="K5" s="14">
        <f>IF($B5="","",IF('Registro por Sessão'!$W9="","","S1: "&amp;'Registro por Sessão'!$W9&amp;CHAR(10))&amp;IF('Registro por Sessão'!$X9="","","S1 obs: "&amp;'Registro por Sessão'!$X9&amp;CHAR(10))&amp;IF('Registro por Sessão'!$W10="","","S2: "&amp;'Registro por Sessão'!$W10&amp;CHAR(10))&amp;IF('Registro por Sessão'!$X10="","","S2 obs: "&amp;'Registro por Sessão'!$X10&amp;CHAR(10))&amp;IF('Registro por Sessão'!$W11="","","S3: "&amp;'Registro por Sessão'!$W11&amp;CHAR(10))&amp;IF('Registro por Sessão'!$X11="","","S3 obs: "&amp;'Registro por Sessão'!$X11&amp;CHAR(10))&amp;IF('Registro por Sessão'!$W12="","","S4: "&amp;'Registro por Sessão'!$W12&amp;CHAR(10))&amp;IF('Registro por Sessão'!$X12="","","S4 obs: "&amp;'Registro por Sessão'!$X12&amp;CHAR(10))&amp;IF('Registro por Sessão'!$W13="","","S5: "&amp;'Registro por Sessão'!$W13&amp;CHAR(10))&amp;IF('Registro por Sessão'!$X13="","","S5 obs: "&amp;'Registro por Sessão'!$X13&amp;CHAR(10)))</f>
        <v/>
      </c>
      <c r="L5" s="2" t="n"/>
      <c r="M5" s="8">
        <f>IF(ISNUMBER('Registro por Sessão'!$J9),'Registro por Sessão'!$J9,"")</f>
        <v/>
      </c>
      <c r="N5" s="8">
        <f>IF(ISNUMBER('Registro por Sessão'!$J10),'Registro por Sessão'!$J10,"")</f>
        <v/>
      </c>
      <c r="O5" s="8">
        <f>IF(ISNUMBER('Registro por Sessão'!$J11),'Registro por Sessão'!$J11,"")</f>
        <v/>
      </c>
      <c r="P5" s="8">
        <f>IF(ISNUMBER('Registro por Sessão'!$J12),'Registro por Sessão'!$J12,"")</f>
        <v/>
      </c>
      <c r="Q5" s="8">
        <f>IF(ISNUMBER('Registro por Sessão'!$J13),'Registro por Sessão'!$J13,"")</f>
        <v/>
      </c>
      <c r="R5" s="8">
        <f>IF(ISNUMBER('Registro por Sessão'!$N9),'Registro por Sessão'!$N9,"")</f>
        <v/>
      </c>
      <c r="S5" s="8">
        <f>IF(ISNUMBER('Registro por Sessão'!$N10),'Registro por Sessão'!$N10,"")</f>
        <v/>
      </c>
      <c r="T5" s="8">
        <f>IF(ISNUMBER('Registro por Sessão'!$N11),'Registro por Sessão'!$N11,"")</f>
        <v/>
      </c>
      <c r="U5" s="8">
        <f>IF(ISNUMBER('Registro por Sessão'!$N12),'Registro por Sessão'!$N12,"")</f>
        <v/>
      </c>
      <c r="V5" s="8">
        <f>IF(ISNUMBER('Registro por Sessão'!$N13),'Registro por Sessão'!$N13,"")</f>
        <v/>
      </c>
      <c r="W5" s="8">
        <f>IF(ISNUMBER('Registro por Sessão'!$R9),'Registro por Sessão'!$R9,"")</f>
        <v/>
      </c>
      <c r="X5" s="8">
        <f>IF(ISNUMBER('Registro por Sessão'!$R10),'Registro por Sessão'!$R10,"")</f>
        <v/>
      </c>
      <c r="Y5" s="8">
        <f>IF(ISNUMBER('Registro por Sessão'!$R11),'Registro por Sessão'!$R11,"")</f>
        <v/>
      </c>
      <c r="Z5" s="8">
        <f>IF(ISNUMBER('Registro por Sessão'!$R12),'Registro por Sessão'!$R12,"")</f>
        <v/>
      </c>
      <c r="AA5" s="8">
        <f>IF(ISNUMBER('Registro por Sessão'!$R13),'Registro por Sessão'!$R13,"")</f>
        <v/>
      </c>
      <c r="AB5" s="8">
        <f>IF(ISNUMBER('Registro por Sessão'!$V9),'Registro por Sessão'!$V9,"")</f>
        <v/>
      </c>
      <c r="AC5" s="8">
        <f>IF(ISNUMBER('Registro por Sessão'!$V10),'Registro por Sessão'!$V10,"")</f>
        <v/>
      </c>
      <c r="AD5" s="8">
        <f>IF(ISNUMBER('Registro por Sessão'!$V11),'Registro por Sessão'!$V11,"")</f>
        <v/>
      </c>
      <c r="AE5" s="8">
        <f>IF(ISNUMBER('Registro por Sessão'!$V12),'Registro por Sessão'!$V12,"")</f>
        <v/>
      </c>
      <c r="AF5" s="8">
        <f>IF(ISNUMBER('Registro por Sessão'!$V13),'Registro por Sessão'!$V13,"")</f>
        <v/>
      </c>
    </row>
    <row r="6">
      <c r="A6" s="6">
        <f>IF($B6="","",ROW()-3)</f>
        <v/>
      </c>
      <c r="B6" s="7">
        <f>IF(Preenchimento!$B$12="","",Preenchimento!$B$12)</f>
        <v/>
      </c>
      <c r="C6" s="7">
        <f>IF($B6="","",IF(Preenchimento!$C$12="","-",Preenchimento!$C$12))</f>
        <v/>
      </c>
      <c r="D6" s="6">
        <f>IF($B6="","",IF(Preenchimento!$D$12="","-",Preenchimento!$D$12))</f>
        <v/>
      </c>
      <c r="E6" s="31">
        <f>IF($B6="","",IFERROR(AVERAGE(M6:Q6),"-"))</f>
        <v/>
      </c>
      <c r="F6" s="31">
        <f>IF($B6="","",IFERROR(AVERAGE(R6:V6),"-"))</f>
        <v/>
      </c>
      <c r="G6" s="31">
        <f>IF($B6="","",IFERROR(AVERAGE(W6:AA6),"-"))</f>
        <v/>
      </c>
      <c r="H6" s="31">
        <f>IF($B6="","",IFERROR(AVERAGE(AB6:AF6),"-"))</f>
        <v/>
      </c>
      <c r="I6" s="31">
        <f>IF($B6="","",IFERROR(AVERAGE(M6:AF6),"-"))</f>
        <v/>
      </c>
      <c r="J6" s="13">
        <f>IF($B6="","",IF('Registro por Sessão'!$G14="","","S1 D: "&amp;'Registro por Sessão'!$G14&amp;CHAR(10))&amp;IF('Registro por Sessão'!$K14="","","S1 F: "&amp;'Registro por Sessão'!$K14&amp;CHAR(10))&amp;IF('Registro por Sessão'!$O14="","","S1 C: "&amp;'Registro por Sessão'!$O14&amp;CHAR(10))&amp;IF('Registro por Sessão'!$S14="","","S1 P: "&amp;'Registro por Sessão'!$S14&amp;CHAR(10))&amp;IF('Registro por Sessão'!$G15="","","S2 D: "&amp;'Registro por Sessão'!$G15&amp;CHAR(10))&amp;IF('Registro por Sessão'!$K15="","","S2 F: "&amp;'Registro por Sessão'!$K15&amp;CHAR(10))&amp;IF('Registro por Sessão'!$O15="","","S2 C: "&amp;'Registro por Sessão'!$O15&amp;CHAR(10))&amp;IF('Registro por Sessão'!$S15="","","S2 P: "&amp;'Registro por Sessão'!$S15&amp;CHAR(10))&amp;IF('Registro por Sessão'!$G16="","","S3 D: "&amp;'Registro por Sessão'!$G16&amp;CHAR(10))&amp;IF('Registro por Sessão'!$K16="","","S3 F: "&amp;'Registro por Sessão'!$K16&amp;CHAR(10))&amp;IF('Registro por Sessão'!$O16="","","S3 C: "&amp;'Registro por Sessão'!$O16&amp;CHAR(10))&amp;IF('Registro por Sessão'!$S16="","","S3 P: "&amp;'Registro por Sessão'!$S16&amp;CHAR(10))&amp;IF('Registro por Sessão'!$G17="","","S4 D: "&amp;'Registro por Sessão'!$G17&amp;CHAR(10))&amp;IF('Registro por Sessão'!$K17="","","S4 F: "&amp;'Registro por Sessão'!$K17&amp;CHAR(10))&amp;IF('Registro por Sessão'!$O17="","","S4 C: "&amp;'Registro por Sessão'!$O17&amp;CHAR(10))&amp;IF('Registro por Sessão'!$S17="","","S4 P: "&amp;'Registro por Sessão'!$S17&amp;CHAR(10))&amp;IF('Registro por Sessão'!$G18="","","S5 D: "&amp;'Registro por Sessão'!$G18&amp;CHAR(10))&amp;IF('Registro por Sessão'!$K18="","","S5 F: "&amp;'Registro por Sessão'!$K18&amp;CHAR(10))&amp;IF('Registro por Sessão'!$O18="","","S5 C: "&amp;'Registro por Sessão'!$O18&amp;CHAR(10))&amp;IF('Registro por Sessão'!$S18="","","S5 P: "&amp;'Registro por Sessão'!$S18&amp;CHAR(10)))</f>
        <v/>
      </c>
      <c r="K6" s="13">
        <f>IF($B6="","",IF('Registro por Sessão'!$W14="","","S1: "&amp;'Registro por Sessão'!$W14&amp;CHAR(10))&amp;IF('Registro por Sessão'!$X14="","","S1 obs: "&amp;'Registro por Sessão'!$X14&amp;CHAR(10))&amp;IF('Registro por Sessão'!$W15="","","S2: "&amp;'Registro por Sessão'!$W15&amp;CHAR(10))&amp;IF('Registro por Sessão'!$X15="","","S2 obs: "&amp;'Registro por Sessão'!$X15&amp;CHAR(10))&amp;IF('Registro por Sessão'!$W16="","","S3: "&amp;'Registro por Sessão'!$W16&amp;CHAR(10))&amp;IF('Registro por Sessão'!$X16="","","S3 obs: "&amp;'Registro por Sessão'!$X16&amp;CHAR(10))&amp;IF('Registro por Sessão'!$W17="","","S4: "&amp;'Registro por Sessão'!$W17&amp;CHAR(10))&amp;IF('Registro por Sessão'!$X17="","","S4 obs: "&amp;'Registro por Sessão'!$X17&amp;CHAR(10))&amp;IF('Registro por Sessão'!$W18="","","S5: "&amp;'Registro por Sessão'!$W18&amp;CHAR(10))&amp;IF('Registro por Sessão'!$X18="","","S5 obs: "&amp;'Registro por Sessão'!$X18&amp;CHAR(10)))</f>
        <v/>
      </c>
      <c r="L6" s="2" t="n"/>
      <c r="M6" s="6">
        <f>IF(ISNUMBER('Registro por Sessão'!$J14),'Registro por Sessão'!$J14,"")</f>
        <v/>
      </c>
      <c r="N6" s="6">
        <f>IF(ISNUMBER('Registro por Sessão'!$J15),'Registro por Sessão'!$J15,"")</f>
        <v/>
      </c>
      <c r="O6" s="6">
        <f>IF(ISNUMBER('Registro por Sessão'!$J16),'Registro por Sessão'!$J16,"")</f>
        <v/>
      </c>
      <c r="P6" s="6">
        <f>IF(ISNUMBER('Registro por Sessão'!$J17),'Registro por Sessão'!$J17,"")</f>
        <v/>
      </c>
      <c r="Q6" s="6">
        <f>IF(ISNUMBER('Registro por Sessão'!$J18),'Registro por Sessão'!$J18,"")</f>
        <v/>
      </c>
      <c r="R6" s="6">
        <f>IF(ISNUMBER('Registro por Sessão'!$N14),'Registro por Sessão'!$N14,"")</f>
        <v/>
      </c>
      <c r="S6" s="6">
        <f>IF(ISNUMBER('Registro por Sessão'!$N15),'Registro por Sessão'!$N15,"")</f>
        <v/>
      </c>
      <c r="T6" s="6">
        <f>IF(ISNUMBER('Registro por Sessão'!$N16),'Registro por Sessão'!$N16,"")</f>
        <v/>
      </c>
      <c r="U6" s="6">
        <f>IF(ISNUMBER('Registro por Sessão'!$N17),'Registro por Sessão'!$N17,"")</f>
        <v/>
      </c>
      <c r="V6" s="6">
        <f>IF(ISNUMBER('Registro por Sessão'!$N18),'Registro por Sessão'!$N18,"")</f>
        <v/>
      </c>
      <c r="W6" s="6">
        <f>IF(ISNUMBER('Registro por Sessão'!$R14),'Registro por Sessão'!$R14,"")</f>
        <v/>
      </c>
      <c r="X6" s="6">
        <f>IF(ISNUMBER('Registro por Sessão'!$R15),'Registro por Sessão'!$R15,"")</f>
        <v/>
      </c>
      <c r="Y6" s="6">
        <f>IF(ISNUMBER('Registro por Sessão'!$R16),'Registro por Sessão'!$R16,"")</f>
        <v/>
      </c>
      <c r="Z6" s="6">
        <f>IF(ISNUMBER('Registro por Sessão'!$R17),'Registro por Sessão'!$R17,"")</f>
        <v/>
      </c>
      <c r="AA6" s="6">
        <f>IF(ISNUMBER('Registro por Sessão'!$R18),'Registro por Sessão'!$R18,"")</f>
        <v/>
      </c>
      <c r="AB6" s="6">
        <f>IF(ISNUMBER('Registro por Sessão'!$V14),'Registro por Sessão'!$V14,"")</f>
        <v/>
      </c>
      <c r="AC6" s="6">
        <f>IF(ISNUMBER('Registro por Sessão'!$V15),'Registro por Sessão'!$V15,"")</f>
        <v/>
      </c>
      <c r="AD6" s="6">
        <f>IF(ISNUMBER('Registro por Sessão'!$V16),'Registro por Sessão'!$V16,"")</f>
        <v/>
      </c>
      <c r="AE6" s="6">
        <f>IF(ISNUMBER('Registro por Sessão'!$V17),'Registro por Sessão'!$V17,"")</f>
        <v/>
      </c>
      <c r="AF6" s="6">
        <f>IF(ISNUMBER('Registro por Sessão'!$V18),'Registro por Sessão'!$V18,"")</f>
        <v/>
      </c>
    </row>
    <row r="7">
      <c r="A7" s="8">
        <f>IF($B7="","",ROW()-3)</f>
        <v/>
      </c>
      <c r="B7" s="9">
        <f>IF(Preenchimento!$B$13="","",Preenchimento!$B$13)</f>
        <v/>
      </c>
      <c r="C7" s="9">
        <f>IF($B7="","",IF(Preenchimento!$C$13="","-",Preenchimento!$C$13))</f>
        <v/>
      </c>
      <c r="D7" s="8">
        <f>IF($B7="","",IF(Preenchimento!$D$13="","-",Preenchimento!$D$13))</f>
        <v/>
      </c>
      <c r="E7" s="32">
        <f>IF($B7="","",IFERROR(AVERAGE(M7:Q7),"-"))</f>
        <v/>
      </c>
      <c r="F7" s="32">
        <f>IF($B7="","",IFERROR(AVERAGE(R7:V7),"-"))</f>
        <v/>
      </c>
      <c r="G7" s="32">
        <f>IF($B7="","",IFERROR(AVERAGE(W7:AA7),"-"))</f>
        <v/>
      </c>
      <c r="H7" s="32">
        <f>IF($B7="","",IFERROR(AVERAGE(AB7:AF7),"-"))</f>
        <v/>
      </c>
      <c r="I7" s="32">
        <f>IF($B7="","",IFERROR(AVERAGE(M7:AF7),"-"))</f>
        <v/>
      </c>
      <c r="J7" s="14">
        <f>IF($B7="","",IF('Registro por Sessão'!$G19="","","S1 D: "&amp;'Registro por Sessão'!$G19&amp;CHAR(10))&amp;IF('Registro por Sessão'!$K19="","","S1 F: "&amp;'Registro por Sessão'!$K19&amp;CHAR(10))&amp;IF('Registro por Sessão'!$O19="","","S1 C: "&amp;'Registro por Sessão'!$O19&amp;CHAR(10))&amp;IF('Registro por Sessão'!$S19="","","S1 P: "&amp;'Registro por Sessão'!$S19&amp;CHAR(10))&amp;IF('Registro por Sessão'!$G20="","","S2 D: "&amp;'Registro por Sessão'!$G20&amp;CHAR(10))&amp;IF('Registro por Sessão'!$K20="","","S2 F: "&amp;'Registro por Sessão'!$K20&amp;CHAR(10))&amp;IF('Registro por Sessão'!$O20="","","S2 C: "&amp;'Registro por Sessão'!$O20&amp;CHAR(10))&amp;IF('Registro por Sessão'!$S20="","","S2 P: "&amp;'Registro por Sessão'!$S20&amp;CHAR(10))&amp;IF('Registro por Sessão'!$G21="","","S3 D: "&amp;'Registro por Sessão'!$G21&amp;CHAR(10))&amp;IF('Registro por Sessão'!$K21="","","S3 F: "&amp;'Registro por Sessão'!$K21&amp;CHAR(10))&amp;IF('Registro por Sessão'!$O21="","","S3 C: "&amp;'Registro por Sessão'!$O21&amp;CHAR(10))&amp;IF('Registro por Sessão'!$S21="","","S3 P: "&amp;'Registro por Sessão'!$S21&amp;CHAR(10))&amp;IF('Registro por Sessão'!$G22="","","S4 D: "&amp;'Registro por Sessão'!$G22&amp;CHAR(10))&amp;IF('Registro por Sessão'!$K22="","","S4 F: "&amp;'Registro por Sessão'!$K22&amp;CHAR(10))&amp;IF('Registro por Sessão'!$O22="","","S4 C: "&amp;'Registro por Sessão'!$O22&amp;CHAR(10))&amp;IF('Registro por Sessão'!$S22="","","S4 P: "&amp;'Registro por Sessão'!$S22&amp;CHAR(10))&amp;IF('Registro por Sessão'!$G23="","","S5 D: "&amp;'Registro por Sessão'!$G23&amp;CHAR(10))&amp;IF('Registro por Sessão'!$K23="","","S5 F: "&amp;'Registro por Sessão'!$K23&amp;CHAR(10))&amp;IF('Registro por Sessão'!$O23="","","S5 C: "&amp;'Registro por Sessão'!$O23&amp;CHAR(10))&amp;IF('Registro por Sessão'!$S23="","","S5 P: "&amp;'Registro por Sessão'!$S23&amp;CHAR(10)))</f>
        <v/>
      </c>
      <c r="K7" s="14">
        <f>IF($B7="","",IF('Registro por Sessão'!$W19="","","S1: "&amp;'Registro por Sessão'!$W19&amp;CHAR(10))&amp;IF('Registro por Sessão'!$X19="","","S1 obs: "&amp;'Registro por Sessão'!$X19&amp;CHAR(10))&amp;IF('Registro por Sessão'!$W20="","","S2: "&amp;'Registro por Sessão'!$W20&amp;CHAR(10))&amp;IF('Registro por Sessão'!$X20="","","S2 obs: "&amp;'Registro por Sessão'!$X20&amp;CHAR(10))&amp;IF('Registro por Sessão'!$W21="","","S3: "&amp;'Registro por Sessão'!$W21&amp;CHAR(10))&amp;IF('Registro por Sessão'!$X21="","","S3 obs: "&amp;'Registro por Sessão'!$X21&amp;CHAR(10))&amp;IF('Registro por Sessão'!$W22="","","S4: "&amp;'Registro por Sessão'!$W22&amp;CHAR(10))&amp;IF('Registro por Sessão'!$X22="","","S4 obs: "&amp;'Registro por Sessão'!$X22&amp;CHAR(10))&amp;IF('Registro por Sessão'!$W23="","","S5: "&amp;'Registro por Sessão'!$W23&amp;CHAR(10))&amp;IF('Registro por Sessão'!$X23="","","S5 obs: "&amp;'Registro por Sessão'!$X23&amp;CHAR(10)))</f>
        <v/>
      </c>
      <c r="L7" s="2" t="n"/>
      <c r="M7" s="8">
        <f>IF(ISNUMBER('Registro por Sessão'!$J19),'Registro por Sessão'!$J19,"")</f>
        <v/>
      </c>
      <c r="N7" s="8">
        <f>IF(ISNUMBER('Registro por Sessão'!$J20),'Registro por Sessão'!$J20,"")</f>
        <v/>
      </c>
      <c r="O7" s="8">
        <f>IF(ISNUMBER('Registro por Sessão'!$J21),'Registro por Sessão'!$J21,"")</f>
        <v/>
      </c>
      <c r="P7" s="8">
        <f>IF(ISNUMBER('Registro por Sessão'!$J22),'Registro por Sessão'!$J22,"")</f>
        <v/>
      </c>
      <c r="Q7" s="8">
        <f>IF(ISNUMBER('Registro por Sessão'!$J23),'Registro por Sessão'!$J23,"")</f>
        <v/>
      </c>
      <c r="R7" s="8">
        <f>IF(ISNUMBER('Registro por Sessão'!$N19),'Registro por Sessão'!$N19,"")</f>
        <v/>
      </c>
      <c r="S7" s="8">
        <f>IF(ISNUMBER('Registro por Sessão'!$N20),'Registro por Sessão'!$N20,"")</f>
        <v/>
      </c>
      <c r="T7" s="8">
        <f>IF(ISNUMBER('Registro por Sessão'!$N21),'Registro por Sessão'!$N21,"")</f>
        <v/>
      </c>
      <c r="U7" s="8">
        <f>IF(ISNUMBER('Registro por Sessão'!$N22),'Registro por Sessão'!$N22,"")</f>
        <v/>
      </c>
      <c r="V7" s="8">
        <f>IF(ISNUMBER('Registro por Sessão'!$N23),'Registro por Sessão'!$N23,"")</f>
        <v/>
      </c>
      <c r="W7" s="8">
        <f>IF(ISNUMBER('Registro por Sessão'!$R19),'Registro por Sessão'!$R19,"")</f>
        <v/>
      </c>
      <c r="X7" s="8">
        <f>IF(ISNUMBER('Registro por Sessão'!$R20),'Registro por Sessão'!$R20,"")</f>
        <v/>
      </c>
      <c r="Y7" s="8">
        <f>IF(ISNUMBER('Registro por Sessão'!$R21),'Registro por Sessão'!$R21,"")</f>
        <v/>
      </c>
      <c r="Z7" s="8">
        <f>IF(ISNUMBER('Registro por Sessão'!$R22),'Registro por Sessão'!$R22,"")</f>
        <v/>
      </c>
      <c r="AA7" s="8">
        <f>IF(ISNUMBER('Registro por Sessão'!$R23),'Registro por Sessão'!$R23,"")</f>
        <v/>
      </c>
      <c r="AB7" s="8">
        <f>IF(ISNUMBER('Registro por Sessão'!$V19),'Registro por Sessão'!$V19,"")</f>
        <v/>
      </c>
      <c r="AC7" s="8">
        <f>IF(ISNUMBER('Registro por Sessão'!$V20),'Registro por Sessão'!$V20,"")</f>
        <v/>
      </c>
      <c r="AD7" s="8">
        <f>IF(ISNUMBER('Registro por Sessão'!$V21),'Registro por Sessão'!$V21,"")</f>
        <v/>
      </c>
      <c r="AE7" s="8">
        <f>IF(ISNUMBER('Registro por Sessão'!$V22),'Registro por Sessão'!$V22,"")</f>
        <v/>
      </c>
      <c r="AF7" s="8">
        <f>IF(ISNUMBER('Registro por Sessão'!$V23),'Registro por Sessão'!$V23,"")</f>
        <v/>
      </c>
    </row>
    <row r="8">
      <c r="A8" s="6">
        <f>IF($B8="","",ROW()-3)</f>
        <v/>
      </c>
      <c r="B8" s="7">
        <f>IF(Preenchimento!$B$14="","",Preenchimento!$B$14)</f>
        <v/>
      </c>
      <c r="C8" s="7">
        <f>IF($B8="","",IF(Preenchimento!$C$14="","-",Preenchimento!$C$14))</f>
        <v/>
      </c>
      <c r="D8" s="6">
        <f>IF($B8="","",IF(Preenchimento!$D$14="","-",Preenchimento!$D$14))</f>
        <v/>
      </c>
      <c r="E8" s="31">
        <f>IF($B8="","",IFERROR(AVERAGE(M8:Q8),"-"))</f>
        <v/>
      </c>
      <c r="F8" s="31">
        <f>IF($B8="","",IFERROR(AVERAGE(R8:V8),"-"))</f>
        <v/>
      </c>
      <c r="G8" s="31">
        <f>IF($B8="","",IFERROR(AVERAGE(W8:AA8),"-"))</f>
        <v/>
      </c>
      <c r="H8" s="31">
        <f>IF($B8="","",IFERROR(AVERAGE(AB8:AF8),"-"))</f>
        <v/>
      </c>
      <c r="I8" s="31">
        <f>IF($B8="","",IFERROR(AVERAGE(M8:AF8),"-"))</f>
        <v/>
      </c>
      <c r="J8" s="13">
        <f>IF($B8="","",IF('Registro por Sessão'!$G24="","","S1 D: "&amp;'Registro por Sessão'!$G24&amp;CHAR(10))&amp;IF('Registro por Sessão'!$K24="","","S1 F: "&amp;'Registro por Sessão'!$K24&amp;CHAR(10))&amp;IF('Registro por Sessão'!$O24="","","S1 C: "&amp;'Registro por Sessão'!$O24&amp;CHAR(10))&amp;IF('Registro por Sessão'!$S24="","","S1 P: "&amp;'Registro por Sessão'!$S24&amp;CHAR(10))&amp;IF('Registro por Sessão'!$G25="","","S2 D: "&amp;'Registro por Sessão'!$G25&amp;CHAR(10))&amp;IF('Registro por Sessão'!$K25="","","S2 F: "&amp;'Registro por Sessão'!$K25&amp;CHAR(10))&amp;IF('Registro por Sessão'!$O25="","","S2 C: "&amp;'Registro por Sessão'!$O25&amp;CHAR(10))&amp;IF('Registro por Sessão'!$S25="","","S2 P: "&amp;'Registro por Sessão'!$S25&amp;CHAR(10))&amp;IF('Registro por Sessão'!$G26="","","S3 D: "&amp;'Registro por Sessão'!$G26&amp;CHAR(10))&amp;IF('Registro por Sessão'!$K26="","","S3 F: "&amp;'Registro por Sessão'!$K26&amp;CHAR(10))&amp;IF('Registro por Sessão'!$O26="","","S3 C: "&amp;'Registro por Sessão'!$O26&amp;CHAR(10))&amp;IF('Registro por Sessão'!$S26="","","S3 P: "&amp;'Registro por Sessão'!$S26&amp;CHAR(10))&amp;IF('Registro por Sessão'!$G27="","","S4 D: "&amp;'Registro por Sessão'!$G27&amp;CHAR(10))&amp;IF('Registro por Sessão'!$K27="","","S4 F: "&amp;'Registro por Sessão'!$K27&amp;CHAR(10))&amp;IF('Registro por Sessão'!$O27="","","S4 C: "&amp;'Registro por Sessão'!$O27&amp;CHAR(10))&amp;IF('Registro por Sessão'!$S27="","","S4 P: "&amp;'Registro por Sessão'!$S27&amp;CHAR(10))&amp;IF('Registro por Sessão'!$G28="","","S5 D: "&amp;'Registro por Sessão'!$G28&amp;CHAR(10))&amp;IF('Registro por Sessão'!$K28="","","S5 F: "&amp;'Registro por Sessão'!$K28&amp;CHAR(10))&amp;IF('Registro por Sessão'!$O28="","","S5 C: "&amp;'Registro por Sessão'!$O28&amp;CHAR(10))&amp;IF('Registro por Sessão'!$S28="","","S5 P: "&amp;'Registro por Sessão'!$S28&amp;CHAR(10)))</f>
        <v/>
      </c>
      <c r="K8" s="13">
        <f>IF($B8="","",IF('Registro por Sessão'!$W24="","","S1: "&amp;'Registro por Sessão'!$W24&amp;CHAR(10))&amp;IF('Registro por Sessão'!$X24="","","S1 obs: "&amp;'Registro por Sessão'!$X24&amp;CHAR(10))&amp;IF('Registro por Sessão'!$W25="","","S2: "&amp;'Registro por Sessão'!$W25&amp;CHAR(10))&amp;IF('Registro por Sessão'!$X25="","","S2 obs: "&amp;'Registro por Sessão'!$X25&amp;CHAR(10))&amp;IF('Registro por Sessão'!$W26="","","S3: "&amp;'Registro por Sessão'!$W26&amp;CHAR(10))&amp;IF('Registro por Sessão'!$X26="","","S3 obs: "&amp;'Registro por Sessão'!$X26&amp;CHAR(10))&amp;IF('Registro por Sessão'!$W27="","","S4: "&amp;'Registro por Sessão'!$W27&amp;CHAR(10))&amp;IF('Registro por Sessão'!$X27="","","S4 obs: "&amp;'Registro por Sessão'!$X27&amp;CHAR(10))&amp;IF('Registro por Sessão'!$W28="","","S5: "&amp;'Registro por Sessão'!$W28&amp;CHAR(10))&amp;IF('Registro por Sessão'!$X28="","","S5 obs: "&amp;'Registro por Sessão'!$X28&amp;CHAR(10)))</f>
        <v/>
      </c>
      <c r="L8" s="2" t="n"/>
      <c r="M8" s="6">
        <f>IF(ISNUMBER('Registro por Sessão'!$J24),'Registro por Sessão'!$J24,"")</f>
        <v/>
      </c>
      <c r="N8" s="6">
        <f>IF(ISNUMBER('Registro por Sessão'!$J25),'Registro por Sessão'!$J25,"")</f>
        <v/>
      </c>
      <c r="O8" s="6">
        <f>IF(ISNUMBER('Registro por Sessão'!$J26),'Registro por Sessão'!$J26,"")</f>
        <v/>
      </c>
      <c r="P8" s="6">
        <f>IF(ISNUMBER('Registro por Sessão'!$J27),'Registro por Sessão'!$J27,"")</f>
        <v/>
      </c>
      <c r="Q8" s="6">
        <f>IF(ISNUMBER('Registro por Sessão'!$J28),'Registro por Sessão'!$J28,"")</f>
        <v/>
      </c>
      <c r="R8" s="6">
        <f>IF(ISNUMBER('Registro por Sessão'!$N24),'Registro por Sessão'!$N24,"")</f>
        <v/>
      </c>
      <c r="S8" s="6">
        <f>IF(ISNUMBER('Registro por Sessão'!$N25),'Registro por Sessão'!$N25,"")</f>
        <v/>
      </c>
      <c r="T8" s="6">
        <f>IF(ISNUMBER('Registro por Sessão'!$N26),'Registro por Sessão'!$N26,"")</f>
        <v/>
      </c>
      <c r="U8" s="6">
        <f>IF(ISNUMBER('Registro por Sessão'!$N27),'Registro por Sessão'!$N27,"")</f>
        <v/>
      </c>
      <c r="V8" s="6">
        <f>IF(ISNUMBER('Registro por Sessão'!$N28),'Registro por Sessão'!$N28,"")</f>
        <v/>
      </c>
      <c r="W8" s="6">
        <f>IF(ISNUMBER('Registro por Sessão'!$R24),'Registro por Sessão'!$R24,"")</f>
        <v/>
      </c>
      <c r="X8" s="6">
        <f>IF(ISNUMBER('Registro por Sessão'!$R25),'Registro por Sessão'!$R25,"")</f>
        <v/>
      </c>
      <c r="Y8" s="6">
        <f>IF(ISNUMBER('Registro por Sessão'!$R26),'Registro por Sessão'!$R26,"")</f>
        <v/>
      </c>
      <c r="Z8" s="6">
        <f>IF(ISNUMBER('Registro por Sessão'!$R27),'Registro por Sessão'!$R27,"")</f>
        <v/>
      </c>
      <c r="AA8" s="6">
        <f>IF(ISNUMBER('Registro por Sessão'!$R28),'Registro por Sessão'!$R28,"")</f>
        <v/>
      </c>
      <c r="AB8" s="6">
        <f>IF(ISNUMBER('Registro por Sessão'!$V24),'Registro por Sessão'!$V24,"")</f>
        <v/>
      </c>
      <c r="AC8" s="6">
        <f>IF(ISNUMBER('Registro por Sessão'!$V25),'Registro por Sessão'!$V25,"")</f>
        <v/>
      </c>
      <c r="AD8" s="6">
        <f>IF(ISNUMBER('Registro por Sessão'!$V26),'Registro por Sessão'!$V26,"")</f>
        <v/>
      </c>
      <c r="AE8" s="6">
        <f>IF(ISNUMBER('Registro por Sessão'!$V27),'Registro por Sessão'!$V27,"")</f>
        <v/>
      </c>
      <c r="AF8" s="6">
        <f>IF(ISNUMBER('Registro por Sessão'!$V28),'Registro por Sessão'!$V28,"")</f>
        <v/>
      </c>
    </row>
    <row r="9">
      <c r="A9" s="8">
        <f>IF($B9="","",ROW()-3)</f>
        <v/>
      </c>
      <c r="B9" s="9">
        <f>IF(Preenchimento!$B$15="","",Preenchimento!$B$15)</f>
        <v/>
      </c>
      <c r="C9" s="9">
        <f>IF($B9="","",IF(Preenchimento!$C$15="","-",Preenchimento!$C$15))</f>
        <v/>
      </c>
      <c r="D9" s="8">
        <f>IF($B9="","",IF(Preenchimento!$D$15="","-",Preenchimento!$D$15))</f>
        <v/>
      </c>
      <c r="E9" s="32">
        <f>IF($B9="","",IFERROR(AVERAGE(M9:Q9),"-"))</f>
        <v/>
      </c>
      <c r="F9" s="32">
        <f>IF($B9="","",IFERROR(AVERAGE(R9:V9),"-"))</f>
        <v/>
      </c>
      <c r="G9" s="32">
        <f>IF($B9="","",IFERROR(AVERAGE(W9:AA9),"-"))</f>
        <v/>
      </c>
      <c r="H9" s="32">
        <f>IF($B9="","",IFERROR(AVERAGE(AB9:AF9),"-"))</f>
        <v/>
      </c>
      <c r="I9" s="32">
        <f>IF($B9="","",IFERROR(AVERAGE(M9:AF9),"-"))</f>
        <v/>
      </c>
      <c r="J9" s="14">
        <f>IF($B9="","",IF('Registro por Sessão'!$G29="","","S1 D: "&amp;'Registro por Sessão'!$G29&amp;CHAR(10))&amp;IF('Registro por Sessão'!$K29="","","S1 F: "&amp;'Registro por Sessão'!$K29&amp;CHAR(10))&amp;IF('Registro por Sessão'!$O29="","","S1 C: "&amp;'Registro por Sessão'!$O29&amp;CHAR(10))&amp;IF('Registro por Sessão'!$S29="","","S1 P: "&amp;'Registro por Sessão'!$S29&amp;CHAR(10))&amp;IF('Registro por Sessão'!$G30="","","S2 D: "&amp;'Registro por Sessão'!$G30&amp;CHAR(10))&amp;IF('Registro por Sessão'!$K30="","","S2 F: "&amp;'Registro por Sessão'!$K30&amp;CHAR(10))&amp;IF('Registro por Sessão'!$O30="","","S2 C: "&amp;'Registro por Sessão'!$O30&amp;CHAR(10))&amp;IF('Registro por Sessão'!$S30="","","S2 P: "&amp;'Registro por Sessão'!$S30&amp;CHAR(10))&amp;IF('Registro por Sessão'!$G31="","","S3 D: "&amp;'Registro por Sessão'!$G31&amp;CHAR(10))&amp;IF('Registro por Sessão'!$K31="","","S3 F: "&amp;'Registro por Sessão'!$K31&amp;CHAR(10))&amp;IF('Registro por Sessão'!$O31="","","S3 C: "&amp;'Registro por Sessão'!$O31&amp;CHAR(10))&amp;IF('Registro por Sessão'!$S31="","","S3 P: "&amp;'Registro por Sessão'!$S31&amp;CHAR(10))&amp;IF('Registro por Sessão'!$G32="","","S4 D: "&amp;'Registro por Sessão'!$G32&amp;CHAR(10))&amp;IF('Registro por Sessão'!$K32="","","S4 F: "&amp;'Registro por Sessão'!$K32&amp;CHAR(10))&amp;IF('Registro por Sessão'!$O32="","","S4 C: "&amp;'Registro por Sessão'!$O32&amp;CHAR(10))&amp;IF('Registro por Sessão'!$S32="","","S4 P: "&amp;'Registro por Sessão'!$S32&amp;CHAR(10))&amp;IF('Registro por Sessão'!$G33="","","S5 D: "&amp;'Registro por Sessão'!$G33&amp;CHAR(10))&amp;IF('Registro por Sessão'!$K33="","","S5 F: "&amp;'Registro por Sessão'!$K33&amp;CHAR(10))&amp;IF('Registro por Sessão'!$O33="","","S5 C: "&amp;'Registro por Sessão'!$O33&amp;CHAR(10))&amp;IF('Registro por Sessão'!$S33="","","S5 P: "&amp;'Registro por Sessão'!$S33&amp;CHAR(10)))</f>
        <v/>
      </c>
      <c r="K9" s="14">
        <f>IF($B9="","",IF('Registro por Sessão'!$W29="","","S1: "&amp;'Registro por Sessão'!$W29&amp;CHAR(10))&amp;IF('Registro por Sessão'!$X29="","","S1 obs: "&amp;'Registro por Sessão'!$X29&amp;CHAR(10))&amp;IF('Registro por Sessão'!$W30="","","S2: "&amp;'Registro por Sessão'!$W30&amp;CHAR(10))&amp;IF('Registro por Sessão'!$X30="","","S2 obs: "&amp;'Registro por Sessão'!$X30&amp;CHAR(10))&amp;IF('Registro por Sessão'!$W31="","","S3: "&amp;'Registro por Sessão'!$W31&amp;CHAR(10))&amp;IF('Registro por Sessão'!$X31="","","S3 obs: "&amp;'Registro por Sessão'!$X31&amp;CHAR(10))&amp;IF('Registro por Sessão'!$W32="","","S4: "&amp;'Registro por Sessão'!$W32&amp;CHAR(10))&amp;IF('Registro por Sessão'!$X32="","","S4 obs: "&amp;'Registro por Sessão'!$X32&amp;CHAR(10))&amp;IF('Registro por Sessão'!$W33="","","S5: "&amp;'Registro por Sessão'!$W33&amp;CHAR(10))&amp;IF('Registro por Sessão'!$X33="","","S5 obs: "&amp;'Registro por Sessão'!$X33&amp;CHAR(10)))</f>
        <v/>
      </c>
      <c r="L9" s="2" t="n"/>
      <c r="M9" s="8">
        <f>IF(ISNUMBER('Registro por Sessão'!$J29),'Registro por Sessão'!$J29,"")</f>
        <v/>
      </c>
      <c r="N9" s="8">
        <f>IF(ISNUMBER('Registro por Sessão'!$J30),'Registro por Sessão'!$J30,"")</f>
        <v/>
      </c>
      <c r="O9" s="8">
        <f>IF(ISNUMBER('Registro por Sessão'!$J31),'Registro por Sessão'!$J31,"")</f>
        <v/>
      </c>
      <c r="P9" s="8">
        <f>IF(ISNUMBER('Registro por Sessão'!$J32),'Registro por Sessão'!$J32,"")</f>
        <v/>
      </c>
      <c r="Q9" s="8">
        <f>IF(ISNUMBER('Registro por Sessão'!$J33),'Registro por Sessão'!$J33,"")</f>
        <v/>
      </c>
      <c r="R9" s="8">
        <f>IF(ISNUMBER('Registro por Sessão'!$N29),'Registro por Sessão'!$N29,"")</f>
        <v/>
      </c>
      <c r="S9" s="8">
        <f>IF(ISNUMBER('Registro por Sessão'!$N30),'Registro por Sessão'!$N30,"")</f>
        <v/>
      </c>
      <c r="T9" s="8">
        <f>IF(ISNUMBER('Registro por Sessão'!$N31),'Registro por Sessão'!$N31,"")</f>
        <v/>
      </c>
      <c r="U9" s="8">
        <f>IF(ISNUMBER('Registro por Sessão'!$N32),'Registro por Sessão'!$N32,"")</f>
        <v/>
      </c>
      <c r="V9" s="8">
        <f>IF(ISNUMBER('Registro por Sessão'!$N33),'Registro por Sessão'!$N33,"")</f>
        <v/>
      </c>
      <c r="W9" s="8">
        <f>IF(ISNUMBER('Registro por Sessão'!$R29),'Registro por Sessão'!$R29,"")</f>
        <v/>
      </c>
      <c r="X9" s="8">
        <f>IF(ISNUMBER('Registro por Sessão'!$R30),'Registro por Sessão'!$R30,"")</f>
        <v/>
      </c>
      <c r="Y9" s="8">
        <f>IF(ISNUMBER('Registro por Sessão'!$R31),'Registro por Sessão'!$R31,"")</f>
        <v/>
      </c>
      <c r="Z9" s="8">
        <f>IF(ISNUMBER('Registro por Sessão'!$R32),'Registro por Sessão'!$R32,"")</f>
        <v/>
      </c>
      <c r="AA9" s="8">
        <f>IF(ISNUMBER('Registro por Sessão'!$R33),'Registro por Sessão'!$R33,"")</f>
        <v/>
      </c>
      <c r="AB9" s="8">
        <f>IF(ISNUMBER('Registro por Sessão'!$V29),'Registro por Sessão'!$V29,"")</f>
        <v/>
      </c>
      <c r="AC9" s="8">
        <f>IF(ISNUMBER('Registro por Sessão'!$V30),'Registro por Sessão'!$V30,"")</f>
        <v/>
      </c>
      <c r="AD9" s="8">
        <f>IF(ISNUMBER('Registro por Sessão'!$V31),'Registro por Sessão'!$V31,"")</f>
        <v/>
      </c>
      <c r="AE9" s="8">
        <f>IF(ISNUMBER('Registro por Sessão'!$V32),'Registro por Sessão'!$V32,"")</f>
        <v/>
      </c>
      <c r="AF9" s="8">
        <f>IF(ISNUMBER('Registro por Sessão'!$V33),'Registro por Sessão'!$V33,"")</f>
        <v/>
      </c>
    </row>
    <row r="10">
      <c r="A10" s="6">
        <f>IF($B10="","",ROW()-3)</f>
        <v/>
      </c>
      <c r="B10" s="7">
        <f>IF(Preenchimento!$B$16="","",Preenchimento!$B$16)</f>
        <v/>
      </c>
      <c r="C10" s="7">
        <f>IF($B10="","",IF(Preenchimento!$C$16="","-",Preenchimento!$C$16))</f>
        <v/>
      </c>
      <c r="D10" s="6">
        <f>IF($B10="","",IF(Preenchimento!$D$16="","-",Preenchimento!$D$16))</f>
        <v/>
      </c>
      <c r="E10" s="31">
        <f>IF($B10="","",IFERROR(AVERAGE(M10:Q10),"-"))</f>
        <v/>
      </c>
      <c r="F10" s="31">
        <f>IF($B10="","",IFERROR(AVERAGE(R10:V10),"-"))</f>
        <v/>
      </c>
      <c r="G10" s="31">
        <f>IF($B10="","",IFERROR(AVERAGE(W10:AA10),"-"))</f>
        <v/>
      </c>
      <c r="H10" s="31">
        <f>IF($B10="","",IFERROR(AVERAGE(AB10:AF10),"-"))</f>
        <v/>
      </c>
      <c r="I10" s="31">
        <f>IF($B10="","",IFERROR(AVERAGE(M10:AF10),"-"))</f>
        <v/>
      </c>
      <c r="J10" s="13">
        <f>IF($B10="","",IF('Registro por Sessão'!$G34="","","S1 D: "&amp;'Registro por Sessão'!$G34&amp;CHAR(10))&amp;IF('Registro por Sessão'!$K34="","","S1 F: "&amp;'Registro por Sessão'!$K34&amp;CHAR(10))&amp;IF('Registro por Sessão'!$O34="","","S1 C: "&amp;'Registro por Sessão'!$O34&amp;CHAR(10))&amp;IF('Registro por Sessão'!$S34="","","S1 P: "&amp;'Registro por Sessão'!$S34&amp;CHAR(10))&amp;IF('Registro por Sessão'!$G35="","","S2 D: "&amp;'Registro por Sessão'!$G35&amp;CHAR(10))&amp;IF('Registro por Sessão'!$K35="","","S2 F: "&amp;'Registro por Sessão'!$K35&amp;CHAR(10))&amp;IF('Registro por Sessão'!$O35="","","S2 C: "&amp;'Registro por Sessão'!$O35&amp;CHAR(10))&amp;IF('Registro por Sessão'!$S35="","","S2 P: "&amp;'Registro por Sessão'!$S35&amp;CHAR(10))&amp;IF('Registro por Sessão'!$G36="","","S3 D: "&amp;'Registro por Sessão'!$G36&amp;CHAR(10))&amp;IF('Registro por Sessão'!$K36="","","S3 F: "&amp;'Registro por Sessão'!$K36&amp;CHAR(10))&amp;IF('Registro por Sessão'!$O36="","","S3 C: "&amp;'Registro por Sessão'!$O36&amp;CHAR(10))&amp;IF('Registro por Sessão'!$S36="","","S3 P: "&amp;'Registro por Sessão'!$S36&amp;CHAR(10))&amp;IF('Registro por Sessão'!$G37="","","S4 D: "&amp;'Registro por Sessão'!$G37&amp;CHAR(10))&amp;IF('Registro por Sessão'!$K37="","","S4 F: "&amp;'Registro por Sessão'!$K37&amp;CHAR(10))&amp;IF('Registro por Sessão'!$O37="","","S4 C: "&amp;'Registro por Sessão'!$O37&amp;CHAR(10))&amp;IF('Registro por Sessão'!$S37="","","S4 P: "&amp;'Registro por Sessão'!$S37&amp;CHAR(10))&amp;IF('Registro por Sessão'!$G38="","","S5 D: "&amp;'Registro por Sessão'!$G38&amp;CHAR(10))&amp;IF('Registro por Sessão'!$K38="","","S5 F: "&amp;'Registro por Sessão'!$K38&amp;CHAR(10))&amp;IF('Registro por Sessão'!$O38="","","S5 C: "&amp;'Registro por Sessão'!$O38&amp;CHAR(10))&amp;IF('Registro por Sessão'!$S38="","","S5 P: "&amp;'Registro por Sessão'!$S38&amp;CHAR(10)))</f>
        <v/>
      </c>
      <c r="K10" s="13">
        <f>IF($B10="","",IF('Registro por Sessão'!$W34="","","S1: "&amp;'Registro por Sessão'!$W34&amp;CHAR(10))&amp;IF('Registro por Sessão'!$X34="","","S1 obs: "&amp;'Registro por Sessão'!$X34&amp;CHAR(10))&amp;IF('Registro por Sessão'!$W35="","","S2: "&amp;'Registro por Sessão'!$W35&amp;CHAR(10))&amp;IF('Registro por Sessão'!$X35="","","S2 obs: "&amp;'Registro por Sessão'!$X35&amp;CHAR(10))&amp;IF('Registro por Sessão'!$W36="","","S3: "&amp;'Registro por Sessão'!$W36&amp;CHAR(10))&amp;IF('Registro por Sessão'!$X36="","","S3 obs: "&amp;'Registro por Sessão'!$X36&amp;CHAR(10))&amp;IF('Registro por Sessão'!$W37="","","S4: "&amp;'Registro por Sessão'!$W37&amp;CHAR(10))&amp;IF('Registro por Sessão'!$X37="","","S4 obs: "&amp;'Registro por Sessão'!$X37&amp;CHAR(10))&amp;IF('Registro por Sessão'!$W38="","","S5: "&amp;'Registro por Sessão'!$W38&amp;CHAR(10))&amp;IF('Registro por Sessão'!$X38="","","S5 obs: "&amp;'Registro por Sessão'!$X38&amp;CHAR(10)))</f>
        <v/>
      </c>
      <c r="L10" s="2" t="n"/>
      <c r="M10" s="6">
        <f>IF(ISNUMBER('Registro por Sessão'!$J34),'Registro por Sessão'!$J34,"")</f>
        <v/>
      </c>
      <c r="N10" s="6">
        <f>IF(ISNUMBER('Registro por Sessão'!$J35),'Registro por Sessão'!$J35,"")</f>
        <v/>
      </c>
      <c r="O10" s="6">
        <f>IF(ISNUMBER('Registro por Sessão'!$J36),'Registro por Sessão'!$J36,"")</f>
        <v/>
      </c>
      <c r="P10" s="6">
        <f>IF(ISNUMBER('Registro por Sessão'!$J37),'Registro por Sessão'!$J37,"")</f>
        <v/>
      </c>
      <c r="Q10" s="6">
        <f>IF(ISNUMBER('Registro por Sessão'!$J38),'Registro por Sessão'!$J38,"")</f>
        <v/>
      </c>
      <c r="R10" s="6">
        <f>IF(ISNUMBER('Registro por Sessão'!$N34),'Registro por Sessão'!$N34,"")</f>
        <v/>
      </c>
      <c r="S10" s="6">
        <f>IF(ISNUMBER('Registro por Sessão'!$N35),'Registro por Sessão'!$N35,"")</f>
        <v/>
      </c>
      <c r="T10" s="6">
        <f>IF(ISNUMBER('Registro por Sessão'!$N36),'Registro por Sessão'!$N36,"")</f>
        <v/>
      </c>
      <c r="U10" s="6">
        <f>IF(ISNUMBER('Registro por Sessão'!$N37),'Registro por Sessão'!$N37,"")</f>
        <v/>
      </c>
      <c r="V10" s="6">
        <f>IF(ISNUMBER('Registro por Sessão'!$N38),'Registro por Sessão'!$N38,"")</f>
        <v/>
      </c>
      <c r="W10" s="6">
        <f>IF(ISNUMBER('Registro por Sessão'!$R34),'Registro por Sessão'!$R34,"")</f>
        <v/>
      </c>
      <c r="X10" s="6">
        <f>IF(ISNUMBER('Registro por Sessão'!$R35),'Registro por Sessão'!$R35,"")</f>
        <v/>
      </c>
      <c r="Y10" s="6">
        <f>IF(ISNUMBER('Registro por Sessão'!$R36),'Registro por Sessão'!$R36,"")</f>
        <v/>
      </c>
      <c r="Z10" s="6">
        <f>IF(ISNUMBER('Registro por Sessão'!$R37),'Registro por Sessão'!$R37,"")</f>
        <v/>
      </c>
      <c r="AA10" s="6">
        <f>IF(ISNUMBER('Registro por Sessão'!$R38),'Registro por Sessão'!$R38,"")</f>
        <v/>
      </c>
      <c r="AB10" s="6">
        <f>IF(ISNUMBER('Registro por Sessão'!$V34),'Registro por Sessão'!$V34,"")</f>
        <v/>
      </c>
      <c r="AC10" s="6">
        <f>IF(ISNUMBER('Registro por Sessão'!$V35),'Registro por Sessão'!$V35,"")</f>
        <v/>
      </c>
      <c r="AD10" s="6">
        <f>IF(ISNUMBER('Registro por Sessão'!$V36),'Registro por Sessão'!$V36,"")</f>
        <v/>
      </c>
      <c r="AE10" s="6">
        <f>IF(ISNUMBER('Registro por Sessão'!$V37),'Registro por Sessão'!$V37,"")</f>
        <v/>
      </c>
      <c r="AF10" s="6">
        <f>IF(ISNUMBER('Registro por Sessão'!$V38),'Registro por Sessão'!$V38,"")</f>
        <v/>
      </c>
    </row>
    <row r="11">
      <c r="A11" s="8">
        <f>IF($B11="","",ROW()-3)</f>
        <v/>
      </c>
      <c r="B11" s="9">
        <f>IF(Preenchimento!$B$17="","",Preenchimento!$B$17)</f>
        <v/>
      </c>
      <c r="C11" s="9">
        <f>IF($B11="","",IF(Preenchimento!$C$17="","-",Preenchimento!$C$17))</f>
        <v/>
      </c>
      <c r="D11" s="8">
        <f>IF($B11="","",IF(Preenchimento!$D$17="","-",Preenchimento!$D$17))</f>
        <v/>
      </c>
      <c r="E11" s="32">
        <f>IF($B11="","",IFERROR(AVERAGE(M11:Q11),"-"))</f>
        <v/>
      </c>
      <c r="F11" s="32">
        <f>IF($B11="","",IFERROR(AVERAGE(R11:V11),"-"))</f>
        <v/>
      </c>
      <c r="G11" s="32">
        <f>IF($B11="","",IFERROR(AVERAGE(W11:AA11),"-"))</f>
        <v/>
      </c>
      <c r="H11" s="32">
        <f>IF($B11="","",IFERROR(AVERAGE(AB11:AF11),"-"))</f>
        <v/>
      </c>
      <c r="I11" s="32">
        <f>IF($B11="","",IFERROR(AVERAGE(M11:AF11),"-"))</f>
        <v/>
      </c>
      <c r="J11" s="14">
        <f>IF($B11="","",IF('Registro por Sessão'!$G39="","","S1 D: "&amp;'Registro por Sessão'!$G39&amp;CHAR(10))&amp;IF('Registro por Sessão'!$K39="","","S1 F: "&amp;'Registro por Sessão'!$K39&amp;CHAR(10))&amp;IF('Registro por Sessão'!$O39="","","S1 C: "&amp;'Registro por Sessão'!$O39&amp;CHAR(10))&amp;IF('Registro por Sessão'!$S39="","","S1 P: "&amp;'Registro por Sessão'!$S39&amp;CHAR(10))&amp;IF('Registro por Sessão'!$G40="","","S2 D: "&amp;'Registro por Sessão'!$G40&amp;CHAR(10))&amp;IF('Registro por Sessão'!$K40="","","S2 F: "&amp;'Registro por Sessão'!$K40&amp;CHAR(10))&amp;IF('Registro por Sessão'!$O40="","","S2 C: "&amp;'Registro por Sessão'!$O40&amp;CHAR(10))&amp;IF('Registro por Sessão'!$S40="","","S2 P: "&amp;'Registro por Sessão'!$S40&amp;CHAR(10))&amp;IF('Registro por Sessão'!$G41="","","S3 D: "&amp;'Registro por Sessão'!$G41&amp;CHAR(10))&amp;IF('Registro por Sessão'!$K41="","","S3 F: "&amp;'Registro por Sessão'!$K41&amp;CHAR(10))&amp;IF('Registro por Sessão'!$O41="","","S3 C: "&amp;'Registro por Sessão'!$O41&amp;CHAR(10))&amp;IF('Registro por Sessão'!$S41="","","S3 P: "&amp;'Registro por Sessão'!$S41&amp;CHAR(10))&amp;IF('Registro por Sessão'!$G42="","","S4 D: "&amp;'Registro por Sessão'!$G42&amp;CHAR(10))&amp;IF('Registro por Sessão'!$K42="","","S4 F: "&amp;'Registro por Sessão'!$K42&amp;CHAR(10))&amp;IF('Registro por Sessão'!$O42="","","S4 C: "&amp;'Registro por Sessão'!$O42&amp;CHAR(10))&amp;IF('Registro por Sessão'!$S42="","","S4 P: "&amp;'Registro por Sessão'!$S42&amp;CHAR(10))&amp;IF('Registro por Sessão'!$G43="","","S5 D: "&amp;'Registro por Sessão'!$G43&amp;CHAR(10))&amp;IF('Registro por Sessão'!$K43="","","S5 F: "&amp;'Registro por Sessão'!$K43&amp;CHAR(10))&amp;IF('Registro por Sessão'!$O43="","","S5 C: "&amp;'Registro por Sessão'!$O43&amp;CHAR(10))&amp;IF('Registro por Sessão'!$S43="","","S5 P: "&amp;'Registro por Sessão'!$S43&amp;CHAR(10)))</f>
        <v/>
      </c>
      <c r="K11" s="14">
        <f>IF($B11="","",IF('Registro por Sessão'!$W39="","","S1: "&amp;'Registro por Sessão'!$W39&amp;CHAR(10))&amp;IF('Registro por Sessão'!$X39="","","S1 obs: "&amp;'Registro por Sessão'!$X39&amp;CHAR(10))&amp;IF('Registro por Sessão'!$W40="","","S2: "&amp;'Registro por Sessão'!$W40&amp;CHAR(10))&amp;IF('Registro por Sessão'!$X40="","","S2 obs: "&amp;'Registro por Sessão'!$X40&amp;CHAR(10))&amp;IF('Registro por Sessão'!$W41="","","S3: "&amp;'Registro por Sessão'!$W41&amp;CHAR(10))&amp;IF('Registro por Sessão'!$X41="","","S3 obs: "&amp;'Registro por Sessão'!$X41&amp;CHAR(10))&amp;IF('Registro por Sessão'!$W42="","","S4: "&amp;'Registro por Sessão'!$W42&amp;CHAR(10))&amp;IF('Registro por Sessão'!$X42="","","S4 obs: "&amp;'Registro por Sessão'!$X42&amp;CHAR(10))&amp;IF('Registro por Sessão'!$W43="","","S5: "&amp;'Registro por Sessão'!$W43&amp;CHAR(10))&amp;IF('Registro por Sessão'!$X43="","","S5 obs: "&amp;'Registro por Sessão'!$X43&amp;CHAR(10)))</f>
        <v/>
      </c>
      <c r="L11" s="2" t="n"/>
      <c r="M11" s="8">
        <f>IF(ISNUMBER('Registro por Sessão'!$J39),'Registro por Sessão'!$J39,"")</f>
        <v/>
      </c>
      <c r="N11" s="8">
        <f>IF(ISNUMBER('Registro por Sessão'!$J40),'Registro por Sessão'!$J40,"")</f>
        <v/>
      </c>
      <c r="O11" s="8">
        <f>IF(ISNUMBER('Registro por Sessão'!$J41),'Registro por Sessão'!$J41,"")</f>
        <v/>
      </c>
      <c r="P11" s="8">
        <f>IF(ISNUMBER('Registro por Sessão'!$J42),'Registro por Sessão'!$J42,"")</f>
        <v/>
      </c>
      <c r="Q11" s="8">
        <f>IF(ISNUMBER('Registro por Sessão'!$J43),'Registro por Sessão'!$J43,"")</f>
        <v/>
      </c>
      <c r="R11" s="8">
        <f>IF(ISNUMBER('Registro por Sessão'!$N39),'Registro por Sessão'!$N39,"")</f>
        <v/>
      </c>
      <c r="S11" s="8">
        <f>IF(ISNUMBER('Registro por Sessão'!$N40),'Registro por Sessão'!$N40,"")</f>
        <v/>
      </c>
      <c r="T11" s="8">
        <f>IF(ISNUMBER('Registro por Sessão'!$N41),'Registro por Sessão'!$N41,"")</f>
        <v/>
      </c>
      <c r="U11" s="8">
        <f>IF(ISNUMBER('Registro por Sessão'!$N42),'Registro por Sessão'!$N42,"")</f>
        <v/>
      </c>
      <c r="V11" s="8">
        <f>IF(ISNUMBER('Registro por Sessão'!$N43),'Registro por Sessão'!$N43,"")</f>
        <v/>
      </c>
      <c r="W11" s="8">
        <f>IF(ISNUMBER('Registro por Sessão'!$R39),'Registro por Sessão'!$R39,"")</f>
        <v/>
      </c>
      <c r="X11" s="8">
        <f>IF(ISNUMBER('Registro por Sessão'!$R40),'Registro por Sessão'!$R40,"")</f>
        <v/>
      </c>
      <c r="Y11" s="8">
        <f>IF(ISNUMBER('Registro por Sessão'!$R41),'Registro por Sessão'!$R41,"")</f>
        <v/>
      </c>
      <c r="Z11" s="8">
        <f>IF(ISNUMBER('Registro por Sessão'!$R42),'Registro por Sessão'!$R42,"")</f>
        <v/>
      </c>
      <c r="AA11" s="8">
        <f>IF(ISNUMBER('Registro por Sessão'!$R43),'Registro por Sessão'!$R43,"")</f>
        <v/>
      </c>
      <c r="AB11" s="8">
        <f>IF(ISNUMBER('Registro por Sessão'!$V39),'Registro por Sessão'!$V39,"")</f>
        <v/>
      </c>
      <c r="AC11" s="8">
        <f>IF(ISNUMBER('Registro por Sessão'!$V40),'Registro por Sessão'!$V40,"")</f>
        <v/>
      </c>
      <c r="AD11" s="8">
        <f>IF(ISNUMBER('Registro por Sessão'!$V41),'Registro por Sessão'!$V41,"")</f>
        <v/>
      </c>
      <c r="AE11" s="8">
        <f>IF(ISNUMBER('Registro por Sessão'!$V42),'Registro por Sessão'!$V42,"")</f>
        <v/>
      </c>
      <c r="AF11" s="8">
        <f>IF(ISNUMBER('Registro por Sessão'!$V43),'Registro por Sessão'!$V43,"")</f>
        <v/>
      </c>
    </row>
    <row r="12">
      <c r="A12" s="6">
        <f>IF($B12="","",ROW()-3)</f>
        <v/>
      </c>
      <c r="B12" s="7">
        <f>IF(Preenchimento!$B$18="","",Preenchimento!$B$18)</f>
        <v/>
      </c>
      <c r="C12" s="7">
        <f>IF($B12="","",IF(Preenchimento!$C$18="","-",Preenchimento!$C$18))</f>
        <v/>
      </c>
      <c r="D12" s="6">
        <f>IF($B12="","",IF(Preenchimento!$D$18="","-",Preenchimento!$D$18))</f>
        <v/>
      </c>
      <c r="E12" s="31">
        <f>IF($B12="","",IFERROR(AVERAGE(M12:Q12),"-"))</f>
        <v/>
      </c>
      <c r="F12" s="31">
        <f>IF($B12="","",IFERROR(AVERAGE(R12:V12),"-"))</f>
        <v/>
      </c>
      <c r="G12" s="31">
        <f>IF($B12="","",IFERROR(AVERAGE(W12:AA12),"-"))</f>
        <v/>
      </c>
      <c r="H12" s="31">
        <f>IF($B12="","",IFERROR(AVERAGE(AB12:AF12),"-"))</f>
        <v/>
      </c>
      <c r="I12" s="31">
        <f>IF($B12="","",IFERROR(AVERAGE(M12:AF12),"-"))</f>
        <v/>
      </c>
      <c r="J12" s="13">
        <f>IF($B12="","",IF('Registro por Sessão'!$G44="","","S1 D: "&amp;'Registro por Sessão'!$G44&amp;CHAR(10))&amp;IF('Registro por Sessão'!$K44="","","S1 F: "&amp;'Registro por Sessão'!$K44&amp;CHAR(10))&amp;IF('Registro por Sessão'!$O44="","","S1 C: "&amp;'Registro por Sessão'!$O44&amp;CHAR(10))&amp;IF('Registro por Sessão'!$S44="","","S1 P: "&amp;'Registro por Sessão'!$S44&amp;CHAR(10))&amp;IF('Registro por Sessão'!$G45="","","S2 D: "&amp;'Registro por Sessão'!$G45&amp;CHAR(10))&amp;IF('Registro por Sessão'!$K45="","","S2 F: "&amp;'Registro por Sessão'!$K45&amp;CHAR(10))&amp;IF('Registro por Sessão'!$O45="","","S2 C: "&amp;'Registro por Sessão'!$O45&amp;CHAR(10))&amp;IF('Registro por Sessão'!$S45="","","S2 P: "&amp;'Registro por Sessão'!$S45&amp;CHAR(10))&amp;IF('Registro por Sessão'!$G46="","","S3 D: "&amp;'Registro por Sessão'!$G46&amp;CHAR(10))&amp;IF('Registro por Sessão'!$K46="","","S3 F: "&amp;'Registro por Sessão'!$K46&amp;CHAR(10))&amp;IF('Registro por Sessão'!$O46="","","S3 C: "&amp;'Registro por Sessão'!$O46&amp;CHAR(10))&amp;IF('Registro por Sessão'!$S46="","","S3 P: "&amp;'Registro por Sessão'!$S46&amp;CHAR(10))&amp;IF('Registro por Sessão'!$G47="","","S4 D: "&amp;'Registro por Sessão'!$G47&amp;CHAR(10))&amp;IF('Registro por Sessão'!$K47="","","S4 F: "&amp;'Registro por Sessão'!$K47&amp;CHAR(10))&amp;IF('Registro por Sessão'!$O47="","","S4 C: "&amp;'Registro por Sessão'!$O47&amp;CHAR(10))&amp;IF('Registro por Sessão'!$S47="","","S4 P: "&amp;'Registro por Sessão'!$S47&amp;CHAR(10))&amp;IF('Registro por Sessão'!$G48="","","S5 D: "&amp;'Registro por Sessão'!$G48&amp;CHAR(10))&amp;IF('Registro por Sessão'!$K48="","","S5 F: "&amp;'Registro por Sessão'!$K48&amp;CHAR(10))&amp;IF('Registro por Sessão'!$O48="","","S5 C: "&amp;'Registro por Sessão'!$O48&amp;CHAR(10))&amp;IF('Registro por Sessão'!$S48="","","S5 P: "&amp;'Registro por Sessão'!$S48&amp;CHAR(10)))</f>
        <v/>
      </c>
      <c r="K12" s="13">
        <f>IF($B12="","",IF('Registro por Sessão'!$W44="","","S1: "&amp;'Registro por Sessão'!$W44&amp;CHAR(10))&amp;IF('Registro por Sessão'!$X44="","","S1 obs: "&amp;'Registro por Sessão'!$X44&amp;CHAR(10))&amp;IF('Registro por Sessão'!$W45="","","S2: "&amp;'Registro por Sessão'!$W45&amp;CHAR(10))&amp;IF('Registro por Sessão'!$X45="","","S2 obs: "&amp;'Registro por Sessão'!$X45&amp;CHAR(10))&amp;IF('Registro por Sessão'!$W46="","","S3: "&amp;'Registro por Sessão'!$W46&amp;CHAR(10))&amp;IF('Registro por Sessão'!$X46="","","S3 obs: "&amp;'Registro por Sessão'!$X46&amp;CHAR(10))&amp;IF('Registro por Sessão'!$W47="","","S4: "&amp;'Registro por Sessão'!$W47&amp;CHAR(10))&amp;IF('Registro por Sessão'!$X47="","","S4 obs: "&amp;'Registro por Sessão'!$X47&amp;CHAR(10))&amp;IF('Registro por Sessão'!$W48="","","S5: "&amp;'Registro por Sessão'!$W48&amp;CHAR(10))&amp;IF('Registro por Sessão'!$X48="","","S5 obs: "&amp;'Registro por Sessão'!$X48&amp;CHAR(10)))</f>
        <v/>
      </c>
      <c r="L12" s="2" t="n"/>
      <c r="M12" s="6">
        <f>IF(ISNUMBER('Registro por Sessão'!$J44),'Registro por Sessão'!$J44,"")</f>
        <v/>
      </c>
      <c r="N12" s="6">
        <f>IF(ISNUMBER('Registro por Sessão'!$J45),'Registro por Sessão'!$J45,"")</f>
        <v/>
      </c>
      <c r="O12" s="6">
        <f>IF(ISNUMBER('Registro por Sessão'!$J46),'Registro por Sessão'!$J46,"")</f>
        <v/>
      </c>
      <c r="P12" s="6">
        <f>IF(ISNUMBER('Registro por Sessão'!$J47),'Registro por Sessão'!$J47,"")</f>
        <v/>
      </c>
      <c r="Q12" s="6">
        <f>IF(ISNUMBER('Registro por Sessão'!$J48),'Registro por Sessão'!$J48,"")</f>
        <v/>
      </c>
      <c r="R12" s="6">
        <f>IF(ISNUMBER('Registro por Sessão'!$N44),'Registro por Sessão'!$N44,"")</f>
        <v/>
      </c>
      <c r="S12" s="6">
        <f>IF(ISNUMBER('Registro por Sessão'!$N45),'Registro por Sessão'!$N45,"")</f>
        <v/>
      </c>
      <c r="T12" s="6">
        <f>IF(ISNUMBER('Registro por Sessão'!$N46),'Registro por Sessão'!$N46,"")</f>
        <v/>
      </c>
      <c r="U12" s="6">
        <f>IF(ISNUMBER('Registro por Sessão'!$N47),'Registro por Sessão'!$N47,"")</f>
        <v/>
      </c>
      <c r="V12" s="6">
        <f>IF(ISNUMBER('Registro por Sessão'!$N48),'Registro por Sessão'!$N48,"")</f>
        <v/>
      </c>
      <c r="W12" s="6">
        <f>IF(ISNUMBER('Registro por Sessão'!$R44),'Registro por Sessão'!$R44,"")</f>
        <v/>
      </c>
      <c r="X12" s="6">
        <f>IF(ISNUMBER('Registro por Sessão'!$R45),'Registro por Sessão'!$R45,"")</f>
        <v/>
      </c>
      <c r="Y12" s="6">
        <f>IF(ISNUMBER('Registro por Sessão'!$R46),'Registro por Sessão'!$R46,"")</f>
        <v/>
      </c>
      <c r="Z12" s="6">
        <f>IF(ISNUMBER('Registro por Sessão'!$R47),'Registro por Sessão'!$R47,"")</f>
        <v/>
      </c>
      <c r="AA12" s="6">
        <f>IF(ISNUMBER('Registro por Sessão'!$R48),'Registro por Sessão'!$R48,"")</f>
        <v/>
      </c>
      <c r="AB12" s="6">
        <f>IF(ISNUMBER('Registro por Sessão'!$V44),'Registro por Sessão'!$V44,"")</f>
        <v/>
      </c>
      <c r="AC12" s="6">
        <f>IF(ISNUMBER('Registro por Sessão'!$V45),'Registro por Sessão'!$V45,"")</f>
        <v/>
      </c>
      <c r="AD12" s="6">
        <f>IF(ISNUMBER('Registro por Sessão'!$V46),'Registro por Sessão'!$V46,"")</f>
        <v/>
      </c>
      <c r="AE12" s="6">
        <f>IF(ISNUMBER('Registro por Sessão'!$V47),'Registro por Sessão'!$V47,"")</f>
        <v/>
      </c>
      <c r="AF12" s="6">
        <f>IF(ISNUMBER('Registro por Sessão'!$V48),'Registro por Sessão'!$V48,"")</f>
        <v/>
      </c>
    </row>
    <row r="13">
      <c r="A13" s="8">
        <f>IF($B13="","",ROW()-3)</f>
        <v/>
      </c>
      <c r="B13" s="9">
        <f>IF(Preenchimento!$B$19="","",Preenchimento!$B$19)</f>
        <v/>
      </c>
      <c r="C13" s="9">
        <f>IF($B13="","",IF(Preenchimento!$C$19="","-",Preenchimento!$C$19))</f>
        <v/>
      </c>
      <c r="D13" s="8">
        <f>IF($B13="","",IF(Preenchimento!$D$19="","-",Preenchimento!$D$19))</f>
        <v/>
      </c>
      <c r="E13" s="32">
        <f>IF($B13="","",IFERROR(AVERAGE(M13:Q13),"-"))</f>
        <v/>
      </c>
      <c r="F13" s="32">
        <f>IF($B13="","",IFERROR(AVERAGE(R13:V13),"-"))</f>
        <v/>
      </c>
      <c r="G13" s="32">
        <f>IF($B13="","",IFERROR(AVERAGE(W13:AA13),"-"))</f>
        <v/>
      </c>
      <c r="H13" s="32">
        <f>IF($B13="","",IFERROR(AVERAGE(AB13:AF13),"-"))</f>
        <v/>
      </c>
      <c r="I13" s="32">
        <f>IF($B13="","",IFERROR(AVERAGE(M13:AF13),"-"))</f>
        <v/>
      </c>
      <c r="J13" s="14">
        <f>IF($B13="","",IF('Registro por Sessão'!$G49="","","S1 D: "&amp;'Registro por Sessão'!$G49&amp;CHAR(10))&amp;IF('Registro por Sessão'!$K49="","","S1 F: "&amp;'Registro por Sessão'!$K49&amp;CHAR(10))&amp;IF('Registro por Sessão'!$O49="","","S1 C: "&amp;'Registro por Sessão'!$O49&amp;CHAR(10))&amp;IF('Registro por Sessão'!$S49="","","S1 P: "&amp;'Registro por Sessão'!$S49&amp;CHAR(10))&amp;IF('Registro por Sessão'!$G50="","","S2 D: "&amp;'Registro por Sessão'!$G50&amp;CHAR(10))&amp;IF('Registro por Sessão'!$K50="","","S2 F: "&amp;'Registro por Sessão'!$K50&amp;CHAR(10))&amp;IF('Registro por Sessão'!$O50="","","S2 C: "&amp;'Registro por Sessão'!$O50&amp;CHAR(10))&amp;IF('Registro por Sessão'!$S50="","","S2 P: "&amp;'Registro por Sessão'!$S50&amp;CHAR(10))&amp;IF('Registro por Sessão'!$G51="","","S3 D: "&amp;'Registro por Sessão'!$G51&amp;CHAR(10))&amp;IF('Registro por Sessão'!$K51="","","S3 F: "&amp;'Registro por Sessão'!$K51&amp;CHAR(10))&amp;IF('Registro por Sessão'!$O51="","","S3 C: "&amp;'Registro por Sessão'!$O51&amp;CHAR(10))&amp;IF('Registro por Sessão'!$S51="","","S3 P: "&amp;'Registro por Sessão'!$S51&amp;CHAR(10))&amp;IF('Registro por Sessão'!$G52="","","S4 D: "&amp;'Registro por Sessão'!$G52&amp;CHAR(10))&amp;IF('Registro por Sessão'!$K52="","","S4 F: "&amp;'Registro por Sessão'!$K52&amp;CHAR(10))&amp;IF('Registro por Sessão'!$O52="","","S4 C: "&amp;'Registro por Sessão'!$O52&amp;CHAR(10))&amp;IF('Registro por Sessão'!$S52="","","S4 P: "&amp;'Registro por Sessão'!$S52&amp;CHAR(10))&amp;IF('Registro por Sessão'!$G53="","","S5 D: "&amp;'Registro por Sessão'!$G53&amp;CHAR(10))&amp;IF('Registro por Sessão'!$K53="","","S5 F: "&amp;'Registro por Sessão'!$K53&amp;CHAR(10))&amp;IF('Registro por Sessão'!$O53="","","S5 C: "&amp;'Registro por Sessão'!$O53&amp;CHAR(10))&amp;IF('Registro por Sessão'!$S53="","","S5 P: "&amp;'Registro por Sessão'!$S53&amp;CHAR(10)))</f>
        <v/>
      </c>
      <c r="K13" s="14">
        <f>IF($B13="","",IF('Registro por Sessão'!$W49="","","S1: "&amp;'Registro por Sessão'!$W49&amp;CHAR(10))&amp;IF('Registro por Sessão'!$X49="","","S1 obs: "&amp;'Registro por Sessão'!$X49&amp;CHAR(10))&amp;IF('Registro por Sessão'!$W50="","","S2: "&amp;'Registro por Sessão'!$W50&amp;CHAR(10))&amp;IF('Registro por Sessão'!$X50="","","S2 obs: "&amp;'Registro por Sessão'!$X50&amp;CHAR(10))&amp;IF('Registro por Sessão'!$W51="","","S3: "&amp;'Registro por Sessão'!$W51&amp;CHAR(10))&amp;IF('Registro por Sessão'!$X51="","","S3 obs: "&amp;'Registro por Sessão'!$X51&amp;CHAR(10))&amp;IF('Registro por Sessão'!$W52="","","S4: "&amp;'Registro por Sessão'!$W52&amp;CHAR(10))&amp;IF('Registro por Sessão'!$X52="","","S4 obs: "&amp;'Registro por Sessão'!$X52&amp;CHAR(10))&amp;IF('Registro por Sessão'!$W53="","","S5: "&amp;'Registro por Sessão'!$W53&amp;CHAR(10))&amp;IF('Registro por Sessão'!$X53="","","S5 obs: "&amp;'Registro por Sessão'!$X53&amp;CHAR(10)))</f>
        <v/>
      </c>
      <c r="L13" s="2" t="n"/>
      <c r="M13" s="8">
        <f>IF(ISNUMBER('Registro por Sessão'!$J49),'Registro por Sessão'!$J49,"")</f>
        <v/>
      </c>
      <c r="N13" s="8">
        <f>IF(ISNUMBER('Registro por Sessão'!$J50),'Registro por Sessão'!$J50,"")</f>
        <v/>
      </c>
      <c r="O13" s="8">
        <f>IF(ISNUMBER('Registro por Sessão'!$J51),'Registro por Sessão'!$J51,"")</f>
        <v/>
      </c>
      <c r="P13" s="8">
        <f>IF(ISNUMBER('Registro por Sessão'!$J52),'Registro por Sessão'!$J52,"")</f>
        <v/>
      </c>
      <c r="Q13" s="8">
        <f>IF(ISNUMBER('Registro por Sessão'!$J53),'Registro por Sessão'!$J53,"")</f>
        <v/>
      </c>
      <c r="R13" s="8">
        <f>IF(ISNUMBER('Registro por Sessão'!$N49),'Registro por Sessão'!$N49,"")</f>
        <v/>
      </c>
      <c r="S13" s="8">
        <f>IF(ISNUMBER('Registro por Sessão'!$N50),'Registro por Sessão'!$N50,"")</f>
        <v/>
      </c>
      <c r="T13" s="8">
        <f>IF(ISNUMBER('Registro por Sessão'!$N51),'Registro por Sessão'!$N51,"")</f>
        <v/>
      </c>
      <c r="U13" s="8">
        <f>IF(ISNUMBER('Registro por Sessão'!$N52),'Registro por Sessão'!$N52,"")</f>
        <v/>
      </c>
      <c r="V13" s="8">
        <f>IF(ISNUMBER('Registro por Sessão'!$N53),'Registro por Sessão'!$N53,"")</f>
        <v/>
      </c>
      <c r="W13" s="8">
        <f>IF(ISNUMBER('Registro por Sessão'!$R49),'Registro por Sessão'!$R49,"")</f>
        <v/>
      </c>
      <c r="X13" s="8">
        <f>IF(ISNUMBER('Registro por Sessão'!$R50),'Registro por Sessão'!$R50,"")</f>
        <v/>
      </c>
      <c r="Y13" s="8">
        <f>IF(ISNUMBER('Registro por Sessão'!$R51),'Registro por Sessão'!$R51,"")</f>
        <v/>
      </c>
      <c r="Z13" s="8">
        <f>IF(ISNUMBER('Registro por Sessão'!$R52),'Registro por Sessão'!$R52,"")</f>
        <v/>
      </c>
      <c r="AA13" s="8">
        <f>IF(ISNUMBER('Registro por Sessão'!$R53),'Registro por Sessão'!$R53,"")</f>
        <v/>
      </c>
      <c r="AB13" s="8">
        <f>IF(ISNUMBER('Registro por Sessão'!$V49),'Registro por Sessão'!$V49,"")</f>
        <v/>
      </c>
      <c r="AC13" s="8">
        <f>IF(ISNUMBER('Registro por Sessão'!$V50),'Registro por Sessão'!$V50,"")</f>
        <v/>
      </c>
      <c r="AD13" s="8">
        <f>IF(ISNUMBER('Registro por Sessão'!$V51),'Registro por Sessão'!$V51,"")</f>
        <v/>
      </c>
      <c r="AE13" s="8">
        <f>IF(ISNUMBER('Registro por Sessão'!$V52),'Registro por Sessão'!$V52,"")</f>
        <v/>
      </c>
      <c r="AF13" s="8">
        <f>IF(ISNUMBER('Registro por Sessão'!$V53),'Registro por Sessão'!$V53,"")</f>
        <v/>
      </c>
    </row>
    <row r="14">
      <c r="A14" s="6">
        <f>IF($B14="","",ROW()-3)</f>
        <v/>
      </c>
      <c r="B14" s="7">
        <f>IF(Preenchimento!$B$20="","",Preenchimento!$B$20)</f>
        <v/>
      </c>
      <c r="C14" s="7">
        <f>IF($B14="","",IF(Preenchimento!$C$20="","-",Preenchimento!$C$20))</f>
        <v/>
      </c>
      <c r="D14" s="6">
        <f>IF($B14="","",IF(Preenchimento!$D$20="","-",Preenchimento!$D$20))</f>
        <v/>
      </c>
      <c r="E14" s="31">
        <f>IF($B14="","",IFERROR(AVERAGE(M14:Q14),"-"))</f>
        <v/>
      </c>
      <c r="F14" s="31">
        <f>IF($B14="","",IFERROR(AVERAGE(R14:V14),"-"))</f>
        <v/>
      </c>
      <c r="G14" s="31">
        <f>IF($B14="","",IFERROR(AVERAGE(W14:AA14),"-"))</f>
        <v/>
      </c>
      <c r="H14" s="31">
        <f>IF($B14="","",IFERROR(AVERAGE(AB14:AF14),"-"))</f>
        <v/>
      </c>
      <c r="I14" s="31">
        <f>IF($B14="","",IFERROR(AVERAGE(M14:AF14),"-"))</f>
        <v/>
      </c>
      <c r="J14" s="13">
        <f>IF($B14="","",IF('Registro por Sessão'!$G54="","","S1 D: "&amp;'Registro por Sessão'!$G54&amp;CHAR(10))&amp;IF('Registro por Sessão'!$K54="","","S1 F: "&amp;'Registro por Sessão'!$K54&amp;CHAR(10))&amp;IF('Registro por Sessão'!$O54="","","S1 C: "&amp;'Registro por Sessão'!$O54&amp;CHAR(10))&amp;IF('Registro por Sessão'!$S54="","","S1 P: "&amp;'Registro por Sessão'!$S54&amp;CHAR(10))&amp;IF('Registro por Sessão'!$G55="","","S2 D: "&amp;'Registro por Sessão'!$G55&amp;CHAR(10))&amp;IF('Registro por Sessão'!$K55="","","S2 F: "&amp;'Registro por Sessão'!$K55&amp;CHAR(10))&amp;IF('Registro por Sessão'!$O55="","","S2 C: "&amp;'Registro por Sessão'!$O55&amp;CHAR(10))&amp;IF('Registro por Sessão'!$S55="","","S2 P: "&amp;'Registro por Sessão'!$S55&amp;CHAR(10))&amp;IF('Registro por Sessão'!$G56="","","S3 D: "&amp;'Registro por Sessão'!$G56&amp;CHAR(10))&amp;IF('Registro por Sessão'!$K56="","","S3 F: "&amp;'Registro por Sessão'!$K56&amp;CHAR(10))&amp;IF('Registro por Sessão'!$O56="","","S3 C: "&amp;'Registro por Sessão'!$O56&amp;CHAR(10))&amp;IF('Registro por Sessão'!$S56="","","S3 P: "&amp;'Registro por Sessão'!$S56&amp;CHAR(10))&amp;IF('Registro por Sessão'!$G57="","","S4 D: "&amp;'Registro por Sessão'!$G57&amp;CHAR(10))&amp;IF('Registro por Sessão'!$K57="","","S4 F: "&amp;'Registro por Sessão'!$K57&amp;CHAR(10))&amp;IF('Registro por Sessão'!$O57="","","S4 C: "&amp;'Registro por Sessão'!$O57&amp;CHAR(10))&amp;IF('Registro por Sessão'!$S57="","","S4 P: "&amp;'Registro por Sessão'!$S57&amp;CHAR(10))&amp;IF('Registro por Sessão'!$G58="","","S5 D: "&amp;'Registro por Sessão'!$G58&amp;CHAR(10))&amp;IF('Registro por Sessão'!$K58="","","S5 F: "&amp;'Registro por Sessão'!$K58&amp;CHAR(10))&amp;IF('Registro por Sessão'!$O58="","","S5 C: "&amp;'Registro por Sessão'!$O58&amp;CHAR(10))&amp;IF('Registro por Sessão'!$S58="","","S5 P: "&amp;'Registro por Sessão'!$S58&amp;CHAR(10)))</f>
        <v/>
      </c>
      <c r="K14" s="13">
        <f>IF($B14="","",IF('Registro por Sessão'!$W54="","","S1: "&amp;'Registro por Sessão'!$W54&amp;CHAR(10))&amp;IF('Registro por Sessão'!$X54="","","S1 obs: "&amp;'Registro por Sessão'!$X54&amp;CHAR(10))&amp;IF('Registro por Sessão'!$W55="","","S2: "&amp;'Registro por Sessão'!$W55&amp;CHAR(10))&amp;IF('Registro por Sessão'!$X55="","","S2 obs: "&amp;'Registro por Sessão'!$X55&amp;CHAR(10))&amp;IF('Registro por Sessão'!$W56="","","S3: "&amp;'Registro por Sessão'!$W56&amp;CHAR(10))&amp;IF('Registro por Sessão'!$X56="","","S3 obs: "&amp;'Registro por Sessão'!$X56&amp;CHAR(10))&amp;IF('Registro por Sessão'!$W57="","","S4: "&amp;'Registro por Sessão'!$W57&amp;CHAR(10))&amp;IF('Registro por Sessão'!$X57="","","S4 obs: "&amp;'Registro por Sessão'!$X57&amp;CHAR(10))&amp;IF('Registro por Sessão'!$W58="","","S5: "&amp;'Registro por Sessão'!$W58&amp;CHAR(10))&amp;IF('Registro por Sessão'!$X58="","","S5 obs: "&amp;'Registro por Sessão'!$X58&amp;CHAR(10)))</f>
        <v/>
      </c>
      <c r="L14" s="2" t="n"/>
      <c r="M14" s="6">
        <f>IF(ISNUMBER('Registro por Sessão'!$J54),'Registro por Sessão'!$J54,"")</f>
        <v/>
      </c>
      <c r="N14" s="6">
        <f>IF(ISNUMBER('Registro por Sessão'!$J55),'Registro por Sessão'!$J55,"")</f>
        <v/>
      </c>
      <c r="O14" s="6">
        <f>IF(ISNUMBER('Registro por Sessão'!$J56),'Registro por Sessão'!$J56,"")</f>
        <v/>
      </c>
      <c r="P14" s="6">
        <f>IF(ISNUMBER('Registro por Sessão'!$J57),'Registro por Sessão'!$J57,"")</f>
        <v/>
      </c>
      <c r="Q14" s="6">
        <f>IF(ISNUMBER('Registro por Sessão'!$J58),'Registro por Sessão'!$J58,"")</f>
        <v/>
      </c>
      <c r="R14" s="6">
        <f>IF(ISNUMBER('Registro por Sessão'!$N54),'Registro por Sessão'!$N54,"")</f>
        <v/>
      </c>
      <c r="S14" s="6">
        <f>IF(ISNUMBER('Registro por Sessão'!$N55),'Registro por Sessão'!$N55,"")</f>
        <v/>
      </c>
      <c r="T14" s="6">
        <f>IF(ISNUMBER('Registro por Sessão'!$N56),'Registro por Sessão'!$N56,"")</f>
        <v/>
      </c>
      <c r="U14" s="6">
        <f>IF(ISNUMBER('Registro por Sessão'!$N57),'Registro por Sessão'!$N57,"")</f>
        <v/>
      </c>
      <c r="V14" s="6">
        <f>IF(ISNUMBER('Registro por Sessão'!$N58),'Registro por Sessão'!$N58,"")</f>
        <v/>
      </c>
      <c r="W14" s="6">
        <f>IF(ISNUMBER('Registro por Sessão'!$R54),'Registro por Sessão'!$R54,"")</f>
        <v/>
      </c>
      <c r="X14" s="6">
        <f>IF(ISNUMBER('Registro por Sessão'!$R55),'Registro por Sessão'!$R55,"")</f>
        <v/>
      </c>
      <c r="Y14" s="6">
        <f>IF(ISNUMBER('Registro por Sessão'!$R56),'Registro por Sessão'!$R56,"")</f>
        <v/>
      </c>
      <c r="Z14" s="6">
        <f>IF(ISNUMBER('Registro por Sessão'!$R57),'Registro por Sessão'!$R57,"")</f>
        <v/>
      </c>
      <c r="AA14" s="6">
        <f>IF(ISNUMBER('Registro por Sessão'!$R58),'Registro por Sessão'!$R58,"")</f>
        <v/>
      </c>
      <c r="AB14" s="6">
        <f>IF(ISNUMBER('Registro por Sessão'!$V54),'Registro por Sessão'!$V54,"")</f>
        <v/>
      </c>
      <c r="AC14" s="6">
        <f>IF(ISNUMBER('Registro por Sessão'!$V55),'Registro por Sessão'!$V55,"")</f>
        <v/>
      </c>
      <c r="AD14" s="6">
        <f>IF(ISNUMBER('Registro por Sessão'!$V56),'Registro por Sessão'!$V56,"")</f>
        <v/>
      </c>
      <c r="AE14" s="6">
        <f>IF(ISNUMBER('Registro por Sessão'!$V57),'Registro por Sessão'!$V57,"")</f>
        <v/>
      </c>
      <c r="AF14" s="6">
        <f>IF(ISNUMBER('Registro por Sessão'!$V58),'Registro por Sessão'!$V58,"")</f>
        <v/>
      </c>
    </row>
    <row r="15">
      <c r="A15" s="8">
        <f>IF($B15="","",ROW()-3)</f>
        <v/>
      </c>
      <c r="B15" s="9">
        <f>IF(Preenchimento!$B$21="","",Preenchimento!$B$21)</f>
        <v/>
      </c>
      <c r="C15" s="9">
        <f>IF($B15="","",IF(Preenchimento!$C$21="","-",Preenchimento!$C$21))</f>
        <v/>
      </c>
      <c r="D15" s="8">
        <f>IF($B15="","",IF(Preenchimento!$D$21="","-",Preenchimento!$D$21))</f>
        <v/>
      </c>
      <c r="E15" s="32">
        <f>IF($B15="","",IFERROR(AVERAGE(M15:Q15),"-"))</f>
        <v/>
      </c>
      <c r="F15" s="32">
        <f>IF($B15="","",IFERROR(AVERAGE(R15:V15),"-"))</f>
        <v/>
      </c>
      <c r="G15" s="32">
        <f>IF($B15="","",IFERROR(AVERAGE(W15:AA15),"-"))</f>
        <v/>
      </c>
      <c r="H15" s="32">
        <f>IF($B15="","",IFERROR(AVERAGE(AB15:AF15),"-"))</f>
        <v/>
      </c>
      <c r="I15" s="32">
        <f>IF($B15="","",IFERROR(AVERAGE(M15:AF15),"-"))</f>
        <v/>
      </c>
      <c r="J15" s="14">
        <f>IF($B15="","",IF('Registro por Sessão'!$G59="","","S1 D: "&amp;'Registro por Sessão'!$G59&amp;CHAR(10))&amp;IF('Registro por Sessão'!$K59="","","S1 F: "&amp;'Registro por Sessão'!$K59&amp;CHAR(10))&amp;IF('Registro por Sessão'!$O59="","","S1 C: "&amp;'Registro por Sessão'!$O59&amp;CHAR(10))&amp;IF('Registro por Sessão'!$S59="","","S1 P: "&amp;'Registro por Sessão'!$S59&amp;CHAR(10))&amp;IF('Registro por Sessão'!$G60="","","S2 D: "&amp;'Registro por Sessão'!$G60&amp;CHAR(10))&amp;IF('Registro por Sessão'!$K60="","","S2 F: "&amp;'Registro por Sessão'!$K60&amp;CHAR(10))&amp;IF('Registro por Sessão'!$O60="","","S2 C: "&amp;'Registro por Sessão'!$O60&amp;CHAR(10))&amp;IF('Registro por Sessão'!$S60="","","S2 P: "&amp;'Registro por Sessão'!$S60&amp;CHAR(10))&amp;IF('Registro por Sessão'!$G61="","","S3 D: "&amp;'Registro por Sessão'!$G61&amp;CHAR(10))&amp;IF('Registro por Sessão'!$K61="","","S3 F: "&amp;'Registro por Sessão'!$K61&amp;CHAR(10))&amp;IF('Registro por Sessão'!$O61="","","S3 C: "&amp;'Registro por Sessão'!$O61&amp;CHAR(10))&amp;IF('Registro por Sessão'!$S61="","","S3 P: "&amp;'Registro por Sessão'!$S61&amp;CHAR(10))&amp;IF('Registro por Sessão'!$G62="","","S4 D: "&amp;'Registro por Sessão'!$G62&amp;CHAR(10))&amp;IF('Registro por Sessão'!$K62="","","S4 F: "&amp;'Registro por Sessão'!$K62&amp;CHAR(10))&amp;IF('Registro por Sessão'!$O62="","","S4 C: "&amp;'Registro por Sessão'!$O62&amp;CHAR(10))&amp;IF('Registro por Sessão'!$S62="","","S4 P: "&amp;'Registro por Sessão'!$S62&amp;CHAR(10))&amp;IF('Registro por Sessão'!$G63="","","S5 D: "&amp;'Registro por Sessão'!$G63&amp;CHAR(10))&amp;IF('Registro por Sessão'!$K63="","","S5 F: "&amp;'Registro por Sessão'!$K63&amp;CHAR(10))&amp;IF('Registro por Sessão'!$O63="","","S5 C: "&amp;'Registro por Sessão'!$O63&amp;CHAR(10))&amp;IF('Registro por Sessão'!$S63="","","S5 P: "&amp;'Registro por Sessão'!$S63&amp;CHAR(10)))</f>
        <v/>
      </c>
      <c r="K15" s="14">
        <f>IF($B15="","",IF('Registro por Sessão'!$W59="","","S1: "&amp;'Registro por Sessão'!$W59&amp;CHAR(10))&amp;IF('Registro por Sessão'!$X59="","","S1 obs: "&amp;'Registro por Sessão'!$X59&amp;CHAR(10))&amp;IF('Registro por Sessão'!$W60="","","S2: "&amp;'Registro por Sessão'!$W60&amp;CHAR(10))&amp;IF('Registro por Sessão'!$X60="","","S2 obs: "&amp;'Registro por Sessão'!$X60&amp;CHAR(10))&amp;IF('Registro por Sessão'!$W61="","","S3: "&amp;'Registro por Sessão'!$W61&amp;CHAR(10))&amp;IF('Registro por Sessão'!$X61="","","S3 obs: "&amp;'Registro por Sessão'!$X61&amp;CHAR(10))&amp;IF('Registro por Sessão'!$W62="","","S4: "&amp;'Registro por Sessão'!$W62&amp;CHAR(10))&amp;IF('Registro por Sessão'!$X62="","","S4 obs: "&amp;'Registro por Sessão'!$X62&amp;CHAR(10))&amp;IF('Registro por Sessão'!$W63="","","S5: "&amp;'Registro por Sessão'!$W63&amp;CHAR(10))&amp;IF('Registro por Sessão'!$X63="","","S5 obs: "&amp;'Registro por Sessão'!$X63&amp;CHAR(10)))</f>
        <v/>
      </c>
      <c r="L15" s="2" t="n"/>
      <c r="M15" s="8">
        <f>IF(ISNUMBER('Registro por Sessão'!$J59),'Registro por Sessão'!$J59,"")</f>
        <v/>
      </c>
      <c r="N15" s="8">
        <f>IF(ISNUMBER('Registro por Sessão'!$J60),'Registro por Sessão'!$J60,"")</f>
        <v/>
      </c>
      <c r="O15" s="8">
        <f>IF(ISNUMBER('Registro por Sessão'!$J61),'Registro por Sessão'!$J61,"")</f>
        <v/>
      </c>
      <c r="P15" s="8">
        <f>IF(ISNUMBER('Registro por Sessão'!$J62),'Registro por Sessão'!$J62,"")</f>
        <v/>
      </c>
      <c r="Q15" s="8">
        <f>IF(ISNUMBER('Registro por Sessão'!$J63),'Registro por Sessão'!$J63,"")</f>
        <v/>
      </c>
      <c r="R15" s="8">
        <f>IF(ISNUMBER('Registro por Sessão'!$N59),'Registro por Sessão'!$N59,"")</f>
        <v/>
      </c>
      <c r="S15" s="8">
        <f>IF(ISNUMBER('Registro por Sessão'!$N60),'Registro por Sessão'!$N60,"")</f>
        <v/>
      </c>
      <c r="T15" s="8">
        <f>IF(ISNUMBER('Registro por Sessão'!$N61),'Registro por Sessão'!$N61,"")</f>
        <v/>
      </c>
      <c r="U15" s="8">
        <f>IF(ISNUMBER('Registro por Sessão'!$N62),'Registro por Sessão'!$N62,"")</f>
        <v/>
      </c>
      <c r="V15" s="8">
        <f>IF(ISNUMBER('Registro por Sessão'!$N63),'Registro por Sessão'!$N63,"")</f>
        <v/>
      </c>
      <c r="W15" s="8">
        <f>IF(ISNUMBER('Registro por Sessão'!$R59),'Registro por Sessão'!$R59,"")</f>
        <v/>
      </c>
      <c r="X15" s="8">
        <f>IF(ISNUMBER('Registro por Sessão'!$R60),'Registro por Sessão'!$R60,"")</f>
        <v/>
      </c>
      <c r="Y15" s="8">
        <f>IF(ISNUMBER('Registro por Sessão'!$R61),'Registro por Sessão'!$R61,"")</f>
        <v/>
      </c>
      <c r="Z15" s="8">
        <f>IF(ISNUMBER('Registro por Sessão'!$R62),'Registro por Sessão'!$R62,"")</f>
        <v/>
      </c>
      <c r="AA15" s="8">
        <f>IF(ISNUMBER('Registro por Sessão'!$R63),'Registro por Sessão'!$R63,"")</f>
        <v/>
      </c>
      <c r="AB15" s="8">
        <f>IF(ISNUMBER('Registro por Sessão'!$V59),'Registro por Sessão'!$V59,"")</f>
        <v/>
      </c>
      <c r="AC15" s="8">
        <f>IF(ISNUMBER('Registro por Sessão'!$V60),'Registro por Sessão'!$V60,"")</f>
        <v/>
      </c>
      <c r="AD15" s="8">
        <f>IF(ISNUMBER('Registro por Sessão'!$V61),'Registro por Sessão'!$V61,"")</f>
        <v/>
      </c>
      <c r="AE15" s="8">
        <f>IF(ISNUMBER('Registro por Sessão'!$V62),'Registro por Sessão'!$V62,"")</f>
        <v/>
      </c>
      <c r="AF15" s="8">
        <f>IF(ISNUMBER('Registro por Sessão'!$V63),'Registro por Sessão'!$V63,"")</f>
        <v/>
      </c>
    </row>
    <row r="16">
      <c r="A16" s="6">
        <f>IF($B16="","",ROW()-3)</f>
        <v/>
      </c>
      <c r="B16" s="7">
        <f>IF(Preenchimento!$B$22="","",Preenchimento!$B$22)</f>
        <v/>
      </c>
      <c r="C16" s="7">
        <f>IF($B16="","",IF(Preenchimento!$C$22="","-",Preenchimento!$C$22))</f>
        <v/>
      </c>
      <c r="D16" s="6">
        <f>IF($B16="","",IF(Preenchimento!$D$22="","-",Preenchimento!$D$22))</f>
        <v/>
      </c>
      <c r="E16" s="31">
        <f>IF($B16="","",IFERROR(AVERAGE(M16:Q16),"-"))</f>
        <v/>
      </c>
      <c r="F16" s="31">
        <f>IF($B16="","",IFERROR(AVERAGE(R16:V16),"-"))</f>
        <v/>
      </c>
      <c r="G16" s="31">
        <f>IF($B16="","",IFERROR(AVERAGE(W16:AA16),"-"))</f>
        <v/>
      </c>
      <c r="H16" s="31">
        <f>IF($B16="","",IFERROR(AVERAGE(AB16:AF16),"-"))</f>
        <v/>
      </c>
      <c r="I16" s="31">
        <f>IF($B16="","",IFERROR(AVERAGE(M16:AF16),"-"))</f>
        <v/>
      </c>
      <c r="J16" s="13">
        <f>IF($B16="","",IF('Registro por Sessão'!$G64="","","S1 D: "&amp;'Registro por Sessão'!$G64&amp;CHAR(10))&amp;IF('Registro por Sessão'!$K64="","","S1 F: "&amp;'Registro por Sessão'!$K64&amp;CHAR(10))&amp;IF('Registro por Sessão'!$O64="","","S1 C: "&amp;'Registro por Sessão'!$O64&amp;CHAR(10))&amp;IF('Registro por Sessão'!$S64="","","S1 P: "&amp;'Registro por Sessão'!$S64&amp;CHAR(10))&amp;IF('Registro por Sessão'!$G65="","","S2 D: "&amp;'Registro por Sessão'!$G65&amp;CHAR(10))&amp;IF('Registro por Sessão'!$K65="","","S2 F: "&amp;'Registro por Sessão'!$K65&amp;CHAR(10))&amp;IF('Registro por Sessão'!$O65="","","S2 C: "&amp;'Registro por Sessão'!$O65&amp;CHAR(10))&amp;IF('Registro por Sessão'!$S65="","","S2 P: "&amp;'Registro por Sessão'!$S65&amp;CHAR(10))&amp;IF('Registro por Sessão'!$G66="","","S3 D: "&amp;'Registro por Sessão'!$G66&amp;CHAR(10))&amp;IF('Registro por Sessão'!$K66="","","S3 F: "&amp;'Registro por Sessão'!$K66&amp;CHAR(10))&amp;IF('Registro por Sessão'!$O66="","","S3 C: "&amp;'Registro por Sessão'!$O66&amp;CHAR(10))&amp;IF('Registro por Sessão'!$S66="","","S3 P: "&amp;'Registro por Sessão'!$S66&amp;CHAR(10))&amp;IF('Registro por Sessão'!$G67="","","S4 D: "&amp;'Registro por Sessão'!$G67&amp;CHAR(10))&amp;IF('Registro por Sessão'!$K67="","","S4 F: "&amp;'Registro por Sessão'!$K67&amp;CHAR(10))&amp;IF('Registro por Sessão'!$O67="","","S4 C: "&amp;'Registro por Sessão'!$O67&amp;CHAR(10))&amp;IF('Registro por Sessão'!$S67="","","S4 P: "&amp;'Registro por Sessão'!$S67&amp;CHAR(10))&amp;IF('Registro por Sessão'!$G68="","","S5 D: "&amp;'Registro por Sessão'!$G68&amp;CHAR(10))&amp;IF('Registro por Sessão'!$K68="","","S5 F: "&amp;'Registro por Sessão'!$K68&amp;CHAR(10))&amp;IF('Registro por Sessão'!$O68="","","S5 C: "&amp;'Registro por Sessão'!$O68&amp;CHAR(10))&amp;IF('Registro por Sessão'!$S68="","","S5 P: "&amp;'Registro por Sessão'!$S68&amp;CHAR(10)))</f>
        <v/>
      </c>
      <c r="K16" s="13">
        <f>IF($B16="","",IF('Registro por Sessão'!$W64="","","S1: "&amp;'Registro por Sessão'!$W64&amp;CHAR(10))&amp;IF('Registro por Sessão'!$X64="","","S1 obs: "&amp;'Registro por Sessão'!$X64&amp;CHAR(10))&amp;IF('Registro por Sessão'!$W65="","","S2: "&amp;'Registro por Sessão'!$W65&amp;CHAR(10))&amp;IF('Registro por Sessão'!$X65="","","S2 obs: "&amp;'Registro por Sessão'!$X65&amp;CHAR(10))&amp;IF('Registro por Sessão'!$W66="","","S3: "&amp;'Registro por Sessão'!$W66&amp;CHAR(10))&amp;IF('Registro por Sessão'!$X66="","","S3 obs: "&amp;'Registro por Sessão'!$X66&amp;CHAR(10))&amp;IF('Registro por Sessão'!$W67="","","S4: "&amp;'Registro por Sessão'!$W67&amp;CHAR(10))&amp;IF('Registro por Sessão'!$X67="","","S4 obs: "&amp;'Registro por Sessão'!$X67&amp;CHAR(10))&amp;IF('Registro por Sessão'!$W68="","","S5: "&amp;'Registro por Sessão'!$W68&amp;CHAR(10))&amp;IF('Registro por Sessão'!$X68="","","S5 obs: "&amp;'Registro por Sessão'!$X68&amp;CHAR(10)))</f>
        <v/>
      </c>
      <c r="L16" s="2" t="n"/>
      <c r="M16" s="6">
        <f>IF(ISNUMBER('Registro por Sessão'!$J64),'Registro por Sessão'!$J64,"")</f>
        <v/>
      </c>
      <c r="N16" s="6">
        <f>IF(ISNUMBER('Registro por Sessão'!$J65),'Registro por Sessão'!$J65,"")</f>
        <v/>
      </c>
      <c r="O16" s="6">
        <f>IF(ISNUMBER('Registro por Sessão'!$J66),'Registro por Sessão'!$J66,"")</f>
        <v/>
      </c>
      <c r="P16" s="6">
        <f>IF(ISNUMBER('Registro por Sessão'!$J67),'Registro por Sessão'!$J67,"")</f>
        <v/>
      </c>
      <c r="Q16" s="6">
        <f>IF(ISNUMBER('Registro por Sessão'!$J68),'Registro por Sessão'!$J68,"")</f>
        <v/>
      </c>
      <c r="R16" s="6">
        <f>IF(ISNUMBER('Registro por Sessão'!$N64),'Registro por Sessão'!$N64,"")</f>
        <v/>
      </c>
      <c r="S16" s="6">
        <f>IF(ISNUMBER('Registro por Sessão'!$N65),'Registro por Sessão'!$N65,"")</f>
        <v/>
      </c>
      <c r="T16" s="6">
        <f>IF(ISNUMBER('Registro por Sessão'!$N66),'Registro por Sessão'!$N66,"")</f>
        <v/>
      </c>
      <c r="U16" s="6">
        <f>IF(ISNUMBER('Registro por Sessão'!$N67),'Registro por Sessão'!$N67,"")</f>
        <v/>
      </c>
      <c r="V16" s="6">
        <f>IF(ISNUMBER('Registro por Sessão'!$N68),'Registro por Sessão'!$N68,"")</f>
        <v/>
      </c>
      <c r="W16" s="6">
        <f>IF(ISNUMBER('Registro por Sessão'!$R64),'Registro por Sessão'!$R64,"")</f>
        <v/>
      </c>
      <c r="X16" s="6">
        <f>IF(ISNUMBER('Registro por Sessão'!$R65),'Registro por Sessão'!$R65,"")</f>
        <v/>
      </c>
      <c r="Y16" s="6">
        <f>IF(ISNUMBER('Registro por Sessão'!$R66),'Registro por Sessão'!$R66,"")</f>
        <v/>
      </c>
      <c r="Z16" s="6">
        <f>IF(ISNUMBER('Registro por Sessão'!$R67),'Registro por Sessão'!$R67,"")</f>
        <v/>
      </c>
      <c r="AA16" s="6">
        <f>IF(ISNUMBER('Registro por Sessão'!$R68),'Registro por Sessão'!$R68,"")</f>
        <v/>
      </c>
      <c r="AB16" s="6">
        <f>IF(ISNUMBER('Registro por Sessão'!$V64),'Registro por Sessão'!$V64,"")</f>
        <v/>
      </c>
      <c r="AC16" s="6">
        <f>IF(ISNUMBER('Registro por Sessão'!$V65),'Registro por Sessão'!$V65,"")</f>
        <v/>
      </c>
      <c r="AD16" s="6">
        <f>IF(ISNUMBER('Registro por Sessão'!$V66),'Registro por Sessão'!$V66,"")</f>
        <v/>
      </c>
      <c r="AE16" s="6">
        <f>IF(ISNUMBER('Registro por Sessão'!$V67),'Registro por Sessão'!$V67,"")</f>
        <v/>
      </c>
      <c r="AF16" s="6">
        <f>IF(ISNUMBER('Registro por Sessão'!$V68),'Registro por Sessão'!$V68,"")</f>
        <v/>
      </c>
    </row>
    <row r="17">
      <c r="A17" s="8">
        <f>IF($B17="","",ROW()-3)</f>
        <v/>
      </c>
      <c r="B17" s="9">
        <f>IF(Preenchimento!$B$23="","",Preenchimento!$B$23)</f>
        <v/>
      </c>
      <c r="C17" s="9">
        <f>IF($B17="","",IF(Preenchimento!$C$23="","-",Preenchimento!$C$23))</f>
        <v/>
      </c>
      <c r="D17" s="8">
        <f>IF($B17="","",IF(Preenchimento!$D$23="","-",Preenchimento!$D$23))</f>
        <v/>
      </c>
      <c r="E17" s="32">
        <f>IF($B17="","",IFERROR(AVERAGE(M17:Q17),"-"))</f>
        <v/>
      </c>
      <c r="F17" s="32">
        <f>IF($B17="","",IFERROR(AVERAGE(R17:V17),"-"))</f>
        <v/>
      </c>
      <c r="G17" s="32">
        <f>IF($B17="","",IFERROR(AVERAGE(W17:AA17),"-"))</f>
        <v/>
      </c>
      <c r="H17" s="32">
        <f>IF($B17="","",IFERROR(AVERAGE(AB17:AF17),"-"))</f>
        <v/>
      </c>
      <c r="I17" s="32">
        <f>IF($B17="","",IFERROR(AVERAGE(M17:AF17),"-"))</f>
        <v/>
      </c>
      <c r="J17" s="14">
        <f>IF($B17="","",IF('Registro por Sessão'!$G69="","","S1 D: "&amp;'Registro por Sessão'!$G69&amp;CHAR(10))&amp;IF('Registro por Sessão'!$K69="","","S1 F: "&amp;'Registro por Sessão'!$K69&amp;CHAR(10))&amp;IF('Registro por Sessão'!$O69="","","S1 C: "&amp;'Registro por Sessão'!$O69&amp;CHAR(10))&amp;IF('Registro por Sessão'!$S69="","","S1 P: "&amp;'Registro por Sessão'!$S69&amp;CHAR(10))&amp;IF('Registro por Sessão'!$G70="","","S2 D: "&amp;'Registro por Sessão'!$G70&amp;CHAR(10))&amp;IF('Registro por Sessão'!$K70="","","S2 F: "&amp;'Registro por Sessão'!$K70&amp;CHAR(10))&amp;IF('Registro por Sessão'!$O70="","","S2 C: "&amp;'Registro por Sessão'!$O70&amp;CHAR(10))&amp;IF('Registro por Sessão'!$S70="","","S2 P: "&amp;'Registro por Sessão'!$S70&amp;CHAR(10))&amp;IF('Registro por Sessão'!$G71="","","S3 D: "&amp;'Registro por Sessão'!$G71&amp;CHAR(10))&amp;IF('Registro por Sessão'!$K71="","","S3 F: "&amp;'Registro por Sessão'!$K71&amp;CHAR(10))&amp;IF('Registro por Sessão'!$O71="","","S3 C: "&amp;'Registro por Sessão'!$O71&amp;CHAR(10))&amp;IF('Registro por Sessão'!$S71="","","S3 P: "&amp;'Registro por Sessão'!$S71&amp;CHAR(10))&amp;IF('Registro por Sessão'!$G72="","","S4 D: "&amp;'Registro por Sessão'!$G72&amp;CHAR(10))&amp;IF('Registro por Sessão'!$K72="","","S4 F: "&amp;'Registro por Sessão'!$K72&amp;CHAR(10))&amp;IF('Registro por Sessão'!$O72="","","S4 C: "&amp;'Registro por Sessão'!$O72&amp;CHAR(10))&amp;IF('Registro por Sessão'!$S72="","","S4 P: "&amp;'Registro por Sessão'!$S72&amp;CHAR(10))&amp;IF('Registro por Sessão'!$G73="","","S5 D: "&amp;'Registro por Sessão'!$G73&amp;CHAR(10))&amp;IF('Registro por Sessão'!$K73="","","S5 F: "&amp;'Registro por Sessão'!$K73&amp;CHAR(10))&amp;IF('Registro por Sessão'!$O73="","","S5 C: "&amp;'Registro por Sessão'!$O73&amp;CHAR(10))&amp;IF('Registro por Sessão'!$S73="","","S5 P: "&amp;'Registro por Sessão'!$S73&amp;CHAR(10)))</f>
        <v/>
      </c>
      <c r="K17" s="14">
        <f>IF($B17="","",IF('Registro por Sessão'!$W69="","","S1: "&amp;'Registro por Sessão'!$W69&amp;CHAR(10))&amp;IF('Registro por Sessão'!$X69="","","S1 obs: "&amp;'Registro por Sessão'!$X69&amp;CHAR(10))&amp;IF('Registro por Sessão'!$W70="","","S2: "&amp;'Registro por Sessão'!$W70&amp;CHAR(10))&amp;IF('Registro por Sessão'!$X70="","","S2 obs: "&amp;'Registro por Sessão'!$X70&amp;CHAR(10))&amp;IF('Registro por Sessão'!$W71="","","S3: "&amp;'Registro por Sessão'!$W71&amp;CHAR(10))&amp;IF('Registro por Sessão'!$X71="","","S3 obs: "&amp;'Registro por Sessão'!$X71&amp;CHAR(10))&amp;IF('Registro por Sessão'!$W72="","","S4: "&amp;'Registro por Sessão'!$W72&amp;CHAR(10))&amp;IF('Registro por Sessão'!$X72="","","S4 obs: "&amp;'Registro por Sessão'!$X72&amp;CHAR(10))&amp;IF('Registro por Sessão'!$W73="","","S5: "&amp;'Registro por Sessão'!$W73&amp;CHAR(10))&amp;IF('Registro por Sessão'!$X73="","","S5 obs: "&amp;'Registro por Sessão'!$X73&amp;CHAR(10)))</f>
        <v/>
      </c>
      <c r="L17" s="2" t="n"/>
      <c r="M17" s="8">
        <f>IF(ISNUMBER('Registro por Sessão'!$J69),'Registro por Sessão'!$J69,"")</f>
        <v/>
      </c>
      <c r="N17" s="8">
        <f>IF(ISNUMBER('Registro por Sessão'!$J70),'Registro por Sessão'!$J70,"")</f>
        <v/>
      </c>
      <c r="O17" s="8">
        <f>IF(ISNUMBER('Registro por Sessão'!$J71),'Registro por Sessão'!$J71,"")</f>
        <v/>
      </c>
      <c r="P17" s="8">
        <f>IF(ISNUMBER('Registro por Sessão'!$J72),'Registro por Sessão'!$J72,"")</f>
        <v/>
      </c>
      <c r="Q17" s="8">
        <f>IF(ISNUMBER('Registro por Sessão'!$J73),'Registro por Sessão'!$J73,"")</f>
        <v/>
      </c>
      <c r="R17" s="8">
        <f>IF(ISNUMBER('Registro por Sessão'!$N69),'Registro por Sessão'!$N69,"")</f>
        <v/>
      </c>
      <c r="S17" s="8">
        <f>IF(ISNUMBER('Registro por Sessão'!$N70),'Registro por Sessão'!$N70,"")</f>
        <v/>
      </c>
      <c r="T17" s="8">
        <f>IF(ISNUMBER('Registro por Sessão'!$N71),'Registro por Sessão'!$N71,"")</f>
        <v/>
      </c>
      <c r="U17" s="8">
        <f>IF(ISNUMBER('Registro por Sessão'!$N72),'Registro por Sessão'!$N72,"")</f>
        <v/>
      </c>
      <c r="V17" s="8">
        <f>IF(ISNUMBER('Registro por Sessão'!$N73),'Registro por Sessão'!$N73,"")</f>
        <v/>
      </c>
      <c r="W17" s="8">
        <f>IF(ISNUMBER('Registro por Sessão'!$R69),'Registro por Sessão'!$R69,"")</f>
        <v/>
      </c>
      <c r="X17" s="8">
        <f>IF(ISNUMBER('Registro por Sessão'!$R70),'Registro por Sessão'!$R70,"")</f>
        <v/>
      </c>
      <c r="Y17" s="8">
        <f>IF(ISNUMBER('Registro por Sessão'!$R71),'Registro por Sessão'!$R71,"")</f>
        <v/>
      </c>
      <c r="Z17" s="8">
        <f>IF(ISNUMBER('Registro por Sessão'!$R72),'Registro por Sessão'!$R72,"")</f>
        <v/>
      </c>
      <c r="AA17" s="8">
        <f>IF(ISNUMBER('Registro por Sessão'!$R73),'Registro por Sessão'!$R73,"")</f>
        <v/>
      </c>
      <c r="AB17" s="8">
        <f>IF(ISNUMBER('Registro por Sessão'!$V69),'Registro por Sessão'!$V69,"")</f>
        <v/>
      </c>
      <c r="AC17" s="8">
        <f>IF(ISNUMBER('Registro por Sessão'!$V70),'Registro por Sessão'!$V70,"")</f>
        <v/>
      </c>
      <c r="AD17" s="8">
        <f>IF(ISNUMBER('Registro por Sessão'!$V71),'Registro por Sessão'!$V71,"")</f>
        <v/>
      </c>
      <c r="AE17" s="8">
        <f>IF(ISNUMBER('Registro por Sessão'!$V72),'Registro por Sessão'!$V72,"")</f>
        <v/>
      </c>
      <c r="AF17" s="8">
        <f>IF(ISNUMBER('Registro por Sessão'!$V73),'Registro por Sessão'!$V73,"")</f>
        <v/>
      </c>
    </row>
    <row r="18">
      <c r="A18" s="6">
        <f>IF($B18="","",ROW()-3)</f>
        <v/>
      </c>
      <c r="B18" s="7">
        <f>IF(Preenchimento!$B$24="","",Preenchimento!$B$24)</f>
        <v/>
      </c>
      <c r="C18" s="7">
        <f>IF($B18="","",IF(Preenchimento!$C$24="","-",Preenchimento!$C$24))</f>
        <v/>
      </c>
      <c r="D18" s="6">
        <f>IF($B18="","",IF(Preenchimento!$D$24="","-",Preenchimento!$D$24))</f>
        <v/>
      </c>
      <c r="E18" s="31">
        <f>IF($B18="","",IFERROR(AVERAGE(M18:Q18),"-"))</f>
        <v/>
      </c>
      <c r="F18" s="31">
        <f>IF($B18="","",IFERROR(AVERAGE(R18:V18),"-"))</f>
        <v/>
      </c>
      <c r="G18" s="31">
        <f>IF($B18="","",IFERROR(AVERAGE(W18:AA18),"-"))</f>
        <v/>
      </c>
      <c r="H18" s="31">
        <f>IF($B18="","",IFERROR(AVERAGE(AB18:AF18),"-"))</f>
        <v/>
      </c>
      <c r="I18" s="31">
        <f>IF($B18="","",IFERROR(AVERAGE(M18:AF18),"-"))</f>
        <v/>
      </c>
      <c r="J18" s="13">
        <f>IF($B18="","",IF('Registro por Sessão'!$G74="","","S1 D: "&amp;'Registro por Sessão'!$G74&amp;CHAR(10))&amp;IF('Registro por Sessão'!$K74="","","S1 F: "&amp;'Registro por Sessão'!$K74&amp;CHAR(10))&amp;IF('Registro por Sessão'!$O74="","","S1 C: "&amp;'Registro por Sessão'!$O74&amp;CHAR(10))&amp;IF('Registro por Sessão'!$S74="","","S1 P: "&amp;'Registro por Sessão'!$S74&amp;CHAR(10))&amp;IF('Registro por Sessão'!$G75="","","S2 D: "&amp;'Registro por Sessão'!$G75&amp;CHAR(10))&amp;IF('Registro por Sessão'!$K75="","","S2 F: "&amp;'Registro por Sessão'!$K75&amp;CHAR(10))&amp;IF('Registro por Sessão'!$O75="","","S2 C: "&amp;'Registro por Sessão'!$O75&amp;CHAR(10))&amp;IF('Registro por Sessão'!$S75="","","S2 P: "&amp;'Registro por Sessão'!$S75&amp;CHAR(10))&amp;IF('Registro por Sessão'!$G76="","","S3 D: "&amp;'Registro por Sessão'!$G76&amp;CHAR(10))&amp;IF('Registro por Sessão'!$K76="","","S3 F: "&amp;'Registro por Sessão'!$K76&amp;CHAR(10))&amp;IF('Registro por Sessão'!$O76="","","S3 C: "&amp;'Registro por Sessão'!$O76&amp;CHAR(10))&amp;IF('Registro por Sessão'!$S76="","","S3 P: "&amp;'Registro por Sessão'!$S76&amp;CHAR(10))&amp;IF('Registro por Sessão'!$G77="","","S4 D: "&amp;'Registro por Sessão'!$G77&amp;CHAR(10))&amp;IF('Registro por Sessão'!$K77="","","S4 F: "&amp;'Registro por Sessão'!$K77&amp;CHAR(10))&amp;IF('Registro por Sessão'!$O77="","","S4 C: "&amp;'Registro por Sessão'!$O77&amp;CHAR(10))&amp;IF('Registro por Sessão'!$S77="","","S4 P: "&amp;'Registro por Sessão'!$S77&amp;CHAR(10))&amp;IF('Registro por Sessão'!$G78="","","S5 D: "&amp;'Registro por Sessão'!$G78&amp;CHAR(10))&amp;IF('Registro por Sessão'!$K78="","","S5 F: "&amp;'Registro por Sessão'!$K78&amp;CHAR(10))&amp;IF('Registro por Sessão'!$O78="","","S5 C: "&amp;'Registro por Sessão'!$O78&amp;CHAR(10))&amp;IF('Registro por Sessão'!$S78="","","S5 P: "&amp;'Registro por Sessão'!$S78&amp;CHAR(10)))</f>
        <v/>
      </c>
      <c r="K18" s="13">
        <f>IF($B18="","",IF('Registro por Sessão'!$W74="","","S1: "&amp;'Registro por Sessão'!$W74&amp;CHAR(10))&amp;IF('Registro por Sessão'!$X74="","","S1 obs: "&amp;'Registro por Sessão'!$X74&amp;CHAR(10))&amp;IF('Registro por Sessão'!$W75="","","S2: "&amp;'Registro por Sessão'!$W75&amp;CHAR(10))&amp;IF('Registro por Sessão'!$X75="","","S2 obs: "&amp;'Registro por Sessão'!$X75&amp;CHAR(10))&amp;IF('Registro por Sessão'!$W76="","","S3: "&amp;'Registro por Sessão'!$W76&amp;CHAR(10))&amp;IF('Registro por Sessão'!$X76="","","S3 obs: "&amp;'Registro por Sessão'!$X76&amp;CHAR(10))&amp;IF('Registro por Sessão'!$W77="","","S4: "&amp;'Registro por Sessão'!$W77&amp;CHAR(10))&amp;IF('Registro por Sessão'!$X77="","","S4 obs: "&amp;'Registro por Sessão'!$X77&amp;CHAR(10))&amp;IF('Registro por Sessão'!$W78="","","S5: "&amp;'Registro por Sessão'!$W78&amp;CHAR(10))&amp;IF('Registro por Sessão'!$X78="","","S5 obs: "&amp;'Registro por Sessão'!$X78&amp;CHAR(10)))</f>
        <v/>
      </c>
      <c r="L18" s="2" t="n"/>
      <c r="M18" s="6">
        <f>IF(ISNUMBER('Registro por Sessão'!$J74),'Registro por Sessão'!$J74,"")</f>
        <v/>
      </c>
      <c r="N18" s="6">
        <f>IF(ISNUMBER('Registro por Sessão'!$J75),'Registro por Sessão'!$J75,"")</f>
        <v/>
      </c>
      <c r="O18" s="6">
        <f>IF(ISNUMBER('Registro por Sessão'!$J76),'Registro por Sessão'!$J76,"")</f>
        <v/>
      </c>
      <c r="P18" s="6">
        <f>IF(ISNUMBER('Registro por Sessão'!$J77),'Registro por Sessão'!$J77,"")</f>
        <v/>
      </c>
      <c r="Q18" s="6">
        <f>IF(ISNUMBER('Registro por Sessão'!$J78),'Registro por Sessão'!$J78,"")</f>
        <v/>
      </c>
      <c r="R18" s="6">
        <f>IF(ISNUMBER('Registro por Sessão'!$N74),'Registro por Sessão'!$N74,"")</f>
        <v/>
      </c>
      <c r="S18" s="6">
        <f>IF(ISNUMBER('Registro por Sessão'!$N75),'Registro por Sessão'!$N75,"")</f>
        <v/>
      </c>
      <c r="T18" s="6">
        <f>IF(ISNUMBER('Registro por Sessão'!$N76),'Registro por Sessão'!$N76,"")</f>
        <v/>
      </c>
      <c r="U18" s="6">
        <f>IF(ISNUMBER('Registro por Sessão'!$N77),'Registro por Sessão'!$N77,"")</f>
        <v/>
      </c>
      <c r="V18" s="6">
        <f>IF(ISNUMBER('Registro por Sessão'!$N78),'Registro por Sessão'!$N78,"")</f>
        <v/>
      </c>
      <c r="W18" s="6">
        <f>IF(ISNUMBER('Registro por Sessão'!$R74),'Registro por Sessão'!$R74,"")</f>
        <v/>
      </c>
      <c r="X18" s="6">
        <f>IF(ISNUMBER('Registro por Sessão'!$R75),'Registro por Sessão'!$R75,"")</f>
        <v/>
      </c>
      <c r="Y18" s="6">
        <f>IF(ISNUMBER('Registro por Sessão'!$R76),'Registro por Sessão'!$R76,"")</f>
        <v/>
      </c>
      <c r="Z18" s="6">
        <f>IF(ISNUMBER('Registro por Sessão'!$R77),'Registro por Sessão'!$R77,"")</f>
        <v/>
      </c>
      <c r="AA18" s="6">
        <f>IF(ISNUMBER('Registro por Sessão'!$R78),'Registro por Sessão'!$R78,"")</f>
        <v/>
      </c>
      <c r="AB18" s="6">
        <f>IF(ISNUMBER('Registro por Sessão'!$V74),'Registro por Sessão'!$V74,"")</f>
        <v/>
      </c>
      <c r="AC18" s="6">
        <f>IF(ISNUMBER('Registro por Sessão'!$V75),'Registro por Sessão'!$V75,"")</f>
        <v/>
      </c>
      <c r="AD18" s="6">
        <f>IF(ISNUMBER('Registro por Sessão'!$V76),'Registro por Sessão'!$V76,"")</f>
        <v/>
      </c>
      <c r="AE18" s="6">
        <f>IF(ISNUMBER('Registro por Sessão'!$V77),'Registro por Sessão'!$V77,"")</f>
        <v/>
      </c>
      <c r="AF18" s="6">
        <f>IF(ISNUMBER('Registro por Sessão'!$V78),'Registro por Sessão'!$V78,"")</f>
        <v/>
      </c>
    </row>
    <row r="19">
      <c r="A19" s="8">
        <f>IF($B19="","",ROW()-3)</f>
        <v/>
      </c>
      <c r="B19" s="9">
        <f>IF(Preenchimento!$B$25="","",Preenchimento!$B$25)</f>
        <v/>
      </c>
      <c r="C19" s="9">
        <f>IF($B19="","",IF(Preenchimento!$C$25="","-",Preenchimento!$C$25))</f>
        <v/>
      </c>
      <c r="D19" s="8">
        <f>IF($B19="","",IF(Preenchimento!$D$25="","-",Preenchimento!$D$25))</f>
        <v/>
      </c>
      <c r="E19" s="32">
        <f>IF($B19="","",IFERROR(AVERAGE(M19:Q19),"-"))</f>
        <v/>
      </c>
      <c r="F19" s="32">
        <f>IF($B19="","",IFERROR(AVERAGE(R19:V19),"-"))</f>
        <v/>
      </c>
      <c r="G19" s="32">
        <f>IF($B19="","",IFERROR(AVERAGE(W19:AA19),"-"))</f>
        <v/>
      </c>
      <c r="H19" s="32">
        <f>IF($B19="","",IFERROR(AVERAGE(AB19:AF19),"-"))</f>
        <v/>
      </c>
      <c r="I19" s="32">
        <f>IF($B19="","",IFERROR(AVERAGE(M19:AF19),"-"))</f>
        <v/>
      </c>
      <c r="J19" s="14">
        <f>IF($B19="","",IF('Registro por Sessão'!$G79="","","S1 D: "&amp;'Registro por Sessão'!$G79&amp;CHAR(10))&amp;IF('Registro por Sessão'!$K79="","","S1 F: "&amp;'Registro por Sessão'!$K79&amp;CHAR(10))&amp;IF('Registro por Sessão'!$O79="","","S1 C: "&amp;'Registro por Sessão'!$O79&amp;CHAR(10))&amp;IF('Registro por Sessão'!$S79="","","S1 P: "&amp;'Registro por Sessão'!$S79&amp;CHAR(10))&amp;IF('Registro por Sessão'!$G80="","","S2 D: "&amp;'Registro por Sessão'!$G80&amp;CHAR(10))&amp;IF('Registro por Sessão'!$K80="","","S2 F: "&amp;'Registro por Sessão'!$K80&amp;CHAR(10))&amp;IF('Registro por Sessão'!$O80="","","S2 C: "&amp;'Registro por Sessão'!$O80&amp;CHAR(10))&amp;IF('Registro por Sessão'!$S80="","","S2 P: "&amp;'Registro por Sessão'!$S80&amp;CHAR(10))&amp;IF('Registro por Sessão'!$G81="","","S3 D: "&amp;'Registro por Sessão'!$G81&amp;CHAR(10))&amp;IF('Registro por Sessão'!$K81="","","S3 F: "&amp;'Registro por Sessão'!$K81&amp;CHAR(10))&amp;IF('Registro por Sessão'!$O81="","","S3 C: "&amp;'Registro por Sessão'!$O81&amp;CHAR(10))&amp;IF('Registro por Sessão'!$S81="","","S3 P: "&amp;'Registro por Sessão'!$S81&amp;CHAR(10))&amp;IF('Registro por Sessão'!$G82="","","S4 D: "&amp;'Registro por Sessão'!$G82&amp;CHAR(10))&amp;IF('Registro por Sessão'!$K82="","","S4 F: "&amp;'Registro por Sessão'!$K82&amp;CHAR(10))&amp;IF('Registro por Sessão'!$O82="","","S4 C: "&amp;'Registro por Sessão'!$O82&amp;CHAR(10))&amp;IF('Registro por Sessão'!$S82="","","S4 P: "&amp;'Registro por Sessão'!$S82&amp;CHAR(10))&amp;IF('Registro por Sessão'!$G83="","","S5 D: "&amp;'Registro por Sessão'!$G83&amp;CHAR(10))&amp;IF('Registro por Sessão'!$K83="","","S5 F: "&amp;'Registro por Sessão'!$K83&amp;CHAR(10))&amp;IF('Registro por Sessão'!$O83="","","S5 C: "&amp;'Registro por Sessão'!$O83&amp;CHAR(10))&amp;IF('Registro por Sessão'!$S83="","","S5 P: "&amp;'Registro por Sessão'!$S83&amp;CHAR(10)))</f>
        <v/>
      </c>
      <c r="K19" s="14">
        <f>IF($B19="","",IF('Registro por Sessão'!$W79="","","S1: "&amp;'Registro por Sessão'!$W79&amp;CHAR(10))&amp;IF('Registro por Sessão'!$X79="","","S1 obs: "&amp;'Registro por Sessão'!$X79&amp;CHAR(10))&amp;IF('Registro por Sessão'!$W80="","","S2: "&amp;'Registro por Sessão'!$W80&amp;CHAR(10))&amp;IF('Registro por Sessão'!$X80="","","S2 obs: "&amp;'Registro por Sessão'!$X80&amp;CHAR(10))&amp;IF('Registro por Sessão'!$W81="","","S3: "&amp;'Registro por Sessão'!$W81&amp;CHAR(10))&amp;IF('Registro por Sessão'!$X81="","","S3 obs: "&amp;'Registro por Sessão'!$X81&amp;CHAR(10))&amp;IF('Registro por Sessão'!$W82="","","S4: "&amp;'Registro por Sessão'!$W82&amp;CHAR(10))&amp;IF('Registro por Sessão'!$X82="","","S4 obs: "&amp;'Registro por Sessão'!$X82&amp;CHAR(10))&amp;IF('Registro por Sessão'!$W83="","","S5: "&amp;'Registro por Sessão'!$W83&amp;CHAR(10))&amp;IF('Registro por Sessão'!$X83="","","S5 obs: "&amp;'Registro por Sessão'!$X83&amp;CHAR(10)))</f>
        <v/>
      </c>
      <c r="L19" s="2" t="n"/>
      <c r="M19" s="8">
        <f>IF(ISNUMBER('Registro por Sessão'!$J79),'Registro por Sessão'!$J79,"")</f>
        <v/>
      </c>
      <c r="N19" s="8">
        <f>IF(ISNUMBER('Registro por Sessão'!$J80),'Registro por Sessão'!$J80,"")</f>
        <v/>
      </c>
      <c r="O19" s="8">
        <f>IF(ISNUMBER('Registro por Sessão'!$J81),'Registro por Sessão'!$J81,"")</f>
        <v/>
      </c>
      <c r="P19" s="8">
        <f>IF(ISNUMBER('Registro por Sessão'!$J82),'Registro por Sessão'!$J82,"")</f>
        <v/>
      </c>
      <c r="Q19" s="8">
        <f>IF(ISNUMBER('Registro por Sessão'!$J83),'Registro por Sessão'!$J83,"")</f>
        <v/>
      </c>
      <c r="R19" s="8">
        <f>IF(ISNUMBER('Registro por Sessão'!$N79),'Registro por Sessão'!$N79,"")</f>
        <v/>
      </c>
      <c r="S19" s="8">
        <f>IF(ISNUMBER('Registro por Sessão'!$N80),'Registro por Sessão'!$N80,"")</f>
        <v/>
      </c>
      <c r="T19" s="8">
        <f>IF(ISNUMBER('Registro por Sessão'!$N81),'Registro por Sessão'!$N81,"")</f>
        <v/>
      </c>
      <c r="U19" s="8">
        <f>IF(ISNUMBER('Registro por Sessão'!$N82),'Registro por Sessão'!$N82,"")</f>
        <v/>
      </c>
      <c r="V19" s="8">
        <f>IF(ISNUMBER('Registro por Sessão'!$N83),'Registro por Sessão'!$N83,"")</f>
        <v/>
      </c>
      <c r="W19" s="8">
        <f>IF(ISNUMBER('Registro por Sessão'!$R79),'Registro por Sessão'!$R79,"")</f>
        <v/>
      </c>
      <c r="X19" s="8">
        <f>IF(ISNUMBER('Registro por Sessão'!$R80),'Registro por Sessão'!$R80,"")</f>
        <v/>
      </c>
      <c r="Y19" s="8">
        <f>IF(ISNUMBER('Registro por Sessão'!$R81),'Registro por Sessão'!$R81,"")</f>
        <v/>
      </c>
      <c r="Z19" s="8">
        <f>IF(ISNUMBER('Registro por Sessão'!$R82),'Registro por Sessão'!$R82,"")</f>
        <v/>
      </c>
      <c r="AA19" s="8">
        <f>IF(ISNUMBER('Registro por Sessão'!$R83),'Registro por Sessão'!$R83,"")</f>
        <v/>
      </c>
      <c r="AB19" s="8">
        <f>IF(ISNUMBER('Registro por Sessão'!$V79),'Registro por Sessão'!$V79,"")</f>
        <v/>
      </c>
      <c r="AC19" s="8">
        <f>IF(ISNUMBER('Registro por Sessão'!$V80),'Registro por Sessão'!$V80,"")</f>
        <v/>
      </c>
      <c r="AD19" s="8">
        <f>IF(ISNUMBER('Registro por Sessão'!$V81),'Registro por Sessão'!$V81,"")</f>
        <v/>
      </c>
      <c r="AE19" s="8">
        <f>IF(ISNUMBER('Registro por Sessão'!$V82),'Registro por Sessão'!$V82,"")</f>
        <v/>
      </c>
      <c r="AF19" s="8">
        <f>IF(ISNUMBER('Registro por Sessão'!$V83),'Registro por Sessão'!$V83,"")</f>
        <v/>
      </c>
    </row>
    <row r="20">
      <c r="A20" s="6">
        <f>IF($B20="","",ROW()-3)</f>
        <v/>
      </c>
      <c r="B20" s="7">
        <f>IF(Preenchimento!$B$26="","",Preenchimento!$B$26)</f>
        <v/>
      </c>
      <c r="C20" s="7">
        <f>IF($B20="","",IF(Preenchimento!$C$26="","-",Preenchimento!$C$26))</f>
        <v/>
      </c>
      <c r="D20" s="6">
        <f>IF($B20="","",IF(Preenchimento!$D$26="","-",Preenchimento!$D$26))</f>
        <v/>
      </c>
      <c r="E20" s="31">
        <f>IF($B20="","",IFERROR(AVERAGE(M20:Q20),"-"))</f>
        <v/>
      </c>
      <c r="F20" s="31">
        <f>IF($B20="","",IFERROR(AVERAGE(R20:V20),"-"))</f>
        <v/>
      </c>
      <c r="G20" s="31">
        <f>IF($B20="","",IFERROR(AVERAGE(W20:AA20),"-"))</f>
        <v/>
      </c>
      <c r="H20" s="31">
        <f>IF($B20="","",IFERROR(AVERAGE(AB20:AF20),"-"))</f>
        <v/>
      </c>
      <c r="I20" s="31">
        <f>IF($B20="","",IFERROR(AVERAGE(M20:AF20),"-"))</f>
        <v/>
      </c>
      <c r="J20" s="13">
        <f>IF($B20="","",IF('Registro por Sessão'!$G84="","","S1 D: "&amp;'Registro por Sessão'!$G84&amp;CHAR(10))&amp;IF('Registro por Sessão'!$K84="","","S1 F: "&amp;'Registro por Sessão'!$K84&amp;CHAR(10))&amp;IF('Registro por Sessão'!$O84="","","S1 C: "&amp;'Registro por Sessão'!$O84&amp;CHAR(10))&amp;IF('Registro por Sessão'!$S84="","","S1 P: "&amp;'Registro por Sessão'!$S84&amp;CHAR(10))&amp;IF('Registro por Sessão'!$G85="","","S2 D: "&amp;'Registro por Sessão'!$G85&amp;CHAR(10))&amp;IF('Registro por Sessão'!$K85="","","S2 F: "&amp;'Registro por Sessão'!$K85&amp;CHAR(10))&amp;IF('Registro por Sessão'!$O85="","","S2 C: "&amp;'Registro por Sessão'!$O85&amp;CHAR(10))&amp;IF('Registro por Sessão'!$S85="","","S2 P: "&amp;'Registro por Sessão'!$S85&amp;CHAR(10))&amp;IF('Registro por Sessão'!$G86="","","S3 D: "&amp;'Registro por Sessão'!$G86&amp;CHAR(10))&amp;IF('Registro por Sessão'!$K86="","","S3 F: "&amp;'Registro por Sessão'!$K86&amp;CHAR(10))&amp;IF('Registro por Sessão'!$O86="","","S3 C: "&amp;'Registro por Sessão'!$O86&amp;CHAR(10))&amp;IF('Registro por Sessão'!$S86="","","S3 P: "&amp;'Registro por Sessão'!$S86&amp;CHAR(10))&amp;IF('Registro por Sessão'!$G87="","","S4 D: "&amp;'Registro por Sessão'!$G87&amp;CHAR(10))&amp;IF('Registro por Sessão'!$K87="","","S4 F: "&amp;'Registro por Sessão'!$K87&amp;CHAR(10))&amp;IF('Registro por Sessão'!$O87="","","S4 C: "&amp;'Registro por Sessão'!$O87&amp;CHAR(10))&amp;IF('Registro por Sessão'!$S87="","","S4 P: "&amp;'Registro por Sessão'!$S87&amp;CHAR(10))&amp;IF('Registro por Sessão'!$G88="","","S5 D: "&amp;'Registro por Sessão'!$G88&amp;CHAR(10))&amp;IF('Registro por Sessão'!$K88="","","S5 F: "&amp;'Registro por Sessão'!$K88&amp;CHAR(10))&amp;IF('Registro por Sessão'!$O88="","","S5 C: "&amp;'Registro por Sessão'!$O88&amp;CHAR(10))&amp;IF('Registro por Sessão'!$S88="","","S5 P: "&amp;'Registro por Sessão'!$S88&amp;CHAR(10)))</f>
        <v/>
      </c>
      <c r="K20" s="13">
        <f>IF($B20="","",IF('Registro por Sessão'!$W84="","","S1: "&amp;'Registro por Sessão'!$W84&amp;CHAR(10))&amp;IF('Registro por Sessão'!$X84="","","S1 obs: "&amp;'Registro por Sessão'!$X84&amp;CHAR(10))&amp;IF('Registro por Sessão'!$W85="","","S2: "&amp;'Registro por Sessão'!$W85&amp;CHAR(10))&amp;IF('Registro por Sessão'!$X85="","","S2 obs: "&amp;'Registro por Sessão'!$X85&amp;CHAR(10))&amp;IF('Registro por Sessão'!$W86="","","S3: "&amp;'Registro por Sessão'!$W86&amp;CHAR(10))&amp;IF('Registro por Sessão'!$X86="","","S3 obs: "&amp;'Registro por Sessão'!$X86&amp;CHAR(10))&amp;IF('Registro por Sessão'!$W87="","","S4: "&amp;'Registro por Sessão'!$W87&amp;CHAR(10))&amp;IF('Registro por Sessão'!$X87="","","S4 obs: "&amp;'Registro por Sessão'!$X87&amp;CHAR(10))&amp;IF('Registro por Sessão'!$W88="","","S5: "&amp;'Registro por Sessão'!$W88&amp;CHAR(10))&amp;IF('Registro por Sessão'!$X88="","","S5 obs: "&amp;'Registro por Sessão'!$X88&amp;CHAR(10)))</f>
        <v/>
      </c>
      <c r="L20" s="2" t="n"/>
      <c r="M20" s="6">
        <f>IF(ISNUMBER('Registro por Sessão'!$J84),'Registro por Sessão'!$J84,"")</f>
        <v/>
      </c>
      <c r="N20" s="6">
        <f>IF(ISNUMBER('Registro por Sessão'!$J85),'Registro por Sessão'!$J85,"")</f>
        <v/>
      </c>
      <c r="O20" s="6">
        <f>IF(ISNUMBER('Registro por Sessão'!$J86),'Registro por Sessão'!$J86,"")</f>
        <v/>
      </c>
      <c r="P20" s="6">
        <f>IF(ISNUMBER('Registro por Sessão'!$J87),'Registro por Sessão'!$J87,"")</f>
        <v/>
      </c>
      <c r="Q20" s="6">
        <f>IF(ISNUMBER('Registro por Sessão'!$J88),'Registro por Sessão'!$J88,"")</f>
        <v/>
      </c>
      <c r="R20" s="6">
        <f>IF(ISNUMBER('Registro por Sessão'!$N84),'Registro por Sessão'!$N84,"")</f>
        <v/>
      </c>
      <c r="S20" s="6">
        <f>IF(ISNUMBER('Registro por Sessão'!$N85),'Registro por Sessão'!$N85,"")</f>
        <v/>
      </c>
      <c r="T20" s="6">
        <f>IF(ISNUMBER('Registro por Sessão'!$N86),'Registro por Sessão'!$N86,"")</f>
        <v/>
      </c>
      <c r="U20" s="6">
        <f>IF(ISNUMBER('Registro por Sessão'!$N87),'Registro por Sessão'!$N87,"")</f>
        <v/>
      </c>
      <c r="V20" s="6">
        <f>IF(ISNUMBER('Registro por Sessão'!$N88),'Registro por Sessão'!$N88,"")</f>
        <v/>
      </c>
      <c r="W20" s="6">
        <f>IF(ISNUMBER('Registro por Sessão'!$R84),'Registro por Sessão'!$R84,"")</f>
        <v/>
      </c>
      <c r="X20" s="6">
        <f>IF(ISNUMBER('Registro por Sessão'!$R85),'Registro por Sessão'!$R85,"")</f>
        <v/>
      </c>
      <c r="Y20" s="6">
        <f>IF(ISNUMBER('Registro por Sessão'!$R86),'Registro por Sessão'!$R86,"")</f>
        <v/>
      </c>
      <c r="Z20" s="6">
        <f>IF(ISNUMBER('Registro por Sessão'!$R87),'Registro por Sessão'!$R87,"")</f>
        <v/>
      </c>
      <c r="AA20" s="6">
        <f>IF(ISNUMBER('Registro por Sessão'!$R88),'Registro por Sessão'!$R88,"")</f>
        <v/>
      </c>
      <c r="AB20" s="6">
        <f>IF(ISNUMBER('Registro por Sessão'!$V84),'Registro por Sessão'!$V84,"")</f>
        <v/>
      </c>
      <c r="AC20" s="6">
        <f>IF(ISNUMBER('Registro por Sessão'!$V85),'Registro por Sessão'!$V85,"")</f>
        <v/>
      </c>
      <c r="AD20" s="6">
        <f>IF(ISNUMBER('Registro por Sessão'!$V86),'Registro por Sessão'!$V86,"")</f>
        <v/>
      </c>
      <c r="AE20" s="6">
        <f>IF(ISNUMBER('Registro por Sessão'!$V87),'Registro por Sessão'!$V87,"")</f>
        <v/>
      </c>
      <c r="AF20" s="6">
        <f>IF(ISNUMBER('Registro por Sessão'!$V88),'Registro por Sessão'!$V88,"")</f>
        <v/>
      </c>
    </row>
    <row r="21">
      <c r="A21" s="8">
        <f>IF($B21="","",ROW()-3)</f>
        <v/>
      </c>
      <c r="B21" s="9">
        <f>IF(Preenchimento!$B$27="","",Preenchimento!$B$27)</f>
        <v/>
      </c>
      <c r="C21" s="9">
        <f>IF($B21="","",IF(Preenchimento!$C$27="","-",Preenchimento!$C$27))</f>
        <v/>
      </c>
      <c r="D21" s="8">
        <f>IF($B21="","",IF(Preenchimento!$D$27="","-",Preenchimento!$D$27))</f>
        <v/>
      </c>
      <c r="E21" s="32">
        <f>IF($B21="","",IFERROR(AVERAGE(M21:Q21),"-"))</f>
        <v/>
      </c>
      <c r="F21" s="32">
        <f>IF($B21="","",IFERROR(AVERAGE(R21:V21),"-"))</f>
        <v/>
      </c>
      <c r="G21" s="32">
        <f>IF($B21="","",IFERROR(AVERAGE(W21:AA21),"-"))</f>
        <v/>
      </c>
      <c r="H21" s="32">
        <f>IF($B21="","",IFERROR(AVERAGE(AB21:AF21),"-"))</f>
        <v/>
      </c>
      <c r="I21" s="32">
        <f>IF($B21="","",IFERROR(AVERAGE(M21:AF21),"-"))</f>
        <v/>
      </c>
      <c r="J21" s="14">
        <f>IF($B21="","",IF('Registro por Sessão'!$G89="","","S1 D: "&amp;'Registro por Sessão'!$G89&amp;CHAR(10))&amp;IF('Registro por Sessão'!$K89="","","S1 F: "&amp;'Registro por Sessão'!$K89&amp;CHAR(10))&amp;IF('Registro por Sessão'!$O89="","","S1 C: "&amp;'Registro por Sessão'!$O89&amp;CHAR(10))&amp;IF('Registro por Sessão'!$S89="","","S1 P: "&amp;'Registro por Sessão'!$S89&amp;CHAR(10))&amp;IF('Registro por Sessão'!$G90="","","S2 D: "&amp;'Registro por Sessão'!$G90&amp;CHAR(10))&amp;IF('Registro por Sessão'!$K90="","","S2 F: "&amp;'Registro por Sessão'!$K90&amp;CHAR(10))&amp;IF('Registro por Sessão'!$O90="","","S2 C: "&amp;'Registro por Sessão'!$O90&amp;CHAR(10))&amp;IF('Registro por Sessão'!$S90="","","S2 P: "&amp;'Registro por Sessão'!$S90&amp;CHAR(10))&amp;IF('Registro por Sessão'!$G91="","","S3 D: "&amp;'Registro por Sessão'!$G91&amp;CHAR(10))&amp;IF('Registro por Sessão'!$K91="","","S3 F: "&amp;'Registro por Sessão'!$K91&amp;CHAR(10))&amp;IF('Registro por Sessão'!$O91="","","S3 C: "&amp;'Registro por Sessão'!$O91&amp;CHAR(10))&amp;IF('Registro por Sessão'!$S91="","","S3 P: "&amp;'Registro por Sessão'!$S91&amp;CHAR(10))&amp;IF('Registro por Sessão'!$G92="","","S4 D: "&amp;'Registro por Sessão'!$G92&amp;CHAR(10))&amp;IF('Registro por Sessão'!$K92="","","S4 F: "&amp;'Registro por Sessão'!$K92&amp;CHAR(10))&amp;IF('Registro por Sessão'!$O92="","","S4 C: "&amp;'Registro por Sessão'!$O92&amp;CHAR(10))&amp;IF('Registro por Sessão'!$S92="","","S4 P: "&amp;'Registro por Sessão'!$S92&amp;CHAR(10))&amp;IF('Registro por Sessão'!$G93="","","S5 D: "&amp;'Registro por Sessão'!$G93&amp;CHAR(10))&amp;IF('Registro por Sessão'!$K93="","","S5 F: "&amp;'Registro por Sessão'!$K93&amp;CHAR(10))&amp;IF('Registro por Sessão'!$O93="","","S5 C: "&amp;'Registro por Sessão'!$O93&amp;CHAR(10))&amp;IF('Registro por Sessão'!$S93="","","S5 P: "&amp;'Registro por Sessão'!$S93&amp;CHAR(10)))</f>
        <v/>
      </c>
      <c r="K21" s="14">
        <f>IF($B21="","",IF('Registro por Sessão'!$W89="","","S1: "&amp;'Registro por Sessão'!$W89&amp;CHAR(10))&amp;IF('Registro por Sessão'!$X89="","","S1 obs: "&amp;'Registro por Sessão'!$X89&amp;CHAR(10))&amp;IF('Registro por Sessão'!$W90="","","S2: "&amp;'Registro por Sessão'!$W90&amp;CHAR(10))&amp;IF('Registro por Sessão'!$X90="","","S2 obs: "&amp;'Registro por Sessão'!$X90&amp;CHAR(10))&amp;IF('Registro por Sessão'!$W91="","","S3: "&amp;'Registro por Sessão'!$W91&amp;CHAR(10))&amp;IF('Registro por Sessão'!$X91="","","S3 obs: "&amp;'Registro por Sessão'!$X91&amp;CHAR(10))&amp;IF('Registro por Sessão'!$W92="","","S4: "&amp;'Registro por Sessão'!$W92&amp;CHAR(10))&amp;IF('Registro por Sessão'!$X92="","","S4 obs: "&amp;'Registro por Sessão'!$X92&amp;CHAR(10))&amp;IF('Registro por Sessão'!$W93="","","S5: "&amp;'Registro por Sessão'!$W93&amp;CHAR(10))&amp;IF('Registro por Sessão'!$X93="","","S5 obs: "&amp;'Registro por Sessão'!$X93&amp;CHAR(10)))</f>
        <v/>
      </c>
      <c r="L21" s="2" t="n"/>
      <c r="M21" s="8">
        <f>IF(ISNUMBER('Registro por Sessão'!$J89),'Registro por Sessão'!$J89,"")</f>
        <v/>
      </c>
      <c r="N21" s="8">
        <f>IF(ISNUMBER('Registro por Sessão'!$J90),'Registro por Sessão'!$J90,"")</f>
        <v/>
      </c>
      <c r="O21" s="8">
        <f>IF(ISNUMBER('Registro por Sessão'!$J91),'Registro por Sessão'!$J91,"")</f>
        <v/>
      </c>
      <c r="P21" s="8">
        <f>IF(ISNUMBER('Registro por Sessão'!$J92),'Registro por Sessão'!$J92,"")</f>
        <v/>
      </c>
      <c r="Q21" s="8">
        <f>IF(ISNUMBER('Registro por Sessão'!$J93),'Registro por Sessão'!$J93,"")</f>
        <v/>
      </c>
      <c r="R21" s="8">
        <f>IF(ISNUMBER('Registro por Sessão'!$N89),'Registro por Sessão'!$N89,"")</f>
        <v/>
      </c>
      <c r="S21" s="8">
        <f>IF(ISNUMBER('Registro por Sessão'!$N90),'Registro por Sessão'!$N90,"")</f>
        <v/>
      </c>
      <c r="T21" s="8">
        <f>IF(ISNUMBER('Registro por Sessão'!$N91),'Registro por Sessão'!$N91,"")</f>
        <v/>
      </c>
      <c r="U21" s="8">
        <f>IF(ISNUMBER('Registro por Sessão'!$N92),'Registro por Sessão'!$N92,"")</f>
        <v/>
      </c>
      <c r="V21" s="8">
        <f>IF(ISNUMBER('Registro por Sessão'!$N93),'Registro por Sessão'!$N93,"")</f>
        <v/>
      </c>
      <c r="W21" s="8">
        <f>IF(ISNUMBER('Registro por Sessão'!$R89),'Registro por Sessão'!$R89,"")</f>
        <v/>
      </c>
      <c r="X21" s="8">
        <f>IF(ISNUMBER('Registro por Sessão'!$R90),'Registro por Sessão'!$R90,"")</f>
        <v/>
      </c>
      <c r="Y21" s="8">
        <f>IF(ISNUMBER('Registro por Sessão'!$R91),'Registro por Sessão'!$R91,"")</f>
        <v/>
      </c>
      <c r="Z21" s="8">
        <f>IF(ISNUMBER('Registro por Sessão'!$R92),'Registro por Sessão'!$R92,"")</f>
        <v/>
      </c>
      <c r="AA21" s="8">
        <f>IF(ISNUMBER('Registro por Sessão'!$R93),'Registro por Sessão'!$R93,"")</f>
        <v/>
      </c>
      <c r="AB21" s="8">
        <f>IF(ISNUMBER('Registro por Sessão'!$V89),'Registro por Sessão'!$V89,"")</f>
        <v/>
      </c>
      <c r="AC21" s="8">
        <f>IF(ISNUMBER('Registro por Sessão'!$V90),'Registro por Sessão'!$V90,"")</f>
        <v/>
      </c>
      <c r="AD21" s="8">
        <f>IF(ISNUMBER('Registro por Sessão'!$V91),'Registro por Sessão'!$V91,"")</f>
        <v/>
      </c>
      <c r="AE21" s="8">
        <f>IF(ISNUMBER('Registro por Sessão'!$V92),'Registro por Sessão'!$V92,"")</f>
        <v/>
      </c>
      <c r="AF21" s="8">
        <f>IF(ISNUMBER('Registro por Sessão'!$V93),'Registro por Sessão'!$V93,"")</f>
        <v/>
      </c>
    </row>
    <row r="22">
      <c r="A22" s="6">
        <f>IF($B22="","",ROW()-3)</f>
        <v/>
      </c>
      <c r="B22" s="7">
        <f>IF(Preenchimento!$B$28="","",Preenchimento!$B$28)</f>
        <v/>
      </c>
      <c r="C22" s="7">
        <f>IF($B22="","",IF(Preenchimento!$C$28="","-",Preenchimento!$C$28))</f>
        <v/>
      </c>
      <c r="D22" s="6">
        <f>IF($B22="","",IF(Preenchimento!$D$28="","-",Preenchimento!$D$28))</f>
        <v/>
      </c>
      <c r="E22" s="31">
        <f>IF($B22="","",IFERROR(AVERAGE(M22:Q22),"-"))</f>
        <v/>
      </c>
      <c r="F22" s="31">
        <f>IF($B22="","",IFERROR(AVERAGE(R22:V22),"-"))</f>
        <v/>
      </c>
      <c r="G22" s="31">
        <f>IF($B22="","",IFERROR(AVERAGE(W22:AA22),"-"))</f>
        <v/>
      </c>
      <c r="H22" s="31">
        <f>IF($B22="","",IFERROR(AVERAGE(AB22:AF22),"-"))</f>
        <v/>
      </c>
      <c r="I22" s="31">
        <f>IF($B22="","",IFERROR(AVERAGE(M22:AF22),"-"))</f>
        <v/>
      </c>
      <c r="J22" s="13">
        <f>IF($B22="","",IF('Registro por Sessão'!$G94="","","S1 D: "&amp;'Registro por Sessão'!$G94&amp;CHAR(10))&amp;IF('Registro por Sessão'!$K94="","","S1 F: "&amp;'Registro por Sessão'!$K94&amp;CHAR(10))&amp;IF('Registro por Sessão'!$O94="","","S1 C: "&amp;'Registro por Sessão'!$O94&amp;CHAR(10))&amp;IF('Registro por Sessão'!$S94="","","S1 P: "&amp;'Registro por Sessão'!$S94&amp;CHAR(10))&amp;IF('Registro por Sessão'!$G95="","","S2 D: "&amp;'Registro por Sessão'!$G95&amp;CHAR(10))&amp;IF('Registro por Sessão'!$K95="","","S2 F: "&amp;'Registro por Sessão'!$K95&amp;CHAR(10))&amp;IF('Registro por Sessão'!$O95="","","S2 C: "&amp;'Registro por Sessão'!$O95&amp;CHAR(10))&amp;IF('Registro por Sessão'!$S95="","","S2 P: "&amp;'Registro por Sessão'!$S95&amp;CHAR(10))&amp;IF('Registro por Sessão'!$G96="","","S3 D: "&amp;'Registro por Sessão'!$G96&amp;CHAR(10))&amp;IF('Registro por Sessão'!$K96="","","S3 F: "&amp;'Registro por Sessão'!$K96&amp;CHAR(10))&amp;IF('Registro por Sessão'!$O96="","","S3 C: "&amp;'Registro por Sessão'!$O96&amp;CHAR(10))&amp;IF('Registro por Sessão'!$S96="","","S3 P: "&amp;'Registro por Sessão'!$S96&amp;CHAR(10))&amp;IF('Registro por Sessão'!$G97="","","S4 D: "&amp;'Registro por Sessão'!$G97&amp;CHAR(10))&amp;IF('Registro por Sessão'!$K97="","","S4 F: "&amp;'Registro por Sessão'!$K97&amp;CHAR(10))&amp;IF('Registro por Sessão'!$O97="","","S4 C: "&amp;'Registro por Sessão'!$O97&amp;CHAR(10))&amp;IF('Registro por Sessão'!$S97="","","S4 P: "&amp;'Registro por Sessão'!$S97&amp;CHAR(10))&amp;IF('Registro por Sessão'!$G98="","","S5 D: "&amp;'Registro por Sessão'!$G98&amp;CHAR(10))&amp;IF('Registro por Sessão'!$K98="","","S5 F: "&amp;'Registro por Sessão'!$K98&amp;CHAR(10))&amp;IF('Registro por Sessão'!$O98="","","S5 C: "&amp;'Registro por Sessão'!$O98&amp;CHAR(10))&amp;IF('Registro por Sessão'!$S98="","","S5 P: "&amp;'Registro por Sessão'!$S98&amp;CHAR(10)))</f>
        <v/>
      </c>
      <c r="K22" s="13">
        <f>IF($B22="","",IF('Registro por Sessão'!$W94="","","S1: "&amp;'Registro por Sessão'!$W94&amp;CHAR(10))&amp;IF('Registro por Sessão'!$X94="","","S1 obs: "&amp;'Registro por Sessão'!$X94&amp;CHAR(10))&amp;IF('Registro por Sessão'!$W95="","","S2: "&amp;'Registro por Sessão'!$W95&amp;CHAR(10))&amp;IF('Registro por Sessão'!$X95="","","S2 obs: "&amp;'Registro por Sessão'!$X95&amp;CHAR(10))&amp;IF('Registro por Sessão'!$W96="","","S3: "&amp;'Registro por Sessão'!$W96&amp;CHAR(10))&amp;IF('Registro por Sessão'!$X96="","","S3 obs: "&amp;'Registro por Sessão'!$X96&amp;CHAR(10))&amp;IF('Registro por Sessão'!$W97="","","S4: "&amp;'Registro por Sessão'!$W97&amp;CHAR(10))&amp;IF('Registro por Sessão'!$X97="","","S4 obs: "&amp;'Registro por Sessão'!$X97&amp;CHAR(10))&amp;IF('Registro por Sessão'!$W98="","","S5: "&amp;'Registro por Sessão'!$W98&amp;CHAR(10))&amp;IF('Registro por Sessão'!$X98="","","S5 obs: "&amp;'Registro por Sessão'!$X98&amp;CHAR(10)))</f>
        <v/>
      </c>
      <c r="L22" s="2" t="n"/>
      <c r="M22" s="6">
        <f>IF(ISNUMBER('Registro por Sessão'!$J94),'Registro por Sessão'!$J94,"")</f>
        <v/>
      </c>
      <c r="N22" s="6">
        <f>IF(ISNUMBER('Registro por Sessão'!$J95),'Registro por Sessão'!$J95,"")</f>
        <v/>
      </c>
      <c r="O22" s="6">
        <f>IF(ISNUMBER('Registro por Sessão'!$J96),'Registro por Sessão'!$J96,"")</f>
        <v/>
      </c>
      <c r="P22" s="6">
        <f>IF(ISNUMBER('Registro por Sessão'!$J97),'Registro por Sessão'!$J97,"")</f>
        <v/>
      </c>
      <c r="Q22" s="6">
        <f>IF(ISNUMBER('Registro por Sessão'!$J98),'Registro por Sessão'!$J98,"")</f>
        <v/>
      </c>
      <c r="R22" s="6">
        <f>IF(ISNUMBER('Registro por Sessão'!$N94),'Registro por Sessão'!$N94,"")</f>
        <v/>
      </c>
      <c r="S22" s="6">
        <f>IF(ISNUMBER('Registro por Sessão'!$N95),'Registro por Sessão'!$N95,"")</f>
        <v/>
      </c>
      <c r="T22" s="6">
        <f>IF(ISNUMBER('Registro por Sessão'!$N96),'Registro por Sessão'!$N96,"")</f>
        <v/>
      </c>
      <c r="U22" s="6">
        <f>IF(ISNUMBER('Registro por Sessão'!$N97),'Registro por Sessão'!$N97,"")</f>
        <v/>
      </c>
      <c r="V22" s="6">
        <f>IF(ISNUMBER('Registro por Sessão'!$N98),'Registro por Sessão'!$N98,"")</f>
        <v/>
      </c>
      <c r="W22" s="6">
        <f>IF(ISNUMBER('Registro por Sessão'!$R94),'Registro por Sessão'!$R94,"")</f>
        <v/>
      </c>
      <c r="X22" s="6">
        <f>IF(ISNUMBER('Registro por Sessão'!$R95),'Registro por Sessão'!$R95,"")</f>
        <v/>
      </c>
      <c r="Y22" s="6">
        <f>IF(ISNUMBER('Registro por Sessão'!$R96),'Registro por Sessão'!$R96,"")</f>
        <v/>
      </c>
      <c r="Z22" s="6">
        <f>IF(ISNUMBER('Registro por Sessão'!$R97),'Registro por Sessão'!$R97,"")</f>
        <v/>
      </c>
      <c r="AA22" s="6">
        <f>IF(ISNUMBER('Registro por Sessão'!$R98),'Registro por Sessão'!$R98,"")</f>
        <v/>
      </c>
      <c r="AB22" s="6">
        <f>IF(ISNUMBER('Registro por Sessão'!$V94),'Registro por Sessão'!$V94,"")</f>
        <v/>
      </c>
      <c r="AC22" s="6">
        <f>IF(ISNUMBER('Registro por Sessão'!$V95),'Registro por Sessão'!$V95,"")</f>
        <v/>
      </c>
      <c r="AD22" s="6">
        <f>IF(ISNUMBER('Registro por Sessão'!$V96),'Registro por Sessão'!$V96,"")</f>
        <v/>
      </c>
      <c r="AE22" s="6">
        <f>IF(ISNUMBER('Registro por Sessão'!$V97),'Registro por Sessão'!$V97,"")</f>
        <v/>
      </c>
      <c r="AF22" s="6">
        <f>IF(ISNUMBER('Registro por Sessão'!$V98),'Registro por Sessão'!$V98,"")</f>
        <v/>
      </c>
    </row>
    <row r="23">
      <c r="A23" s="8">
        <f>IF($B23="","",ROW()-3)</f>
        <v/>
      </c>
      <c r="B23" s="9">
        <f>IF(Preenchimento!$B$29="","",Preenchimento!$B$29)</f>
        <v/>
      </c>
      <c r="C23" s="9">
        <f>IF($B23="","",IF(Preenchimento!$C$29="","-",Preenchimento!$C$29))</f>
        <v/>
      </c>
      <c r="D23" s="8">
        <f>IF($B23="","",IF(Preenchimento!$D$29="","-",Preenchimento!$D$29))</f>
        <v/>
      </c>
      <c r="E23" s="32">
        <f>IF($B23="","",IFERROR(AVERAGE(M23:Q23),"-"))</f>
        <v/>
      </c>
      <c r="F23" s="32">
        <f>IF($B23="","",IFERROR(AVERAGE(R23:V23),"-"))</f>
        <v/>
      </c>
      <c r="G23" s="32">
        <f>IF($B23="","",IFERROR(AVERAGE(W23:AA23),"-"))</f>
        <v/>
      </c>
      <c r="H23" s="32">
        <f>IF($B23="","",IFERROR(AVERAGE(AB23:AF23),"-"))</f>
        <v/>
      </c>
      <c r="I23" s="32">
        <f>IF($B23="","",IFERROR(AVERAGE(M23:AF23),"-"))</f>
        <v/>
      </c>
      <c r="J23" s="14">
        <f>IF($B23="","",IF('Registro por Sessão'!$G99="","","S1 D: "&amp;'Registro por Sessão'!$G99&amp;CHAR(10))&amp;IF('Registro por Sessão'!$K99="","","S1 F: "&amp;'Registro por Sessão'!$K99&amp;CHAR(10))&amp;IF('Registro por Sessão'!$O99="","","S1 C: "&amp;'Registro por Sessão'!$O99&amp;CHAR(10))&amp;IF('Registro por Sessão'!$S99="","","S1 P: "&amp;'Registro por Sessão'!$S99&amp;CHAR(10))&amp;IF('Registro por Sessão'!$G100="","","S2 D: "&amp;'Registro por Sessão'!$G100&amp;CHAR(10))&amp;IF('Registro por Sessão'!$K100="","","S2 F: "&amp;'Registro por Sessão'!$K100&amp;CHAR(10))&amp;IF('Registro por Sessão'!$O100="","","S2 C: "&amp;'Registro por Sessão'!$O100&amp;CHAR(10))&amp;IF('Registro por Sessão'!$S100="","","S2 P: "&amp;'Registro por Sessão'!$S100&amp;CHAR(10))&amp;IF('Registro por Sessão'!$G101="","","S3 D: "&amp;'Registro por Sessão'!$G101&amp;CHAR(10))&amp;IF('Registro por Sessão'!$K101="","","S3 F: "&amp;'Registro por Sessão'!$K101&amp;CHAR(10))&amp;IF('Registro por Sessão'!$O101="","","S3 C: "&amp;'Registro por Sessão'!$O101&amp;CHAR(10))&amp;IF('Registro por Sessão'!$S101="","","S3 P: "&amp;'Registro por Sessão'!$S101&amp;CHAR(10))&amp;IF('Registro por Sessão'!$G102="","","S4 D: "&amp;'Registro por Sessão'!$G102&amp;CHAR(10))&amp;IF('Registro por Sessão'!$K102="","","S4 F: "&amp;'Registro por Sessão'!$K102&amp;CHAR(10))&amp;IF('Registro por Sessão'!$O102="","","S4 C: "&amp;'Registro por Sessão'!$O102&amp;CHAR(10))&amp;IF('Registro por Sessão'!$S102="","","S4 P: "&amp;'Registro por Sessão'!$S102&amp;CHAR(10))&amp;IF('Registro por Sessão'!$G103="","","S5 D: "&amp;'Registro por Sessão'!$G103&amp;CHAR(10))&amp;IF('Registro por Sessão'!$K103="","","S5 F: "&amp;'Registro por Sessão'!$K103&amp;CHAR(10))&amp;IF('Registro por Sessão'!$O103="","","S5 C: "&amp;'Registro por Sessão'!$O103&amp;CHAR(10))&amp;IF('Registro por Sessão'!$S103="","","S5 P: "&amp;'Registro por Sessão'!$S103&amp;CHAR(10)))</f>
        <v/>
      </c>
      <c r="K23" s="14">
        <f>IF($B23="","",IF('Registro por Sessão'!$W99="","","S1: "&amp;'Registro por Sessão'!$W99&amp;CHAR(10))&amp;IF('Registro por Sessão'!$X99="","","S1 obs: "&amp;'Registro por Sessão'!$X99&amp;CHAR(10))&amp;IF('Registro por Sessão'!$W100="","","S2: "&amp;'Registro por Sessão'!$W100&amp;CHAR(10))&amp;IF('Registro por Sessão'!$X100="","","S2 obs: "&amp;'Registro por Sessão'!$X100&amp;CHAR(10))&amp;IF('Registro por Sessão'!$W101="","","S3: "&amp;'Registro por Sessão'!$W101&amp;CHAR(10))&amp;IF('Registro por Sessão'!$X101="","","S3 obs: "&amp;'Registro por Sessão'!$X101&amp;CHAR(10))&amp;IF('Registro por Sessão'!$W102="","","S4: "&amp;'Registro por Sessão'!$W102&amp;CHAR(10))&amp;IF('Registro por Sessão'!$X102="","","S4 obs: "&amp;'Registro por Sessão'!$X102&amp;CHAR(10))&amp;IF('Registro por Sessão'!$W103="","","S5: "&amp;'Registro por Sessão'!$W103&amp;CHAR(10))&amp;IF('Registro por Sessão'!$X103="","","S5 obs: "&amp;'Registro por Sessão'!$X103&amp;CHAR(10)))</f>
        <v/>
      </c>
      <c r="L23" s="2" t="n"/>
      <c r="M23" s="8">
        <f>IF(ISNUMBER('Registro por Sessão'!$J99),'Registro por Sessão'!$J99,"")</f>
        <v/>
      </c>
      <c r="N23" s="8">
        <f>IF(ISNUMBER('Registro por Sessão'!$J100),'Registro por Sessão'!$J100,"")</f>
        <v/>
      </c>
      <c r="O23" s="8">
        <f>IF(ISNUMBER('Registro por Sessão'!$J101),'Registro por Sessão'!$J101,"")</f>
        <v/>
      </c>
      <c r="P23" s="8">
        <f>IF(ISNUMBER('Registro por Sessão'!$J102),'Registro por Sessão'!$J102,"")</f>
        <v/>
      </c>
      <c r="Q23" s="8">
        <f>IF(ISNUMBER('Registro por Sessão'!$J103),'Registro por Sessão'!$J103,"")</f>
        <v/>
      </c>
      <c r="R23" s="8">
        <f>IF(ISNUMBER('Registro por Sessão'!$N99),'Registro por Sessão'!$N99,"")</f>
        <v/>
      </c>
      <c r="S23" s="8">
        <f>IF(ISNUMBER('Registro por Sessão'!$N100),'Registro por Sessão'!$N100,"")</f>
        <v/>
      </c>
      <c r="T23" s="8">
        <f>IF(ISNUMBER('Registro por Sessão'!$N101),'Registro por Sessão'!$N101,"")</f>
        <v/>
      </c>
      <c r="U23" s="8">
        <f>IF(ISNUMBER('Registro por Sessão'!$N102),'Registro por Sessão'!$N102,"")</f>
        <v/>
      </c>
      <c r="V23" s="8">
        <f>IF(ISNUMBER('Registro por Sessão'!$N103),'Registro por Sessão'!$N103,"")</f>
        <v/>
      </c>
      <c r="W23" s="8">
        <f>IF(ISNUMBER('Registro por Sessão'!$R99),'Registro por Sessão'!$R99,"")</f>
        <v/>
      </c>
      <c r="X23" s="8">
        <f>IF(ISNUMBER('Registro por Sessão'!$R100),'Registro por Sessão'!$R100,"")</f>
        <v/>
      </c>
      <c r="Y23" s="8">
        <f>IF(ISNUMBER('Registro por Sessão'!$R101),'Registro por Sessão'!$R101,"")</f>
        <v/>
      </c>
      <c r="Z23" s="8">
        <f>IF(ISNUMBER('Registro por Sessão'!$R102),'Registro por Sessão'!$R102,"")</f>
        <v/>
      </c>
      <c r="AA23" s="8">
        <f>IF(ISNUMBER('Registro por Sessão'!$R103),'Registro por Sessão'!$R103,"")</f>
        <v/>
      </c>
      <c r="AB23" s="8">
        <f>IF(ISNUMBER('Registro por Sessão'!$V99),'Registro por Sessão'!$V99,"")</f>
        <v/>
      </c>
      <c r="AC23" s="8">
        <f>IF(ISNUMBER('Registro por Sessão'!$V100),'Registro por Sessão'!$V100,"")</f>
        <v/>
      </c>
      <c r="AD23" s="8">
        <f>IF(ISNUMBER('Registro por Sessão'!$V101),'Registro por Sessão'!$V101,"")</f>
        <v/>
      </c>
      <c r="AE23" s="8">
        <f>IF(ISNUMBER('Registro por Sessão'!$V102),'Registro por Sessão'!$V102,"")</f>
        <v/>
      </c>
      <c r="AF23" s="8">
        <f>IF(ISNUMBER('Registro por Sessão'!$V103),'Registro por Sessão'!$V103,"")</f>
        <v/>
      </c>
    </row>
    <row r="24">
      <c r="A24" s="6">
        <f>IF($B24="","",ROW()-3)</f>
        <v/>
      </c>
      <c r="B24" s="7">
        <f>IF(Preenchimento!$B$30="","",Preenchimento!$B$30)</f>
        <v/>
      </c>
      <c r="C24" s="7">
        <f>IF($B24="","",IF(Preenchimento!$C$30="","-",Preenchimento!$C$30))</f>
        <v/>
      </c>
      <c r="D24" s="6">
        <f>IF($B24="","",IF(Preenchimento!$D$30="","-",Preenchimento!$D$30))</f>
        <v/>
      </c>
      <c r="E24" s="31">
        <f>IF($B24="","",IFERROR(AVERAGE(M24:Q24),"-"))</f>
        <v/>
      </c>
      <c r="F24" s="31">
        <f>IF($B24="","",IFERROR(AVERAGE(R24:V24),"-"))</f>
        <v/>
      </c>
      <c r="G24" s="31">
        <f>IF($B24="","",IFERROR(AVERAGE(W24:AA24),"-"))</f>
        <v/>
      </c>
      <c r="H24" s="31">
        <f>IF($B24="","",IFERROR(AVERAGE(AB24:AF24),"-"))</f>
        <v/>
      </c>
      <c r="I24" s="31">
        <f>IF($B24="","",IFERROR(AVERAGE(M24:AF24),"-"))</f>
        <v/>
      </c>
      <c r="J24" s="13">
        <f>IF($B24="","",IF('Registro por Sessão'!$G104="","","S1 D: "&amp;'Registro por Sessão'!$G104&amp;CHAR(10))&amp;IF('Registro por Sessão'!$K104="","","S1 F: "&amp;'Registro por Sessão'!$K104&amp;CHAR(10))&amp;IF('Registro por Sessão'!$O104="","","S1 C: "&amp;'Registro por Sessão'!$O104&amp;CHAR(10))&amp;IF('Registro por Sessão'!$S104="","","S1 P: "&amp;'Registro por Sessão'!$S104&amp;CHAR(10))&amp;IF('Registro por Sessão'!$G105="","","S2 D: "&amp;'Registro por Sessão'!$G105&amp;CHAR(10))&amp;IF('Registro por Sessão'!$K105="","","S2 F: "&amp;'Registro por Sessão'!$K105&amp;CHAR(10))&amp;IF('Registro por Sessão'!$O105="","","S2 C: "&amp;'Registro por Sessão'!$O105&amp;CHAR(10))&amp;IF('Registro por Sessão'!$S105="","","S2 P: "&amp;'Registro por Sessão'!$S105&amp;CHAR(10))&amp;IF('Registro por Sessão'!$G106="","","S3 D: "&amp;'Registro por Sessão'!$G106&amp;CHAR(10))&amp;IF('Registro por Sessão'!$K106="","","S3 F: "&amp;'Registro por Sessão'!$K106&amp;CHAR(10))&amp;IF('Registro por Sessão'!$O106="","","S3 C: "&amp;'Registro por Sessão'!$O106&amp;CHAR(10))&amp;IF('Registro por Sessão'!$S106="","","S3 P: "&amp;'Registro por Sessão'!$S106&amp;CHAR(10))&amp;IF('Registro por Sessão'!$G107="","","S4 D: "&amp;'Registro por Sessão'!$G107&amp;CHAR(10))&amp;IF('Registro por Sessão'!$K107="","","S4 F: "&amp;'Registro por Sessão'!$K107&amp;CHAR(10))&amp;IF('Registro por Sessão'!$O107="","","S4 C: "&amp;'Registro por Sessão'!$O107&amp;CHAR(10))&amp;IF('Registro por Sessão'!$S107="","","S4 P: "&amp;'Registro por Sessão'!$S107&amp;CHAR(10))&amp;IF('Registro por Sessão'!$G108="","","S5 D: "&amp;'Registro por Sessão'!$G108&amp;CHAR(10))&amp;IF('Registro por Sessão'!$K108="","","S5 F: "&amp;'Registro por Sessão'!$K108&amp;CHAR(10))&amp;IF('Registro por Sessão'!$O108="","","S5 C: "&amp;'Registro por Sessão'!$O108&amp;CHAR(10))&amp;IF('Registro por Sessão'!$S108="","","S5 P: "&amp;'Registro por Sessão'!$S108&amp;CHAR(10)))</f>
        <v/>
      </c>
      <c r="K24" s="13">
        <f>IF($B24="","",IF('Registro por Sessão'!$W104="","","S1: "&amp;'Registro por Sessão'!$W104&amp;CHAR(10))&amp;IF('Registro por Sessão'!$X104="","","S1 obs: "&amp;'Registro por Sessão'!$X104&amp;CHAR(10))&amp;IF('Registro por Sessão'!$W105="","","S2: "&amp;'Registro por Sessão'!$W105&amp;CHAR(10))&amp;IF('Registro por Sessão'!$X105="","","S2 obs: "&amp;'Registro por Sessão'!$X105&amp;CHAR(10))&amp;IF('Registro por Sessão'!$W106="","","S3: "&amp;'Registro por Sessão'!$W106&amp;CHAR(10))&amp;IF('Registro por Sessão'!$X106="","","S3 obs: "&amp;'Registro por Sessão'!$X106&amp;CHAR(10))&amp;IF('Registro por Sessão'!$W107="","","S4: "&amp;'Registro por Sessão'!$W107&amp;CHAR(10))&amp;IF('Registro por Sessão'!$X107="","","S4 obs: "&amp;'Registro por Sessão'!$X107&amp;CHAR(10))&amp;IF('Registro por Sessão'!$W108="","","S5: "&amp;'Registro por Sessão'!$W108&amp;CHAR(10))&amp;IF('Registro por Sessão'!$X108="","","S5 obs: "&amp;'Registro por Sessão'!$X108&amp;CHAR(10)))</f>
        <v/>
      </c>
      <c r="L24" s="2" t="n"/>
      <c r="M24" s="6">
        <f>IF(ISNUMBER('Registro por Sessão'!$J104),'Registro por Sessão'!$J104,"")</f>
        <v/>
      </c>
      <c r="N24" s="6">
        <f>IF(ISNUMBER('Registro por Sessão'!$J105),'Registro por Sessão'!$J105,"")</f>
        <v/>
      </c>
      <c r="O24" s="6">
        <f>IF(ISNUMBER('Registro por Sessão'!$J106),'Registro por Sessão'!$J106,"")</f>
        <v/>
      </c>
      <c r="P24" s="6">
        <f>IF(ISNUMBER('Registro por Sessão'!$J107),'Registro por Sessão'!$J107,"")</f>
        <v/>
      </c>
      <c r="Q24" s="6">
        <f>IF(ISNUMBER('Registro por Sessão'!$J108),'Registro por Sessão'!$J108,"")</f>
        <v/>
      </c>
      <c r="R24" s="6">
        <f>IF(ISNUMBER('Registro por Sessão'!$N104),'Registro por Sessão'!$N104,"")</f>
        <v/>
      </c>
      <c r="S24" s="6">
        <f>IF(ISNUMBER('Registro por Sessão'!$N105),'Registro por Sessão'!$N105,"")</f>
        <v/>
      </c>
      <c r="T24" s="6">
        <f>IF(ISNUMBER('Registro por Sessão'!$N106),'Registro por Sessão'!$N106,"")</f>
        <v/>
      </c>
      <c r="U24" s="6">
        <f>IF(ISNUMBER('Registro por Sessão'!$N107),'Registro por Sessão'!$N107,"")</f>
        <v/>
      </c>
      <c r="V24" s="6">
        <f>IF(ISNUMBER('Registro por Sessão'!$N108),'Registro por Sessão'!$N108,"")</f>
        <v/>
      </c>
      <c r="W24" s="6">
        <f>IF(ISNUMBER('Registro por Sessão'!$R104),'Registro por Sessão'!$R104,"")</f>
        <v/>
      </c>
      <c r="X24" s="6">
        <f>IF(ISNUMBER('Registro por Sessão'!$R105),'Registro por Sessão'!$R105,"")</f>
        <v/>
      </c>
      <c r="Y24" s="6">
        <f>IF(ISNUMBER('Registro por Sessão'!$R106),'Registro por Sessão'!$R106,"")</f>
        <v/>
      </c>
      <c r="Z24" s="6">
        <f>IF(ISNUMBER('Registro por Sessão'!$R107),'Registro por Sessão'!$R107,"")</f>
        <v/>
      </c>
      <c r="AA24" s="6">
        <f>IF(ISNUMBER('Registro por Sessão'!$R108),'Registro por Sessão'!$R108,"")</f>
        <v/>
      </c>
      <c r="AB24" s="6">
        <f>IF(ISNUMBER('Registro por Sessão'!$V104),'Registro por Sessão'!$V104,"")</f>
        <v/>
      </c>
      <c r="AC24" s="6">
        <f>IF(ISNUMBER('Registro por Sessão'!$V105),'Registro por Sessão'!$V105,"")</f>
        <v/>
      </c>
      <c r="AD24" s="6">
        <f>IF(ISNUMBER('Registro por Sessão'!$V106),'Registro por Sessão'!$V106,"")</f>
        <v/>
      </c>
      <c r="AE24" s="6">
        <f>IF(ISNUMBER('Registro por Sessão'!$V107),'Registro por Sessão'!$V107,"")</f>
        <v/>
      </c>
      <c r="AF24" s="6">
        <f>IF(ISNUMBER('Registro por Sessão'!$V108),'Registro por Sessão'!$V108,"")</f>
        <v/>
      </c>
    </row>
    <row r="25">
      <c r="A25" s="8">
        <f>IF($B25="","",ROW()-3)</f>
        <v/>
      </c>
      <c r="B25" s="9">
        <f>IF(Preenchimento!$B$31="","",Preenchimento!$B$31)</f>
        <v/>
      </c>
      <c r="C25" s="9">
        <f>IF($B25="","",IF(Preenchimento!$C$31="","-",Preenchimento!$C$31))</f>
        <v/>
      </c>
      <c r="D25" s="8">
        <f>IF($B25="","",IF(Preenchimento!$D$31="","-",Preenchimento!$D$31))</f>
        <v/>
      </c>
      <c r="E25" s="32">
        <f>IF($B25="","",IFERROR(AVERAGE(M25:Q25),"-"))</f>
        <v/>
      </c>
      <c r="F25" s="32">
        <f>IF($B25="","",IFERROR(AVERAGE(R25:V25),"-"))</f>
        <v/>
      </c>
      <c r="G25" s="32">
        <f>IF($B25="","",IFERROR(AVERAGE(W25:AA25),"-"))</f>
        <v/>
      </c>
      <c r="H25" s="32">
        <f>IF($B25="","",IFERROR(AVERAGE(AB25:AF25),"-"))</f>
        <v/>
      </c>
      <c r="I25" s="32">
        <f>IF($B25="","",IFERROR(AVERAGE(M25:AF25),"-"))</f>
        <v/>
      </c>
      <c r="J25" s="14">
        <f>IF($B25="","",IF('Registro por Sessão'!$G109="","","S1 D: "&amp;'Registro por Sessão'!$G109&amp;CHAR(10))&amp;IF('Registro por Sessão'!$K109="","","S1 F: "&amp;'Registro por Sessão'!$K109&amp;CHAR(10))&amp;IF('Registro por Sessão'!$O109="","","S1 C: "&amp;'Registro por Sessão'!$O109&amp;CHAR(10))&amp;IF('Registro por Sessão'!$S109="","","S1 P: "&amp;'Registro por Sessão'!$S109&amp;CHAR(10))&amp;IF('Registro por Sessão'!$G110="","","S2 D: "&amp;'Registro por Sessão'!$G110&amp;CHAR(10))&amp;IF('Registro por Sessão'!$K110="","","S2 F: "&amp;'Registro por Sessão'!$K110&amp;CHAR(10))&amp;IF('Registro por Sessão'!$O110="","","S2 C: "&amp;'Registro por Sessão'!$O110&amp;CHAR(10))&amp;IF('Registro por Sessão'!$S110="","","S2 P: "&amp;'Registro por Sessão'!$S110&amp;CHAR(10))&amp;IF('Registro por Sessão'!$G111="","","S3 D: "&amp;'Registro por Sessão'!$G111&amp;CHAR(10))&amp;IF('Registro por Sessão'!$K111="","","S3 F: "&amp;'Registro por Sessão'!$K111&amp;CHAR(10))&amp;IF('Registro por Sessão'!$O111="","","S3 C: "&amp;'Registro por Sessão'!$O111&amp;CHAR(10))&amp;IF('Registro por Sessão'!$S111="","","S3 P: "&amp;'Registro por Sessão'!$S111&amp;CHAR(10))&amp;IF('Registro por Sessão'!$G112="","","S4 D: "&amp;'Registro por Sessão'!$G112&amp;CHAR(10))&amp;IF('Registro por Sessão'!$K112="","","S4 F: "&amp;'Registro por Sessão'!$K112&amp;CHAR(10))&amp;IF('Registro por Sessão'!$O112="","","S4 C: "&amp;'Registro por Sessão'!$O112&amp;CHAR(10))&amp;IF('Registro por Sessão'!$S112="","","S4 P: "&amp;'Registro por Sessão'!$S112&amp;CHAR(10))&amp;IF('Registro por Sessão'!$G113="","","S5 D: "&amp;'Registro por Sessão'!$G113&amp;CHAR(10))&amp;IF('Registro por Sessão'!$K113="","","S5 F: "&amp;'Registro por Sessão'!$K113&amp;CHAR(10))&amp;IF('Registro por Sessão'!$O113="","","S5 C: "&amp;'Registro por Sessão'!$O113&amp;CHAR(10))&amp;IF('Registro por Sessão'!$S113="","","S5 P: "&amp;'Registro por Sessão'!$S113&amp;CHAR(10)))</f>
        <v/>
      </c>
      <c r="K25" s="14">
        <f>IF($B25="","",IF('Registro por Sessão'!$W109="","","S1: "&amp;'Registro por Sessão'!$W109&amp;CHAR(10))&amp;IF('Registro por Sessão'!$X109="","","S1 obs: "&amp;'Registro por Sessão'!$X109&amp;CHAR(10))&amp;IF('Registro por Sessão'!$W110="","","S2: "&amp;'Registro por Sessão'!$W110&amp;CHAR(10))&amp;IF('Registro por Sessão'!$X110="","","S2 obs: "&amp;'Registro por Sessão'!$X110&amp;CHAR(10))&amp;IF('Registro por Sessão'!$W111="","","S3: "&amp;'Registro por Sessão'!$W111&amp;CHAR(10))&amp;IF('Registro por Sessão'!$X111="","","S3 obs: "&amp;'Registro por Sessão'!$X111&amp;CHAR(10))&amp;IF('Registro por Sessão'!$W112="","","S4: "&amp;'Registro por Sessão'!$W112&amp;CHAR(10))&amp;IF('Registro por Sessão'!$X112="","","S4 obs: "&amp;'Registro por Sessão'!$X112&amp;CHAR(10))&amp;IF('Registro por Sessão'!$W113="","","S5: "&amp;'Registro por Sessão'!$W113&amp;CHAR(10))&amp;IF('Registro por Sessão'!$X113="","","S5 obs: "&amp;'Registro por Sessão'!$X113&amp;CHAR(10)))</f>
        <v/>
      </c>
      <c r="L25" s="2" t="n"/>
      <c r="M25" s="8">
        <f>IF(ISNUMBER('Registro por Sessão'!$J109),'Registro por Sessão'!$J109,"")</f>
        <v/>
      </c>
      <c r="N25" s="8">
        <f>IF(ISNUMBER('Registro por Sessão'!$J110),'Registro por Sessão'!$J110,"")</f>
        <v/>
      </c>
      <c r="O25" s="8">
        <f>IF(ISNUMBER('Registro por Sessão'!$J111),'Registro por Sessão'!$J111,"")</f>
        <v/>
      </c>
      <c r="P25" s="8">
        <f>IF(ISNUMBER('Registro por Sessão'!$J112),'Registro por Sessão'!$J112,"")</f>
        <v/>
      </c>
      <c r="Q25" s="8">
        <f>IF(ISNUMBER('Registro por Sessão'!$J113),'Registro por Sessão'!$J113,"")</f>
        <v/>
      </c>
      <c r="R25" s="8">
        <f>IF(ISNUMBER('Registro por Sessão'!$N109),'Registro por Sessão'!$N109,"")</f>
        <v/>
      </c>
      <c r="S25" s="8">
        <f>IF(ISNUMBER('Registro por Sessão'!$N110),'Registro por Sessão'!$N110,"")</f>
        <v/>
      </c>
      <c r="T25" s="8">
        <f>IF(ISNUMBER('Registro por Sessão'!$N111),'Registro por Sessão'!$N111,"")</f>
        <v/>
      </c>
      <c r="U25" s="8">
        <f>IF(ISNUMBER('Registro por Sessão'!$N112),'Registro por Sessão'!$N112,"")</f>
        <v/>
      </c>
      <c r="V25" s="8">
        <f>IF(ISNUMBER('Registro por Sessão'!$N113),'Registro por Sessão'!$N113,"")</f>
        <v/>
      </c>
      <c r="W25" s="8">
        <f>IF(ISNUMBER('Registro por Sessão'!$R109),'Registro por Sessão'!$R109,"")</f>
        <v/>
      </c>
      <c r="X25" s="8">
        <f>IF(ISNUMBER('Registro por Sessão'!$R110),'Registro por Sessão'!$R110,"")</f>
        <v/>
      </c>
      <c r="Y25" s="8">
        <f>IF(ISNUMBER('Registro por Sessão'!$R111),'Registro por Sessão'!$R111,"")</f>
        <v/>
      </c>
      <c r="Z25" s="8">
        <f>IF(ISNUMBER('Registro por Sessão'!$R112),'Registro por Sessão'!$R112,"")</f>
        <v/>
      </c>
      <c r="AA25" s="8">
        <f>IF(ISNUMBER('Registro por Sessão'!$R113),'Registro por Sessão'!$R113,"")</f>
        <v/>
      </c>
      <c r="AB25" s="8">
        <f>IF(ISNUMBER('Registro por Sessão'!$V109),'Registro por Sessão'!$V109,"")</f>
        <v/>
      </c>
      <c r="AC25" s="8">
        <f>IF(ISNUMBER('Registro por Sessão'!$V110),'Registro por Sessão'!$V110,"")</f>
        <v/>
      </c>
      <c r="AD25" s="8">
        <f>IF(ISNUMBER('Registro por Sessão'!$V111),'Registro por Sessão'!$V111,"")</f>
        <v/>
      </c>
      <c r="AE25" s="8">
        <f>IF(ISNUMBER('Registro por Sessão'!$V112),'Registro por Sessão'!$V112,"")</f>
        <v/>
      </c>
      <c r="AF25" s="8">
        <f>IF(ISNUMBER('Registro por Sessão'!$V113),'Registro por Sessão'!$V113,"")</f>
        <v/>
      </c>
    </row>
    <row r="26">
      <c r="A26" s="6">
        <f>IF($B26="","",ROW()-3)</f>
        <v/>
      </c>
      <c r="B26" s="7">
        <f>IF(Preenchimento!$B$32="","",Preenchimento!$B$32)</f>
        <v/>
      </c>
      <c r="C26" s="7">
        <f>IF($B26="","",IF(Preenchimento!$C$32="","-",Preenchimento!$C$32))</f>
        <v/>
      </c>
      <c r="D26" s="6">
        <f>IF($B26="","",IF(Preenchimento!$D$32="","-",Preenchimento!$D$32))</f>
        <v/>
      </c>
      <c r="E26" s="31">
        <f>IF($B26="","",IFERROR(AVERAGE(M26:Q26),"-"))</f>
        <v/>
      </c>
      <c r="F26" s="31">
        <f>IF($B26="","",IFERROR(AVERAGE(R26:V26),"-"))</f>
        <v/>
      </c>
      <c r="G26" s="31">
        <f>IF($B26="","",IFERROR(AVERAGE(W26:AA26),"-"))</f>
        <v/>
      </c>
      <c r="H26" s="31">
        <f>IF($B26="","",IFERROR(AVERAGE(AB26:AF26),"-"))</f>
        <v/>
      </c>
      <c r="I26" s="31">
        <f>IF($B26="","",IFERROR(AVERAGE(M26:AF26),"-"))</f>
        <v/>
      </c>
      <c r="J26" s="13">
        <f>IF($B26="","",IF('Registro por Sessão'!$G114="","","S1 D: "&amp;'Registro por Sessão'!$G114&amp;CHAR(10))&amp;IF('Registro por Sessão'!$K114="","","S1 F: "&amp;'Registro por Sessão'!$K114&amp;CHAR(10))&amp;IF('Registro por Sessão'!$O114="","","S1 C: "&amp;'Registro por Sessão'!$O114&amp;CHAR(10))&amp;IF('Registro por Sessão'!$S114="","","S1 P: "&amp;'Registro por Sessão'!$S114&amp;CHAR(10))&amp;IF('Registro por Sessão'!$G115="","","S2 D: "&amp;'Registro por Sessão'!$G115&amp;CHAR(10))&amp;IF('Registro por Sessão'!$K115="","","S2 F: "&amp;'Registro por Sessão'!$K115&amp;CHAR(10))&amp;IF('Registro por Sessão'!$O115="","","S2 C: "&amp;'Registro por Sessão'!$O115&amp;CHAR(10))&amp;IF('Registro por Sessão'!$S115="","","S2 P: "&amp;'Registro por Sessão'!$S115&amp;CHAR(10))&amp;IF('Registro por Sessão'!$G116="","","S3 D: "&amp;'Registro por Sessão'!$G116&amp;CHAR(10))&amp;IF('Registro por Sessão'!$K116="","","S3 F: "&amp;'Registro por Sessão'!$K116&amp;CHAR(10))&amp;IF('Registro por Sessão'!$O116="","","S3 C: "&amp;'Registro por Sessão'!$O116&amp;CHAR(10))&amp;IF('Registro por Sessão'!$S116="","","S3 P: "&amp;'Registro por Sessão'!$S116&amp;CHAR(10))&amp;IF('Registro por Sessão'!$G117="","","S4 D: "&amp;'Registro por Sessão'!$G117&amp;CHAR(10))&amp;IF('Registro por Sessão'!$K117="","","S4 F: "&amp;'Registro por Sessão'!$K117&amp;CHAR(10))&amp;IF('Registro por Sessão'!$O117="","","S4 C: "&amp;'Registro por Sessão'!$O117&amp;CHAR(10))&amp;IF('Registro por Sessão'!$S117="","","S4 P: "&amp;'Registro por Sessão'!$S117&amp;CHAR(10))&amp;IF('Registro por Sessão'!$G118="","","S5 D: "&amp;'Registro por Sessão'!$G118&amp;CHAR(10))&amp;IF('Registro por Sessão'!$K118="","","S5 F: "&amp;'Registro por Sessão'!$K118&amp;CHAR(10))&amp;IF('Registro por Sessão'!$O118="","","S5 C: "&amp;'Registro por Sessão'!$O118&amp;CHAR(10))&amp;IF('Registro por Sessão'!$S118="","","S5 P: "&amp;'Registro por Sessão'!$S118&amp;CHAR(10)))</f>
        <v/>
      </c>
      <c r="K26" s="13">
        <f>IF($B26="","",IF('Registro por Sessão'!$W114="","","S1: "&amp;'Registro por Sessão'!$W114&amp;CHAR(10))&amp;IF('Registro por Sessão'!$X114="","","S1 obs: "&amp;'Registro por Sessão'!$X114&amp;CHAR(10))&amp;IF('Registro por Sessão'!$W115="","","S2: "&amp;'Registro por Sessão'!$W115&amp;CHAR(10))&amp;IF('Registro por Sessão'!$X115="","","S2 obs: "&amp;'Registro por Sessão'!$X115&amp;CHAR(10))&amp;IF('Registro por Sessão'!$W116="","","S3: "&amp;'Registro por Sessão'!$W116&amp;CHAR(10))&amp;IF('Registro por Sessão'!$X116="","","S3 obs: "&amp;'Registro por Sessão'!$X116&amp;CHAR(10))&amp;IF('Registro por Sessão'!$W117="","","S4: "&amp;'Registro por Sessão'!$W117&amp;CHAR(10))&amp;IF('Registro por Sessão'!$X117="","","S4 obs: "&amp;'Registro por Sessão'!$X117&amp;CHAR(10))&amp;IF('Registro por Sessão'!$W118="","","S5: "&amp;'Registro por Sessão'!$W118&amp;CHAR(10))&amp;IF('Registro por Sessão'!$X118="","","S5 obs: "&amp;'Registro por Sessão'!$X118&amp;CHAR(10)))</f>
        <v/>
      </c>
      <c r="L26" s="2" t="n"/>
      <c r="M26" s="6">
        <f>IF(ISNUMBER('Registro por Sessão'!$J114),'Registro por Sessão'!$J114,"")</f>
        <v/>
      </c>
      <c r="N26" s="6">
        <f>IF(ISNUMBER('Registro por Sessão'!$J115),'Registro por Sessão'!$J115,"")</f>
        <v/>
      </c>
      <c r="O26" s="6">
        <f>IF(ISNUMBER('Registro por Sessão'!$J116),'Registro por Sessão'!$J116,"")</f>
        <v/>
      </c>
      <c r="P26" s="6">
        <f>IF(ISNUMBER('Registro por Sessão'!$J117),'Registro por Sessão'!$J117,"")</f>
        <v/>
      </c>
      <c r="Q26" s="6">
        <f>IF(ISNUMBER('Registro por Sessão'!$J118),'Registro por Sessão'!$J118,"")</f>
        <v/>
      </c>
      <c r="R26" s="6">
        <f>IF(ISNUMBER('Registro por Sessão'!$N114),'Registro por Sessão'!$N114,"")</f>
        <v/>
      </c>
      <c r="S26" s="6">
        <f>IF(ISNUMBER('Registro por Sessão'!$N115),'Registro por Sessão'!$N115,"")</f>
        <v/>
      </c>
      <c r="T26" s="6">
        <f>IF(ISNUMBER('Registro por Sessão'!$N116),'Registro por Sessão'!$N116,"")</f>
        <v/>
      </c>
      <c r="U26" s="6">
        <f>IF(ISNUMBER('Registro por Sessão'!$N117),'Registro por Sessão'!$N117,"")</f>
        <v/>
      </c>
      <c r="V26" s="6">
        <f>IF(ISNUMBER('Registro por Sessão'!$N118),'Registro por Sessão'!$N118,"")</f>
        <v/>
      </c>
      <c r="W26" s="6">
        <f>IF(ISNUMBER('Registro por Sessão'!$R114),'Registro por Sessão'!$R114,"")</f>
        <v/>
      </c>
      <c r="X26" s="6">
        <f>IF(ISNUMBER('Registro por Sessão'!$R115),'Registro por Sessão'!$R115,"")</f>
        <v/>
      </c>
      <c r="Y26" s="6">
        <f>IF(ISNUMBER('Registro por Sessão'!$R116),'Registro por Sessão'!$R116,"")</f>
        <v/>
      </c>
      <c r="Z26" s="6">
        <f>IF(ISNUMBER('Registro por Sessão'!$R117),'Registro por Sessão'!$R117,"")</f>
        <v/>
      </c>
      <c r="AA26" s="6">
        <f>IF(ISNUMBER('Registro por Sessão'!$R118),'Registro por Sessão'!$R118,"")</f>
        <v/>
      </c>
      <c r="AB26" s="6">
        <f>IF(ISNUMBER('Registro por Sessão'!$V114),'Registro por Sessão'!$V114,"")</f>
        <v/>
      </c>
      <c r="AC26" s="6">
        <f>IF(ISNUMBER('Registro por Sessão'!$V115),'Registro por Sessão'!$V115,"")</f>
        <v/>
      </c>
      <c r="AD26" s="6">
        <f>IF(ISNUMBER('Registro por Sessão'!$V116),'Registro por Sessão'!$V116,"")</f>
        <v/>
      </c>
      <c r="AE26" s="6">
        <f>IF(ISNUMBER('Registro por Sessão'!$V117),'Registro por Sessão'!$V117,"")</f>
        <v/>
      </c>
      <c r="AF26" s="6">
        <f>IF(ISNUMBER('Registro por Sessão'!$V118),'Registro por Sessão'!$V118,"")</f>
        <v/>
      </c>
    </row>
    <row r="27">
      <c r="A27" s="8">
        <f>IF($B27="","",ROW()-3)</f>
        <v/>
      </c>
      <c r="B27" s="9">
        <f>IF(Preenchimento!$B$33="","",Preenchimento!$B$33)</f>
        <v/>
      </c>
      <c r="C27" s="9">
        <f>IF($B27="","",IF(Preenchimento!$C$33="","-",Preenchimento!$C$33))</f>
        <v/>
      </c>
      <c r="D27" s="8">
        <f>IF($B27="","",IF(Preenchimento!$D$33="","-",Preenchimento!$D$33))</f>
        <v/>
      </c>
      <c r="E27" s="32">
        <f>IF($B27="","",IFERROR(AVERAGE(M27:Q27),"-"))</f>
        <v/>
      </c>
      <c r="F27" s="32">
        <f>IF($B27="","",IFERROR(AVERAGE(R27:V27),"-"))</f>
        <v/>
      </c>
      <c r="G27" s="32">
        <f>IF($B27="","",IFERROR(AVERAGE(W27:AA27),"-"))</f>
        <v/>
      </c>
      <c r="H27" s="32">
        <f>IF($B27="","",IFERROR(AVERAGE(AB27:AF27),"-"))</f>
        <v/>
      </c>
      <c r="I27" s="32">
        <f>IF($B27="","",IFERROR(AVERAGE(M27:AF27),"-"))</f>
        <v/>
      </c>
      <c r="J27" s="14">
        <f>IF($B27="","",IF('Registro por Sessão'!$G119="","","S1 D: "&amp;'Registro por Sessão'!$G119&amp;CHAR(10))&amp;IF('Registro por Sessão'!$K119="","","S1 F: "&amp;'Registro por Sessão'!$K119&amp;CHAR(10))&amp;IF('Registro por Sessão'!$O119="","","S1 C: "&amp;'Registro por Sessão'!$O119&amp;CHAR(10))&amp;IF('Registro por Sessão'!$S119="","","S1 P: "&amp;'Registro por Sessão'!$S119&amp;CHAR(10))&amp;IF('Registro por Sessão'!$G120="","","S2 D: "&amp;'Registro por Sessão'!$G120&amp;CHAR(10))&amp;IF('Registro por Sessão'!$K120="","","S2 F: "&amp;'Registro por Sessão'!$K120&amp;CHAR(10))&amp;IF('Registro por Sessão'!$O120="","","S2 C: "&amp;'Registro por Sessão'!$O120&amp;CHAR(10))&amp;IF('Registro por Sessão'!$S120="","","S2 P: "&amp;'Registro por Sessão'!$S120&amp;CHAR(10))&amp;IF('Registro por Sessão'!$G121="","","S3 D: "&amp;'Registro por Sessão'!$G121&amp;CHAR(10))&amp;IF('Registro por Sessão'!$K121="","","S3 F: "&amp;'Registro por Sessão'!$K121&amp;CHAR(10))&amp;IF('Registro por Sessão'!$O121="","","S3 C: "&amp;'Registro por Sessão'!$O121&amp;CHAR(10))&amp;IF('Registro por Sessão'!$S121="","","S3 P: "&amp;'Registro por Sessão'!$S121&amp;CHAR(10))&amp;IF('Registro por Sessão'!$G122="","","S4 D: "&amp;'Registro por Sessão'!$G122&amp;CHAR(10))&amp;IF('Registro por Sessão'!$K122="","","S4 F: "&amp;'Registro por Sessão'!$K122&amp;CHAR(10))&amp;IF('Registro por Sessão'!$O122="","","S4 C: "&amp;'Registro por Sessão'!$O122&amp;CHAR(10))&amp;IF('Registro por Sessão'!$S122="","","S4 P: "&amp;'Registro por Sessão'!$S122&amp;CHAR(10))&amp;IF('Registro por Sessão'!$G123="","","S5 D: "&amp;'Registro por Sessão'!$G123&amp;CHAR(10))&amp;IF('Registro por Sessão'!$K123="","","S5 F: "&amp;'Registro por Sessão'!$K123&amp;CHAR(10))&amp;IF('Registro por Sessão'!$O123="","","S5 C: "&amp;'Registro por Sessão'!$O123&amp;CHAR(10))&amp;IF('Registro por Sessão'!$S123="","","S5 P: "&amp;'Registro por Sessão'!$S123&amp;CHAR(10)))</f>
        <v/>
      </c>
      <c r="K27" s="14">
        <f>IF($B27="","",IF('Registro por Sessão'!$W119="","","S1: "&amp;'Registro por Sessão'!$W119&amp;CHAR(10))&amp;IF('Registro por Sessão'!$X119="","","S1 obs: "&amp;'Registro por Sessão'!$X119&amp;CHAR(10))&amp;IF('Registro por Sessão'!$W120="","","S2: "&amp;'Registro por Sessão'!$W120&amp;CHAR(10))&amp;IF('Registro por Sessão'!$X120="","","S2 obs: "&amp;'Registro por Sessão'!$X120&amp;CHAR(10))&amp;IF('Registro por Sessão'!$W121="","","S3: "&amp;'Registro por Sessão'!$W121&amp;CHAR(10))&amp;IF('Registro por Sessão'!$X121="","","S3 obs: "&amp;'Registro por Sessão'!$X121&amp;CHAR(10))&amp;IF('Registro por Sessão'!$W122="","","S4: "&amp;'Registro por Sessão'!$W122&amp;CHAR(10))&amp;IF('Registro por Sessão'!$X122="","","S4 obs: "&amp;'Registro por Sessão'!$X122&amp;CHAR(10))&amp;IF('Registro por Sessão'!$W123="","","S5: "&amp;'Registro por Sessão'!$W123&amp;CHAR(10))&amp;IF('Registro por Sessão'!$X123="","","S5 obs: "&amp;'Registro por Sessão'!$X123&amp;CHAR(10)))</f>
        <v/>
      </c>
      <c r="L27" s="2" t="n"/>
      <c r="M27" s="8">
        <f>IF(ISNUMBER('Registro por Sessão'!$J119),'Registro por Sessão'!$J119,"")</f>
        <v/>
      </c>
      <c r="N27" s="8">
        <f>IF(ISNUMBER('Registro por Sessão'!$J120),'Registro por Sessão'!$J120,"")</f>
        <v/>
      </c>
      <c r="O27" s="8">
        <f>IF(ISNUMBER('Registro por Sessão'!$J121),'Registro por Sessão'!$J121,"")</f>
        <v/>
      </c>
      <c r="P27" s="8">
        <f>IF(ISNUMBER('Registro por Sessão'!$J122),'Registro por Sessão'!$J122,"")</f>
        <v/>
      </c>
      <c r="Q27" s="8">
        <f>IF(ISNUMBER('Registro por Sessão'!$J123),'Registro por Sessão'!$J123,"")</f>
        <v/>
      </c>
      <c r="R27" s="8">
        <f>IF(ISNUMBER('Registro por Sessão'!$N119),'Registro por Sessão'!$N119,"")</f>
        <v/>
      </c>
      <c r="S27" s="8">
        <f>IF(ISNUMBER('Registro por Sessão'!$N120),'Registro por Sessão'!$N120,"")</f>
        <v/>
      </c>
      <c r="T27" s="8">
        <f>IF(ISNUMBER('Registro por Sessão'!$N121),'Registro por Sessão'!$N121,"")</f>
        <v/>
      </c>
      <c r="U27" s="8">
        <f>IF(ISNUMBER('Registro por Sessão'!$N122),'Registro por Sessão'!$N122,"")</f>
        <v/>
      </c>
      <c r="V27" s="8">
        <f>IF(ISNUMBER('Registro por Sessão'!$N123),'Registro por Sessão'!$N123,"")</f>
        <v/>
      </c>
      <c r="W27" s="8">
        <f>IF(ISNUMBER('Registro por Sessão'!$R119),'Registro por Sessão'!$R119,"")</f>
        <v/>
      </c>
      <c r="X27" s="8">
        <f>IF(ISNUMBER('Registro por Sessão'!$R120),'Registro por Sessão'!$R120,"")</f>
        <v/>
      </c>
      <c r="Y27" s="8">
        <f>IF(ISNUMBER('Registro por Sessão'!$R121),'Registro por Sessão'!$R121,"")</f>
        <v/>
      </c>
      <c r="Z27" s="8">
        <f>IF(ISNUMBER('Registro por Sessão'!$R122),'Registro por Sessão'!$R122,"")</f>
        <v/>
      </c>
      <c r="AA27" s="8">
        <f>IF(ISNUMBER('Registro por Sessão'!$R123),'Registro por Sessão'!$R123,"")</f>
        <v/>
      </c>
      <c r="AB27" s="8">
        <f>IF(ISNUMBER('Registro por Sessão'!$V119),'Registro por Sessão'!$V119,"")</f>
        <v/>
      </c>
      <c r="AC27" s="8">
        <f>IF(ISNUMBER('Registro por Sessão'!$V120),'Registro por Sessão'!$V120,"")</f>
        <v/>
      </c>
      <c r="AD27" s="8">
        <f>IF(ISNUMBER('Registro por Sessão'!$V121),'Registro por Sessão'!$V121,"")</f>
        <v/>
      </c>
      <c r="AE27" s="8">
        <f>IF(ISNUMBER('Registro por Sessão'!$V122),'Registro por Sessão'!$V122,"")</f>
        <v/>
      </c>
      <c r="AF27" s="8">
        <f>IF(ISNUMBER('Registro por Sessão'!$V123),'Registro por Sessão'!$V123,"")</f>
        <v/>
      </c>
    </row>
    <row r="28">
      <c r="A28" s="6">
        <f>IF($B28="","",ROW()-3)</f>
        <v/>
      </c>
      <c r="B28" s="7">
        <f>IF(Preenchimento!$B$34="","",Preenchimento!$B$34)</f>
        <v/>
      </c>
      <c r="C28" s="7">
        <f>IF($B28="","",IF(Preenchimento!$C$34="","-",Preenchimento!$C$34))</f>
        <v/>
      </c>
      <c r="D28" s="6">
        <f>IF($B28="","",IF(Preenchimento!$D$34="","-",Preenchimento!$D$34))</f>
        <v/>
      </c>
      <c r="E28" s="31">
        <f>IF($B28="","",IFERROR(AVERAGE(M28:Q28),"-"))</f>
        <v/>
      </c>
      <c r="F28" s="31">
        <f>IF($B28="","",IFERROR(AVERAGE(R28:V28),"-"))</f>
        <v/>
      </c>
      <c r="G28" s="31">
        <f>IF($B28="","",IFERROR(AVERAGE(W28:AA28),"-"))</f>
        <v/>
      </c>
      <c r="H28" s="31">
        <f>IF($B28="","",IFERROR(AVERAGE(AB28:AF28),"-"))</f>
        <v/>
      </c>
      <c r="I28" s="31">
        <f>IF($B28="","",IFERROR(AVERAGE(M28:AF28),"-"))</f>
        <v/>
      </c>
      <c r="J28" s="13">
        <f>IF($B28="","",IF('Registro por Sessão'!$G124="","","S1 D: "&amp;'Registro por Sessão'!$G124&amp;CHAR(10))&amp;IF('Registro por Sessão'!$K124="","","S1 F: "&amp;'Registro por Sessão'!$K124&amp;CHAR(10))&amp;IF('Registro por Sessão'!$O124="","","S1 C: "&amp;'Registro por Sessão'!$O124&amp;CHAR(10))&amp;IF('Registro por Sessão'!$S124="","","S1 P: "&amp;'Registro por Sessão'!$S124&amp;CHAR(10))&amp;IF('Registro por Sessão'!$G125="","","S2 D: "&amp;'Registro por Sessão'!$G125&amp;CHAR(10))&amp;IF('Registro por Sessão'!$K125="","","S2 F: "&amp;'Registro por Sessão'!$K125&amp;CHAR(10))&amp;IF('Registro por Sessão'!$O125="","","S2 C: "&amp;'Registro por Sessão'!$O125&amp;CHAR(10))&amp;IF('Registro por Sessão'!$S125="","","S2 P: "&amp;'Registro por Sessão'!$S125&amp;CHAR(10))&amp;IF('Registro por Sessão'!$G126="","","S3 D: "&amp;'Registro por Sessão'!$G126&amp;CHAR(10))&amp;IF('Registro por Sessão'!$K126="","","S3 F: "&amp;'Registro por Sessão'!$K126&amp;CHAR(10))&amp;IF('Registro por Sessão'!$O126="","","S3 C: "&amp;'Registro por Sessão'!$O126&amp;CHAR(10))&amp;IF('Registro por Sessão'!$S126="","","S3 P: "&amp;'Registro por Sessão'!$S126&amp;CHAR(10))&amp;IF('Registro por Sessão'!$G127="","","S4 D: "&amp;'Registro por Sessão'!$G127&amp;CHAR(10))&amp;IF('Registro por Sessão'!$K127="","","S4 F: "&amp;'Registro por Sessão'!$K127&amp;CHAR(10))&amp;IF('Registro por Sessão'!$O127="","","S4 C: "&amp;'Registro por Sessão'!$O127&amp;CHAR(10))&amp;IF('Registro por Sessão'!$S127="","","S4 P: "&amp;'Registro por Sessão'!$S127&amp;CHAR(10))&amp;IF('Registro por Sessão'!$G128="","","S5 D: "&amp;'Registro por Sessão'!$G128&amp;CHAR(10))&amp;IF('Registro por Sessão'!$K128="","","S5 F: "&amp;'Registro por Sessão'!$K128&amp;CHAR(10))&amp;IF('Registro por Sessão'!$O128="","","S5 C: "&amp;'Registro por Sessão'!$O128&amp;CHAR(10))&amp;IF('Registro por Sessão'!$S128="","","S5 P: "&amp;'Registro por Sessão'!$S128&amp;CHAR(10)))</f>
        <v/>
      </c>
      <c r="K28" s="13">
        <f>IF($B28="","",IF('Registro por Sessão'!$W124="","","S1: "&amp;'Registro por Sessão'!$W124&amp;CHAR(10))&amp;IF('Registro por Sessão'!$X124="","","S1 obs: "&amp;'Registro por Sessão'!$X124&amp;CHAR(10))&amp;IF('Registro por Sessão'!$W125="","","S2: "&amp;'Registro por Sessão'!$W125&amp;CHAR(10))&amp;IF('Registro por Sessão'!$X125="","","S2 obs: "&amp;'Registro por Sessão'!$X125&amp;CHAR(10))&amp;IF('Registro por Sessão'!$W126="","","S3: "&amp;'Registro por Sessão'!$W126&amp;CHAR(10))&amp;IF('Registro por Sessão'!$X126="","","S3 obs: "&amp;'Registro por Sessão'!$X126&amp;CHAR(10))&amp;IF('Registro por Sessão'!$W127="","","S4: "&amp;'Registro por Sessão'!$W127&amp;CHAR(10))&amp;IF('Registro por Sessão'!$X127="","","S4 obs: "&amp;'Registro por Sessão'!$X127&amp;CHAR(10))&amp;IF('Registro por Sessão'!$W128="","","S5: "&amp;'Registro por Sessão'!$W128&amp;CHAR(10))&amp;IF('Registro por Sessão'!$X128="","","S5 obs: "&amp;'Registro por Sessão'!$X128&amp;CHAR(10)))</f>
        <v/>
      </c>
      <c r="L28" s="2" t="n"/>
      <c r="M28" s="6">
        <f>IF(ISNUMBER('Registro por Sessão'!$J124),'Registro por Sessão'!$J124,"")</f>
        <v/>
      </c>
      <c r="N28" s="6">
        <f>IF(ISNUMBER('Registro por Sessão'!$J125),'Registro por Sessão'!$J125,"")</f>
        <v/>
      </c>
      <c r="O28" s="6">
        <f>IF(ISNUMBER('Registro por Sessão'!$J126),'Registro por Sessão'!$J126,"")</f>
        <v/>
      </c>
      <c r="P28" s="6">
        <f>IF(ISNUMBER('Registro por Sessão'!$J127),'Registro por Sessão'!$J127,"")</f>
        <v/>
      </c>
      <c r="Q28" s="6">
        <f>IF(ISNUMBER('Registro por Sessão'!$J128),'Registro por Sessão'!$J128,"")</f>
        <v/>
      </c>
      <c r="R28" s="6">
        <f>IF(ISNUMBER('Registro por Sessão'!$N124),'Registro por Sessão'!$N124,"")</f>
        <v/>
      </c>
      <c r="S28" s="6">
        <f>IF(ISNUMBER('Registro por Sessão'!$N125),'Registro por Sessão'!$N125,"")</f>
        <v/>
      </c>
      <c r="T28" s="6">
        <f>IF(ISNUMBER('Registro por Sessão'!$N126),'Registro por Sessão'!$N126,"")</f>
        <v/>
      </c>
      <c r="U28" s="6">
        <f>IF(ISNUMBER('Registro por Sessão'!$N127),'Registro por Sessão'!$N127,"")</f>
        <v/>
      </c>
      <c r="V28" s="6">
        <f>IF(ISNUMBER('Registro por Sessão'!$N128),'Registro por Sessão'!$N128,"")</f>
        <v/>
      </c>
      <c r="W28" s="6">
        <f>IF(ISNUMBER('Registro por Sessão'!$R124),'Registro por Sessão'!$R124,"")</f>
        <v/>
      </c>
      <c r="X28" s="6">
        <f>IF(ISNUMBER('Registro por Sessão'!$R125),'Registro por Sessão'!$R125,"")</f>
        <v/>
      </c>
      <c r="Y28" s="6">
        <f>IF(ISNUMBER('Registro por Sessão'!$R126),'Registro por Sessão'!$R126,"")</f>
        <v/>
      </c>
      <c r="Z28" s="6">
        <f>IF(ISNUMBER('Registro por Sessão'!$R127),'Registro por Sessão'!$R127,"")</f>
        <v/>
      </c>
      <c r="AA28" s="6">
        <f>IF(ISNUMBER('Registro por Sessão'!$R128),'Registro por Sessão'!$R128,"")</f>
        <v/>
      </c>
      <c r="AB28" s="6">
        <f>IF(ISNUMBER('Registro por Sessão'!$V124),'Registro por Sessão'!$V124,"")</f>
        <v/>
      </c>
      <c r="AC28" s="6">
        <f>IF(ISNUMBER('Registro por Sessão'!$V125),'Registro por Sessão'!$V125,"")</f>
        <v/>
      </c>
      <c r="AD28" s="6">
        <f>IF(ISNUMBER('Registro por Sessão'!$V126),'Registro por Sessão'!$V126,"")</f>
        <v/>
      </c>
      <c r="AE28" s="6">
        <f>IF(ISNUMBER('Registro por Sessão'!$V127),'Registro por Sessão'!$V127,"")</f>
        <v/>
      </c>
      <c r="AF28" s="6">
        <f>IF(ISNUMBER('Registro por Sessão'!$V128),'Registro por Sessão'!$V128,"")</f>
        <v/>
      </c>
    </row>
    <row r="29">
      <c r="A29" s="8">
        <f>IF($B29="","",ROW()-3)</f>
        <v/>
      </c>
      <c r="B29" s="9">
        <f>IF(Preenchimento!$B$35="","",Preenchimento!$B$35)</f>
        <v/>
      </c>
      <c r="C29" s="9">
        <f>IF($B29="","",IF(Preenchimento!$C$35="","-",Preenchimento!$C$35))</f>
        <v/>
      </c>
      <c r="D29" s="8">
        <f>IF($B29="","",IF(Preenchimento!$D$35="","-",Preenchimento!$D$35))</f>
        <v/>
      </c>
      <c r="E29" s="32">
        <f>IF($B29="","",IFERROR(AVERAGE(M29:Q29),"-"))</f>
        <v/>
      </c>
      <c r="F29" s="32">
        <f>IF($B29="","",IFERROR(AVERAGE(R29:V29),"-"))</f>
        <v/>
      </c>
      <c r="G29" s="32">
        <f>IF($B29="","",IFERROR(AVERAGE(W29:AA29),"-"))</f>
        <v/>
      </c>
      <c r="H29" s="32">
        <f>IF($B29="","",IFERROR(AVERAGE(AB29:AF29),"-"))</f>
        <v/>
      </c>
      <c r="I29" s="32">
        <f>IF($B29="","",IFERROR(AVERAGE(M29:AF29),"-"))</f>
        <v/>
      </c>
      <c r="J29" s="14">
        <f>IF($B29="","",IF('Registro por Sessão'!$G129="","","S1 D: "&amp;'Registro por Sessão'!$G129&amp;CHAR(10))&amp;IF('Registro por Sessão'!$K129="","","S1 F: "&amp;'Registro por Sessão'!$K129&amp;CHAR(10))&amp;IF('Registro por Sessão'!$O129="","","S1 C: "&amp;'Registro por Sessão'!$O129&amp;CHAR(10))&amp;IF('Registro por Sessão'!$S129="","","S1 P: "&amp;'Registro por Sessão'!$S129&amp;CHAR(10))&amp;IF('Registro por Sessão'!$G130="","","S2 D: "&amp;'Registro por Sessão'!$G130&amp;CHAR(10))&amp;IF('Registro por Sessão'!$K130="","","S2 F: "&amp;'Registro por Sessão'!$K130&amp;CHAR(10))&amp;IF('Registro por Sessão'!$O130="","","S2 C: "&amp;'Registro por Sessão'!$O130&amp;CHAR(10))&amp;IF('Registro por Sessão'!$S130="","","S2 P: "&amp;'Registro por Sessão'!$S130&amp;CHAR(10))&amp;IF('Registro por Sessão'!$G131="","","S3 D: "&amp;'Registro por Sessão'!$G131&amp;CHAR(10))&amp;IF('Registro por Sessão'!$K131="","","S3 F: "&amp;'Registro por Sessão'!$K131&amp;CHAR(10))&amp;IF('Registro por Sessão'!$O131="","","S3 C: "&amp;'Registro por Sessão'!$O131&amp;CHAR(10))&amp;IF('Registro por Sessão'!$S131="","","S3 P: "&amp;'Registro por Sessão'!$S131&amp;CHAR(10))&amp;IF('Registro por Sessão'!$G132="","","S4 D: "&amp;'Registro por Sessão'!$G132&amp;CHAR(10))&amp;IF('Registro por Sessão'!$K132="","","S4 F: "&amp;'Registro por Sessão'!$K132&amp;CHAR(10))&amp;IF('Registro por Sessão'!$O132="","","S4 C: "&amp;'Registro por Sessão'!$O132&amp;CHAR(10))&amp;IF('Registro por Sessão'!$S132="","","S4 P: "&amp;'Registro por Sessão'!$S132&amp;CHAR(10))&amp;IF('Registro por Sessão'!$G133="","","S5 D: "&amp;'Registro por Sessão'!$G133&amp;CHAR(10))&amp;IF('Registro por Sessão'!$K133="","","S5 F: "&amp;'Registro por Sessão'!$K133&amp;CHAR(10))&amp;IF('Registro por Sessão'!$O133="","","S5 C: "&amp;'Registro por Sessão'!$O133&amp;CHAR(10))&amp;IF('Registro por Sessão'!$S133="","","S5 P: "&amp;'Registro por Sessão'!$S133&amp;CHAR(10)))</f>
        <v/>
      </c>
      <c r="K29" s="14">
        <f>IF($B29="","",IF('Registro por Sessão'!$W129="","","S1: "&amp;'Registro por Sessão'!$W129&amp;CHAR(10))&amp;IF('Registro por Sessão'!$X129="","","S1 obs: "&amp;'Registro por Sessão'!$X129&amp;CHAR(10))&amp;IF('Registro por Sessão'!$W130="","","S2: "&amp;'Registro por Sessão'!$W130&amp;CHAR(10))&amp;IF('Registro por Sessão'!$X130="","","S2 obs: "&amp;'Registro por Sessão'!$X130&amp;CHAR(10))&amp;IF('Registro por Sessão'!$W131="","","S3: "&amp;'Registro por Sessão'!$W131&amp;CHAR(10))&amp;IF('Registro por Sessão'!$X131="","","S3 obs: "&amp;'Registro por Sessão'!$X131&amp;CHAR(10))&amp;IF('Registro por Sessão'!$W132="","","S4: "&amp;'Registro por Sessão'!$W132&amp;CHAR(10))&amp;IF('Registro por Sessão'!$X132="","","S4 obs: "&amp;'Registro por Sessão'!$X132&amp;CHAR(10))&amp;IF('Registro por Sessão'!$W133="","","S5: "&amp;'Registro por Sessão'!$W133&amp;CHAR(10))&amp;IF('Registro por Sessão'!$X133="","","S5 obs: "&amp;'Registro por Sessão'!$X133&amp;CHAR(10)))</f>
        <v/>
      </c>
      <c r="L29" s="2" t="n"/>
      <c r="M29" s="8">
        <f>IF(ISNUMBER('Registro por Sessão'!$J129),'Registro por Sessão'!$J129,"")</f>
        <v/>
      </c>
      <c r="N29" s="8">
        <f>IF(ISNUMBER('Registro por Sessão'!$J130),'Registro por Sessão'!$J130,"")</f>
        <v/>
      </c>
      <c r="O29" s="8">
        <f>IF(ISNUMBER('Registro por Sessão'!$J131),'Registro por Sessão'!$J131,"")</f>
        <v/>
      </c>
      <c r="P29" s="8">
        <f>IF(ISNUMBER('Registro por Sessão'!$J132),'Registro por Sessão'!$J132,"")</f>
        <v/>
      </c>
      <c r="Q29" s="8">
        <f>IF(ISNUMBER('Registro por Sessão'!$J133),'Registro por Sessão'!$J133,"")</f>
        <v/>
      </c>
      <c r="R29" s="8">
        <f>IF(ISNUMBER('Registro por Sessão'!$N129),'Registro por Sessão'!$N129,"")</f>
        <v/>
      </c>
      <c r="S29" s="8">
        <f>IF(ISNUMBER('Registro por Sessão'!$N130),'Registro por Sessão'!$N130,"")</f>
        <v/>
      </c>
      <c r="T29" s="8">
        <f>IF(ISNUMBER('Registro por Sessão'!$N131),'Registro por Sessão'!$N131,"")</f>
        <v/>
      </c>
      <c r="U29" s="8">
        <f>IF(ISNUMBER('Registro por Sessão'!$N132),'Registro por Sessão'!$N132,"")</f>
        <v/>
      </c>
      <c r="V29" s="8">
        <f>IF(ISNUMBER('Registro por Sessão'!$N133),'Registro por Sessão'!$N133,"")</f>
        <v/>
      </c>
      <c r="W29" s="8">
        <f>IF(ISNUMBER('Registro por Sessão'!$R129),'Registro por Sessão'!$R129,"")</f>
        <v/>
      </c>
      <c r="X29" s="8">
        <f>IF(ISNUMBER('Registro por Sessão'!$R130),'Registro por Sessão'!$R130,"")</f>
        <v/>
      </c>
      <c r="Y29" s="8">
        <f>IF(ISNUMBER('Registro por Sessão'!$R131),'Registro por Sessão'!$R131,"")</f>
        <v/>
      </c>
      <c r="Z29" s="8">
        <f>IF(ISNUMBER('Registro por Sessão'!$R132),'Registro por Sessão'!$R132,"")</f>
        <v/>
      </c>
      <c r="AA29" s="8">
        <f>IF(ISNUMBER('Registro por Sessão'!$R133),'Registro por Sessão'!$R133,"")</f>
        <v/>
      </c>
      <c r="AB29" s="8">
        <f>IF(ISNUMBER('Registro por Sessão'!$V129),'Registro por Sessão'!$V129,"")</f>
        <v/>
      </c>
      <c r="AC29" s="8">
        <f>IF(ISNUMBER('Registro por Sessão'!$V130),'Registro por Sessão'!$V130,"")</f>
        <v/>
      </c>
      <c r="AD29" s="8">
        <f>IF(ISNUMBER('Registro por Sessão'!$V131),'Registro por Sessão'!$V131,"")</f>
        <v/>
      </c>
      <c r="AE29" s="8">
        <f>IF(ISNUMBER('Registro por Sessão'!$V132),'Registro por Sessão'!$V132,"")</f>
        <v/>
      </c>
      <c r="AF29" s="8">
        <f>IF(ISNUMBER('Registro por Sessão'!$V133),'Registro por Sessão'!$V133,"")</f>
        <v/>
      </c>
    </row>
    <row r="30">
      <c r="A30" s="6">
        <f>IF($B30="","",ROW()-3)</f>
        <v/>
      </c>
      <c r="B30" s="7">
        <f>IF(Preenchimento!$B$36="","",Preenchimento!$B$36)</f>
        <v/>
      </c>
      <c r="C30" s="7">
        <f>IF($B30="","",IF(Preenchimento!$C$36="","-",Preenchimento!$C$36))</f>
        <v/>
      </c>
      <c r="D30" s="6">
        <f>IF($B30="","",IF(Preenchimento!$D$36="","-",Preenchimento!$D$36))</f>
        <v/>
      </c>
      <c r="E30" s="31">
        <f>IF($B30="","",IFERROR(AVERAGE(M30:Q30),"-"))</f>
        <v/>
      </c>
      <c r="F30" s="31">
        <f>IF($B30="","",IFERROR(AVERAGE(R30:V30),"-"))</f>
        <v/>
      </c>
      <c r="G30" s="31">
        <f>IF($B30="","",IFERROR(AVERAGE(W30:AA30),"-"))</f>
        <v/>
      </c>
      <c r="H30" s="31">
        <f>IF($B30="","",IFERROR(AVERAGE(AB30:AF30),"-"))</f>
        <v/>
      </c>
      <c r="I30" s="31">
        <f>IF($B30="","",IFERROR(AVERAGE(M30:AF30),"-"))</f>
        <v/>
      </c>
      <c r="J30" s="13">
        <f>IF($B30="","",IF('Registro por Sessão'!$G134="","","S1 D: "&amp;'Registro por Sessão'!$G134&amp;CHAR(10))&amp;IF('Registro por Sessão'!$K134="","","S1 F: "&amp;'Registro por Sessão'!$K134&amp;CHAR(10))&amp;IF('Registro por Sessão'!$O134="","","S1 C: "&amp;'Registro por Sessão'!$O134&amp;CHAR(10))&amp;IF('Registro por Sessão'!$S134="","","S1 P: "&amp;'Registro por Sessão'!$S134&amp;CHAR(10))&amp;IF('Registro por Sessão'!$G135="","","S2 D: "&amp;'Registro por Sessão'!$G135&amp;CHAR(10))&amp;IF('Registro por Sessão'!$K135="","","S2 F: "&amp;'Registro por Sessão'!$K135&amp;CHAR(10))&amp;IF('Registro por Sessão'!$O135="","","S2 C: "&amp;'Registro por Sessão'!$O135&amp;CHAR(10))&amp;IF('Registro por Sessão'!$S135="","","S2 P: "&amp;'Registro por Sessão'!$S135&amp;CHAR(10))&amp;IF('Registro por Sessão'!$G136="","","S3 D: "&amp;'Registro por Sessão'!$G136&amp;CHAR(10))&amp;IF('Registro por Sessão'!$K136="","","S3 F: "&amp;'Registro por Sessão'!$K136&amp;CHAR(10))&amp;IF('Registro por Sessão'!$O136="","","S3 C: "&amp;'Registro por Sessão'!$O136&amp;CHAR(10))&amp;IF('Registro por Sessão'!$S136="","","S3 P: "&amp;'Registro por Sessão'!$S136&amp;CHAR(10))&amp;IF('Registro por Sessão'!$G137="","","S4 D: "&amp;'Registro por Sessão'!$G137&amp;CHAR(10))&amp;IF('Registro por Sessão'!$K137="","","S4 F: "&amp;'Registro por Sessão'!$K137&amp;CHAR(10))&amp;IF('Registro por Sessão'!$O137="","","S4 C: "&amp;'Registro por Sessão'!$O137&amp;CHAR(10))&amp;IF('Registro por Sessão'!$S137="","","S4 P: "&amp;'Registro por Sessão'!$S137&amp;CHAR(10))&amp;IF('Registro por Sessão'!$G138="","","S5 D: "&amp;'Registro por Sessão'!$G138&amp;CHAR(10))&amp;IF('Registro por Sessão'!$K138="","","S5 F: "&amp;'Registro por Sessão'!$K138&amp;CHAR(10))&amp;IF('Registro por Sessão'!$O138="","","S5 C: "&amp;'Registro por Sessão'!$O138&amp;CHAR(10))&amp;IF('Registro por Sessão'!$S138="","","S5 P: "&amp;'Registro por Sessão'!$S138&amp;CHAR(10)))</f>
        <v/>
      </c>
      <c r="K30" s="13">
        <f>IF($B30="","",IF('Registro por Sessão'!$W134="","","S1: "&amp;'Registro por Sessão'!$W134&amp;CHAR(10))&amp;IF('Registro por Sessão'!$X134="","","S1 obs: "&amp;'Registro por Sessão'!$X134&amp;CHAR(10))&amp;IF('Registro por Sessão'!$W135="","","S2: "&amp;'Registro por Sessão'!$W135&amp;CHAR(10))&amp;IF('Registro por Sessão'!$X135="","","S2 obs: "&amp;'Registro por Sessão'!$X135&amp;CHAR(10))&amp;IF('Registro por Sessão'!$W136="","","S3: "&amp;'Registro por Sessão'!$W136&amp;CHAR(10))&amp;IF('Registro por Sessão'!$X136="","","S3 obs: "&amp;'Registro por Sessão'!$X136&amp;CHAR(10))&amp;IF('Registro por Sessão'!$W137="","","S4: "&amp;'Registro por Sessão'!$W137&amp;CHAR(10))&amp;IF('Registro por Sessão'!$X137="","","S4 obs: "&amp;'Registro por Sessão'!$X137&amp;CHAR(10))&amp;IF('Registro por Sessão'!$W138="","","S5: "&amp;'Registro por Sessão'!$W138&amp;CHAR(10))&amp;IF('Registro por Sessão'!$X138="","","S5 obs: "&amp;'Registro por Sessão'!$X138&amp;CHAR(10)))</f>
        <v/>
      </c>
      <c r="L30" s="2" t="n"/>
      <c r="M30" s="6">
        <f>IF(ISNUMBER('Registro por Sessão'!$J134),'Registro por Sessão'!$J134,"")</f>
        <v/>
      </c>
      <c r="N30" s="6">
        <f>IF(ISNUMBER('Registro por Sessão'!$J135),'Registro por Sessão'!$J135,"")</f>
        <v/>
      </c>
      <c r="O30" s="6">
        <f>IF(ISNUMBER('Registro por Sessão'!$J136),'Registro por Sessão'!$J136,"")</f>
        <v/>
      </c>
      <c r="P30" s="6">
        <f>IF(ISNUMBER('Registro por Sessão'!$J137),'Registro por Sessão'!$J137,"")</f>
        <v/>
      </c>
      <c r="Q30" s="6">
        <f>IF(ISNUMBER('Registro por Sessão'!$J138),'Registro por Sessão'!$J138,"")</f>
        <v/>
      </c>
      <c r="R30" s="6">
        <f>IF(ISNUMBER('Registro por Sessão'!$N134),'Registro por Sessão'!$N134,"")</f>
        <v/>
      </c>
      <c r="S30" s="6">
        <f>IF(ISNUMBER('Registro por Sessão'!$N135),'Registro por Sessão'!$N135,"")</f>
        <v/>
      </c>
      <c r="T30" s="6">
        <f>IF(ISNUMBER('Registro por Sessão'!$N136),'Registro por Sessão'!$N136,"")</f>
        <v/>
      </c>
      <c r="U30" s="6">
        <f>IF(ISNUMBER('Registro por Sessão'!$N137),'Registro por Sessão'!$N137,"")</f>
        <v/>
      </c>
      <c r="V30" s="6">
        <f>IF(ISNUMBER('Registro por Sessão'!$N138),'Registro por Sessão'!$N138,"")</f>
        <v/>
      </c>
      <c r="W30" s="6">
        <f>IF(ISNUMBER('Registro por Sessão'!$R134),'Registro por Sessão'!$R134,"")</f>
        <v/>
      </c>
      <c r="X30" s="6">
        <f>IF(ISNUMBER('Registro por Sessão'!$R135),'Registro por Sessão'!$R135,"")</f>
        <v/>
      </c>
      <c r="Y30" s="6">
        <f>IF(ISNUMBER('Registro por Sessão'!$R136),'Registro por Sessão'!$R136,"")</f>
        <v/>
      </c>
      <c r="Z30" s="6">
        <f>IF(ISNUMBER('Registro por Sessão'!$R137),'Registro por Sessão'!$R137,"")</f>
        <v/>
      </c>
      <c r="AA30" s="6">
        <f>IF(ISNUMBER('Registro por Sessão'!$R138),'Registro por Sessão'!$R138,"")</f>
        <v/>
      </c>
      <c r="AB30" s="6">
        <f>IF(ISNUMBER('Registro por Sessão'!$V134),'Registro por Sessão'!$V134,"")</f>
        <v/>
      </c>
      <c r="AC30" s="6">
        <f>IF(ISNUMBER('Registro por Sessão'!$V135),'Registro por Sessão'!$V135,"")</f>
        <v/>
      </c>
      <c r="AD30" s="6">
        <f>IF(ISNUMBER('Registro por Sessão'!$V136),'Registro por Sessão'!$V136,"")</f>
        <v/>
      </c>
      <c r="AE30" s="6">
        <f>IF(ISNUMBER('Registro por Sessão'!$V137),'Registro por Sessão'!$V137,"")</f>
        <v/>
      </c>
      <c r="AF30" s="6">
        <f>IF(ISNUMBER('Registro por Sessão'!$V138),'Registro por Sessão'!$V138,"")</f>
        <v/>
      </c>
    </row>
    <row r="31">
      <c r="A31" s="8">
        <f>IF($B31="","",ROW()-3)</f>
        <v/>
      </c>
      <c r="B31" s="9">
        <f>IF(Preenchimento!$B$37="","",Preenchimento!$B$37)</f>
        <v/>
      </c>
      <c r="C31" s="9">
        <f>IF($B31="","",IF(Preenchimento!$C$37="","-",Preenchimento!$C$37))</f>
        <v/>
      </c>
      <c r="D31" s="8">
        <f>IF($B31="","",IF(Preenchimento!$D$37="","-",Preenchimento!$D$37))</f>
        <v/>
      </c>
      <c r="E31" s="32">
        <f>IF($B31="","",IFERROR(AVERAGE(M31:Q31),"-"))</f>
        <v/>
      </c>
      <c r="F31" s="32">
        <f>IF($B31="","",IFERROR(AVERAGE(R31:V31),"-"))</f>
        <v/>
      </c>
      <c r="G31" s="32">
        <f>IF($B31="","",IFERROR(AVERAGE(W31:AA31),"-"))</f>
        <v/>
      </c>
      <c r="H31" s="32">
        <f>IF($B31="","",IFERROR(AVERAGE(AB31:AF31),"-"))</f>
        <v/>
      </c>
      <c r="I31" s="32">
        <f>IF($B31="","",IFERROR(AVERAGE(M31:AF31),"-"))</f>
        <v/>
      </c>
      <c r="J31" s="14">
        <f>IF($B31="","",IF('Registro por Sessão'!$G139="","","S1 D: "&amp;'Registro por Sessão'!$G139&amp;CHAR(10))&amp;IF('Registro por Sessão'!$K139="","","S1 F: "&amp;'Registro por Sessão'!$K139&amp;CHAR(10))&amp;IF('Registro por Sessão'!$O139="","","S1 C: "&amp;'Registro por Sessão'!$O139&amp;CHAR(10))&amp;IF('Registro por Sessão'!$S139="","","S1 P: "&amp;'Registro por Sessão'!$S139&amp;CHAR(10))&amp;IF('Registro por Sessão'!$G140="","","S2 D: "&amp;'Registro por Sessão'!$G140&amp;CHAR(10))&amp;IF('Registro por Sessão'!$K140="","","S2 F: "&amp;'Registro por Sessão'!$K140&amp;CHAR(10))&amp;IF('Registro por Sessão'!$O140="","","S2 C: "&amp;'Registro por Sessão'!$O140&amp;CHAR(10))&amp;IF('Registro por Sessão'!$S140="","","S2 P: "&amp;'Registro por Sessão'!$S140&amp;CHAR(10))&amp;IF('Registro por Sessão'!$G141="","","S3 D: "&amp;'Registro por Sessão'!$G141&amp;CHAR(10))&amp;IF('Registro por Sessão'!$K141="","","S3 F: "&amp;'Registro por Sessão'!$K141&amp;CHAR(10))&amp;IF('Registro por Sessão'!$O141="","","S3 C: "&amp;'Registro por Sessão'!$O141&amp;CHAR(10))&amp;IF('Registro por Sessão'!$S141="","","S3 P: "&amp;'Registro por Sessão'!$S141&amp;CHAR(10))&amp;IF('Registro por Sessão'!$G142="","","S4 D: "&amp;'Registro por Sessão'!$G142&amp;CHAR(10))&amp;IF('Registro por Sessão'!$K142="","","S4 F: "&amp;'Registro por Sessão'!$K142&amp;CHAR(10))&amp;IF('Registro por Sessão'!$O142="","","S4 C: "&amp;'Registro por Sessão'!$O142&amp;CHAR(10))&amp;IF('Registro por Sessão'!$S142="","","S4 P: "&amp;'Registro por Sessão'!$S142&amp;CHAR(10))&amp;IF('Registro por Sessão'!$G143="","","S5 D: "&amp;'Registro por Sessão'!$G143&amp;CHAR(10))&amp;IF('Registro por Sessão'!$K143="","","S5 F: "&amp;'Registro por Sessão'!$K143&amp;CHAR(10))&amp;IF('Registro por Sessão'!$O143="","","S5 C: "&amp;'Registro por Sessão'!$O143&amp;CHAR(10))&amp;IF('Registro por Sessão'!$S143="","","S5 P: "&amp;'Registro por Sessão'!$S143&amp;CHAR(10)))</f>
        <v/>
      </c>
      <c r="K31" s="14">
        <f>IF($B31="","",IF('Registro por Sessão'!$W139="","","S1: "&amp;'Registro por Sessão'!$W139&amp;CHAR(10))&amp;IF('Registro por Sessão'!$X139="","","S1 obs: "&amp;'Registro por Sessão'!$X139&amp;CHAR(10))&amp;IF('Registro por Sessão'!$W140="","","S2: "&amp;'Registro por Sessão'!$W140&amp;CHAR(10))&amp;IF('Registro por Sessão'!$X140="","","S2 obs: "&amp;'Registro por Sessão'!$X140&amp;CHAR(10))&amp;IF('Registro por Sessão'!$W141="","","S3: "&amp;'Registro por Sessão'!$W141&amp;CHAR(10))&amp;IF('Registro por Sessão'!$X141="","","S3 obs: "&amp;'Registro por Sessão'!$X141&amp;CHAR(10))&amp;IF('Registro por Sessão'!$W142="","","S4: "&amp;'Registro por Sessão'!$W142&amp;CHAR(10))&amp;IF('Registro por Sessão'!$X142="","","S4 obs: "&amp;'Registro por Sessão'!$X142&amp;CHAR(10))&amp;IF('Registro por Sessão'!$W143="","","S5: "&amp;'Registro por Sessão'!$W143&amp;CHAR(10))&amp;IF('Registro por Sessão'!$X143="","","S5 obs: "&amp;'Registro por Sessão'!$X143&amp;CHAR(10)))</f>
        <v/>
      </c>
      <c r="L31" s="2" t="n"/>
      <c r="M31" s="8">
        <f>IF(ISNUMBER('Registro por Sessão'!$J139),'Registro por Sessão'!$J139,"")</f>
        <v/>
      </c>
      <c r="N31" s="8">
        <f>IF(ISNUMBER('Registro por Sessão'!$J140),'Registro por Sessão'!$J140,"")</f>
        <v/>
      </c>
      <c r="O31" s="8">
        <f>IF(ISNUMBER('Registro por Sessão'!$J141),'Registro por Sessão'!$J141,"")</f>
        <v/>
      </c>
      <c r="P31" s="8">
        <f>IF(ISNUMBER('Registro por Sessão'!$J142),'Registro por Sessão'!$J142,"")</f>
        <v/>
      </c>
      <c r="Q31" s="8">
        <f>IF(ISNUMBER('Registro por Sessão'!$J143),'Registro por Sessão'!$J143,"")</f>
        <v/>
      </c>
      <c r="R31" s="8">
        <f>IF(ISNUMBER('Registro por Sessão'!$N139),'Registro por Sessão'!$N139,"")</f>
        <v/>
      </c>
      <c r="S31" s="8">
        <f>IF(ISNUMBER('Registro por Sessão'!$N140),'Registro por Sessão'!$N140,"")</f>
        <v/>
      </c>
      <c r="T31" s="8">
        <f>IF(ISNUMBER('Registro por Sessão'!$N141),'Registro por Sessão'!$N141,"")</f>
        <v/>
      </c>
      <c r="U31" s="8">
        <f>IF(ISNUMBER('Registro por Sessão'!$N142),'Registro por Sessão'!$N142,"")</f>
        <v/>
      </c>
      <c r="V31" s="8">
        <f>IF(ISNUMBER('Registro por Sessão'!$N143),'Registro por Sessão'!$N143,"")</f>
        <v/>
      </c>
      <c r="W31" s="8">
        <f>IF(ISNUMBER('Registro por Sessão'!$R139),'Registro por Sessão'!$R139,"")</f>
        <v/>
      </c>
      <c r="X31" s="8">
        <f>IF(ISNUMBER('Registro por Sessão'!$R140),'Registro por Sessão'!$R140,"")</f>
        <v/>
      </c>
      <c r="Y31" s="8">
        <f>IF(ISNUMBER('Registro por Sessão'!$R141),'Registro por Sessão'!$R141,"")</f>
        <v/>
      </c>
      <c r="Z31" s="8">
        <f>IF(ISNUMBER('Registro por Sessão'!$R142),'Registro por Sessão'!$R142,"")</f>
        <v/>
      </c>
      <c r="AA31" s="8">
        <f>IF(ISNUMBER('Registro por Sessão'!$R143),'Registro por Sessão'!$R143,"")</f>
        <v/>
      </c>
      <c r="AB31" s="8">
        <f>IF(ISNUMBER('Registro por Sessão'!$V139),'Registro por Sessão'!$V139,"")</f>
        <v/>
      </c>
      <c r="AC31" s="8">
        <f>IF(ISNUMBER('Registro por Sessão'!$V140),'Registro por Sessão'!$V140,"")</f>
        <v/>
      </c>
      <c r="AD31" s="8">
        <f>IF(ISNUMBER('Registro por Sessão'!$V141),'Registro por Sessão'!$V141,"")</f>
        <v/>
      </c>
      <c r="AE31" s="8">
        <f>IF(ISNUMBER('Registro por Sessão'!$V142),'Registro por Sessão'!$V142,"")</f>
        <v/>
      </c>
      <c r="AF31" s="8">
        <f>IF(ISNUMBER('Registro por Sessão'!$V143),'Registro por Sessão'!$V143,"")</f>
        <v/>
      </c>
    </row>
    <row r="32">
      <c r="A32" s="6">
        <f>IF($B32="","",ROW()-3)</f>
        <v/>
      </c>
      <c r="B32" s="7">
        <f>IF(Preenchimento!$B$38="","",Preenchimento!$B$38)</f>
        <v/>
      </c>
      <c r="C32" s="7">
        <f>IF($B32="","",IF(Preenchimento!$C$38="","-",Preenchimento!$C$38))</f>
        <v/>
      </c>
      <c r="D32" s="6">
        <f>IF($B32="","",IF(Preenchimento!$D$38="","-",Preenchimento!$D$38))</f>
        <v/>
      </c>
      <c r="E32" s="31">
        <f>IF($B32="","",IFERROR(AVERAGE(M32:Q32),"-"))</f>
        <v/>
      </c>
      <c r="F32" s="31">
        <f>IF($B32="","",IFERROR(AVERAGE(R32:V32),"-"))</f>
        <v/>
      </c>
      <c r="G32" s="31">
        <f>IF($B32="","",IFERROR(AVERAGE(W32:AA32),"-"))</f>
        <v/>
      </c>
      <c r="H32" s="31">
        <f>IF($B32="","",IFERROR(AVERAGE(AB32:AF32),"-"))</f>
        <v/>
      </c>
      <c r="I32" s="31">
        <f>IF($B32="","",IFERROR(AVERAGE(M32:AF32),"-"))</f>
        <v/>
      </c>
      <c r="J32" s="13">
        <f>IF($B32="","",IF('Registro por Sessão'!$G144="","","S1 D: "&amp;'Registro por Sessão'!$G144&amp;CHAR(10))&amp;IF('Registro por Sessão'!$K144="","","S1 F: "&amp;'Registro por Sessão'!$K144&amp;CHAR(10))&amp;IF('Registro por Sessão'!$O144="","","S1 C: "&amp;'Registro por Sessão'!$O144&amp;CHAR(10))&amp;IF('Registro por Sessão'!$S144="","","S1 P: "&amp;'Registro por Sessão'!$S144&amp;CHAR(10))&amp;IF('Registro por Sessão'!$G145="","","S2 D: "&amp;'Registro por Sessão'!$G145&amp;CHAR(10))&amp;IF('Registro por Sessão'!$K145="","","S2 F: "&amp;'Registro por Sessão'!$K145&amp;CHAR(10))&amp;IF('Registro por Sessão'!$O145="","","S2 C: "&amp;'Registro por Sessão'!$O145&amp;CHAR(10))&amp;IF('Registro por Sessão'!$S145="","","S2 P: "&amp;'Registro por Sessão'!$S145&amp;CHAR(10))&amp;IF('Registro por Sessão'!$G146="","","S3 D: "&amp;'Registro por Sessão'!$G146&amp;CHAR(10))&amp;IF('Registro por Sessão'!$K146="","","S3 F: "&amp;'Registro por Sessão'!$K146&amp;CHAR(10))&amp;IF('Registro por Sessão'!$O146="","","S3 C: "&amp;'Registro por Sessão'!$O146&amp;CHAR(10))&amp;IF('Registro por Sessão'!$S146="","","S3 P: "&amp;'Registro por Sessão'!$S146&amp;CHAR(10))&amp;IF('Registro por Sessão'!$G147="","","S4 D: "&amp;'Registro por Sessão'!$G147&amp;CHAR(10))&amp;IF('Registro por Sessão'!$K147="","","S4 F: "&amp;'Registro por Sessão'!$K147&amp;CHAR(10))&amp;IF('Registro por Sessão'!$O147="","","S4 C: "&amp;'Registro por Sessão'!$O147&amp;CHAR(10))&amp;IF('Registro por Sessão'!$S147="","","S4 P: "&amp;'Registro por Sessão'!$S147&amp;CHAR(10))&amp;IF('Registro por Sessão'!$G148="","","S5 D: "&amp;'Registro por Sessão'!$G148&amp;CHAR(10))&amp;IF('Registro por Sessão'!$K148="","","S5 F: "&amp;'Registro por Sessão'!$K148&amp;CHAR(10))&amp;IF('Registro por Sessão'!$O148="","","S5 C: "&amp;'Registro por Sessão'!$O148&amp;CHAR(10))&amp;IF('Registro por Sessão'!$S148="","","S5 P: "&amp;'Registro por Sessão'!$S148&amp;CHAR(10)))</f>
        <v/>
      </c>
      <c r="K32" s="13">
        <f>IF($B32="","",IF('Registro por Sessão'!$W144="","","S1: "&amp;'Registro por Sessão'!$W144&amp;CHAR(10))&amp;IF('Registro por Sessão'!$X144="","","S1 obs: "&amp;'Registro por Sessão'!$X144&amp;CHAR(10))&amp;IF('Registro por Sessão'!$W145="","","S2: "&amp;'Registro por Sessão'!$W145&amp;CHAR(10))&amp;IF('Registro por Sessão'!$X145="","","S2 obs: "&amp;'Registro por Sessão'!$X145&amp;CHAR(10))&amp;IF('Registro por Sessão'!$W146="","","S3: "&amp;'Registro por Sessão'!$W146&amp;CHAR(10))&amp;IF('Registro por Sessão'!$X146="","","S3 obs: "&amp;'Registro por Sessão'!$X146&amp;CHAR(10))&amp;IF('Registro por Sessão'!$W147="","","S4: "&amp;'Registro por Sessão'!$W147&amp;CHAR(10))&amp;IF('Registro por Sessão'!$X147="","","S4 obs: "&amp;'Registro por Sessão'!$X147&amp;CHAR(10))&amp;IF('Registro por Sessão'!$W148="","","S5: "&amp;'Registro por Sessão'!$W148&amp;CHAR(10))&amp;IF('Registro por Sessão'!$X148="","","S5 obs: "&amp;'Registro por Sessão'!$X148&amp;CHAR(10)))</f>
        <v/>
      </c>
      <c r="L32" s="2" t="n"/>
      <c r="M32" s="6">
        <f>IF(ISNUMBER('Registro por Sessão'!$J144),'Registro por Sessão'!$J144,"")</f>
        <v/>
      </c>
      <c r="N32" s="6">
        <f>IF(ISNUMBER('Registro por Sessão'!$J145),'Registro por Sessão'!$J145,"")</f>
        <v/>
      </c>
      <c r="O32" s="6">
        <f>IF(ISNUMBER('Registro por Sessão'!$J146),'Registro por Sessão'!$J146,"")</f>
        <v/>
      </c>
      <c r="P32" s="6">
        <f>IF(ISNUMBER('Registro por Sessão'!$J147),'Registro por Sessão'!$J147,"")</f>
        <v/>
      </c>
      <c r="Q32" s="6">
        <f>IF(ISNUMBER('Registro por Sessão'!$J148),'Registro por Sessão'!$J148,"")</f>
        <v/>
      </c>
      <c r="R32" s="6">
        <f>IF(ISNUMBER('Registro por Sessão'!$N144),'Registro por Sessão'!$N144,"")</f>
        <v/>
      </c>
      <c r="S32" s="6">
        <f>IF(ISNUMBER('Registro por Sessão'!$N145),'Registro por Sessão'!$N145,"")</f>
        <v/>
      </c>
      <c r="T32" s="6">
        <f>IF(ISNUMBER('Registro por Sessão'!$N146),'Registro por Sessão'!$N146,"")</f>
        <v/>
      </c>
      <c r="U32" s="6">
        <f>IF(ISNUMBER('Registro por Sessão'!$N147),'Registro por Sessão'!$N147,"")</f>
        <v/>
      </c>
      <c r="V32" s="6">
        <f>IF(ISNUMBER('Registro por Sessão'!$N148),'Registro por Sessão'!$N148,"")</f>
        <v/>
      </c>
      <c r="W32" s="6">
        <f>IF(ISNUMBER('Registro por Sessão'!$R144),'Registro por Sessão'!$R144,"")</f>
        <v/>
      </c>
      <c r="X32" s="6">
        <f>IF(ISNUMBER('Registro por Sessão'!$R145),'Registro por Sessão'!$R145,"")</f>
        <v/>
      </c>
      <c r="Y32" s="6">
        <f>IF(ISNUMBER('Registro por Sessão'!$R146),'Registro por Sessão'!$R146,"")</f>
        <v/>
      </c>
      <c r="Z32" s="6">
        <f>IF(ISNUMBER('Registro por Sessão'!$R147),'Registro por Sessão'!$R147,"")</f>
        <v/>
      </c>
      <c r="AA32" s="6">
        <f>IF(ISNUMBER('Registro por Sessão'!$R148),'Registro por Sessão'!$R148,"")</f>
        <v/>
      </c>
      <c r="AB32" s="6">
        <f>IF(ISNUMBER('Registro por Sessão'!$V144),'Registro por Sessão'!$V144,"")</f>
        <v/>
      </c>
      <c r="AC32" s="6">
        <f>IF(ISNUMBER('Registro por Sessão'!$V145),'Registro por Sessão'!$V145,"")</f>
        <v/>
      </c>
      <c r="AD32" s="6">
        <f>IF(ISNUMBER('Registro por Sessão'!$V146),'Registro por Sessão'!$V146,"")</f>
        <v/>
      </c>
      <c r="AE32" s="6">
        <f>IF(ISNUMBER('Registro por Sessão'!$V147),'Registro por Sessão'!$V147,"")</f>
        <v/>
      </c>
      <c r="AF32" s="6">
        <f>IF(ISNUMBER('Registro por Sessão'!$V148),'Registro por Sessão'!$V148,"")</f>
        <v/>
      </c>
    </row>
    <row r="33">
      <c r="A33" s="8">
        <f>IF($B33="","",ROW()-3)</f>
        <v/>
      </c>
      <c r="B33" s="9">
        <f>IF(Preenchimento!$B$39="","",Preenchimento!$B$39)</f>
        <v/>
      </c>
      <c r="C33" s="9">
        <f>IF($B33="","",IF(Preenchimento!$C$39="","-",Preenchimento!$C$39))</f>
        <v/>
      </c>
      <c r="D33" s="8">
        <f>IF($B33="","",IF(Preenchimento!$D$39="","-",Preenchimento!$D$39))</f>
        <v/>
      </c>
      <c r="E33" s="32">
        <f>IF($B33="","",IFERROR(AVERAGE(M33:Q33),"-"))</f>
        <v/>
      </c>
      <c r="F33" s="32">
        <f>IF($B33="","",IFERROR(AVERAGE(R33:V33),"-"))</f>
        <v/>
      </c>
      <c r="G33" s="32">
        <f>IF($B33="","",IFERROR(AVERAGE(W33:AA33),"-"))</f>
        <v/>
      </c>
      <c r="H33" s="32">
        <f>IF($B33="","",IFERROR(AVERAGE(AB33:AF33),"-"))</f>
        <v/>
      </c>
      <c r="I33" s="32">
        <f>IF($B33="","",IFERROR(AVERAGE(M33:AF33),"-"))</f>
        <v/>
      </c>
      <c r="J33" s="14">
        <f>IF($B33="","",IF('Registro por Sessão'!$G149="","","S1 D: "&amp;'Registro por Sessão'!$G149&amp;CHAR(10))&amp;IF('Registro por Sessão'!$K149="","","S1 F: "&amp;'Registro por Sessão'!$K149&amp;CHAR(10))&amp;IF('Registro por Sessão'!$O149="","","S1 C: "&amp;'Registro por Sessão'!$O149&amp;CHAR(10))&amp;IF('Registro por Sessão'!$S149="","","S1 P: "&amp;'Registro por Sessão'!$S149&amp;CHAR(10))&amp;IF('Registro por Sessão'!$G150="","","S2 D: "&amp;'Registro por Sessão'!$G150&amp;CHAR(10))&amp;IF('Registro por Sessão'!$K150="","","S2 F: "&amp;'Registro por Sessão'!$K150&amp;CHAR(10))&amp;IF('Registro por Sessão'!$O150="","","S2 C: "&amp;'Registro por Sessão'!$O150&amp;CHAR(10))&amp;IF('Registro por Sessão'!$S150="","","S2 P: "&amp;'Registro por Sessão'!$S150&amp;CHAR(10))&amp;IF('Registro por Sessão'!$G151="","","S3 D: "&amp;'Registro por Sessão'!$G151&amp;CHAR(10))&amp;IF('Registro por Sessão'!$K151="","","S3 F: "&amp;'Registro por Sessão'!$K151&amp;CHAR(10))&amp;IF('Registro por Sessão'!$O151="","","S3 C: "&amp;'Registro por Sessão'!$O151&amp;CHAR(10))&amp;IF('Registro por Sessão'!$S151="","","S3 P: "&amp;'Registro por Sessão'!$S151&amp;CHAR(10))&amp;IF('Registro por Sessão'!$G152="","","S4 D: "&amp;'Registro por Sessão'!$G152&amp;CHAR(10))&amp;IF('Registro por Sessão'!$K152="","","S4 F: "&amp;'Registro por Sessão'!$K152&amp;CHAR(10))&amp;IF('Registro por Sessão'!$O152="","","S4 C: "&amp;'Registro por Sessão'!$O152&amp;CHAR(10))&amp;IF('Registro por Sessão'!$S152="","","S4 P: "&amp;'Registro por Sessão'!$S152&amp;CHAR(10))&amp;IF('Registro por Sessão'!$G153="","","S5 D: "&amp;'Registro por Sessão'!$G153&amp;CHAR(10))&amp;IF('Registro por Sessão'!$K153="","","S5 F: "&amp;'Registro por Sessão'!$K153&amp;CHAR(10))&amp;IF('Registro por Sessão'!$O153="","","S5 C: "&amp;'Registro por Sessão'!$O153&amp;CHAR(10))&amp;IF('Registro por Sessão'!$S153="","","S5 P: "&amp;'Registro por Sessão'!$S153&amp;CHAR(10)))</f>
        <v/>
      </c>
      <c r="K33" s="14">
        <f>IF($B33="","",IF('Registro por Sessão'!$W149="","","S1: "&amp;'Registro por Sessão'!$W149&amp;CHAR(10))&amp;IF('Registro por Sessão'!$X149="","","S1 obs: "&amp;'Registro por Sessão'!$X149&amp;CHAR(10))&amp;IF('Registro por Sessão'!$W150="","","S2: "&amp;'Registro por Sessão'!$W150&amp;CHAR(10))&amp;IF('Registro por Sessão'!$X150="","","S2 obs: "&amp;'Registro por Sessão'!$X150&amp;CHAR(10))&amp;IF('Registro por Sessão'!$W151="","","S3: "&amp;'Registro por Sessão'!$W151&amp;CHAR(10))&amp;IF('Registro por Sessão'!$X151="","","S3 obs: "&amp;'Registro por Sessão'!$X151&amp;CHAR(10))&amp;IF('Registro por Sessão'!$W152="","","S4: "&amp;'Registro por Sessão'!$W152&amp;CHAR(10))&amp;IF('Registro por Sessão'!$X152="","","S4 obs: "&amp;'Registro por Sessão'!$X152&amp;CHAR(10))&amp;IF('Registro por Sessão'!$W153="","","S5: "&amp;'Registro por Sessão'!$W153&amp;CHAR(10))&amp;IF('Registro por Sessão'!$X153="","","S5 obs: "&amp;'Registro por Sessão'!$X153&amp;CHAR(10)))</f>
        <v/>
      </c>
      <c r="L33" s="2" t="n"/>
      <c r="M33" s="8">
        <f>IF(ISNUMBER('Registro por Sessão'!$J149),'Registro por Sessão'!$J149,"")</f>
        <v/>
      </c>
      <c r="N33" s="8">
        <f>IF(ISNUMBER('Registro por Sessão'!$J150),'Registro por Sessão'!$J150,"")</f>
        <v/>
      </c>
      <c r="O33" s="8">
        <f>IF(ISNUMBER('Registro por Sessão'!$J151),'Registro por Sessão'!$J151,"")</f>
        <v/>
      </c>
      <c r="P33" s="8">
        <f>IF(ISNUMBER('Registro por Sessão'!$J152),'Registro por Sessão'!$J152,"")</f>
        <v/>
      </c>
      <c r="Q33" s="8">
        <f>IF(ISNUMBER('Registro por Sessão'!$J153),'Registro por Sessão'!$J153,"")</f>
        <v/>
      </c>
      <c r="R33" s="8">
        <f>IF(ISNUMBER('Registro por Sessão'!$N149),'Registro por Sessão'!$N149,"")</f>
        <v/>
      </c>
      <c r="S33" s="8">
        <f>IF(ISNUMBER('Registro por Sessão'!$N150),'Registro por Sessão'!$N150,"")</f>
        <v/>
      </c>
      <c r="T33" s="8">
        <f>IF(ISNUMBER('Registro por Sessão'!$N151),'Registro por Sessão'!$N151,"")</f>
        <v/>
      </c>
      <c r="U33" s="8">
        <f>IF(ISNUMBER('Registro por Sessão'!$N152),'Registro por Sessão'!$N152,"")</f>
        <v/>
      </c>
      <c r="V33" s="8">
        <f>IF(ISNUMBER('Registro por Sessão'!$N153),'Registro por Sessão'!$N153,"")</f>
        <v/>
      </c>
      <c r="W33" s="8">
        <f>IF(ISNUMBER('Registro por Sessão'!$R149),'Registro por Sessão'!$R149,"")</f>
        <v/>
      </c>
      <c r="X33" s="8">
        <f>IF(ISNUMBER('Registro por Sessão'!$R150),'Registro por Sessão'!$R150,"")</f>
        <v/>
      </c>
      <c r="Y33" s="8">
        <f>IF(ISNUMBER('Registro por Sessão'!$R151),'Registro por Sessão'!$R151,"")</f>
        <v/>
      </c>
      <c r="Z33" s="8">
        <f>IF(ISNUMBER('Registro por Sessão'!$R152),'Registro por Sessão'!$R152,"")</f>
        <v/>
      </c>
      <c r="AA33" s="8">
        <f>IF(ISNUMBER('Registro por Sessão'!$R153),'Registro por Sessão'!$R153,"")</f>
        <v/>
      </c>
      <c r="AB33" s="8">
        <f>IF(ISNUMBER('Registro por Sessão'!$V149),'Registro por Sessão'!$V149,"")</f>
        <v/>
      </c>
      <c r="AC33" s="8">
        <f>IF(ISNUMBER('Registro por Sessão'!$V150),'Registro por Sessão'!$V150,"")</f>
        <v/>
      </c>
      <c r="AD33" s="8">
        <f>IF(ISNUMBER('Registro por Sessão'!$V151),'Registro por Sessão'!$V151,"")</f>
        <v/>
      </c>
      <c r="AE33" s="8">
        <f>IF(ISNUMBER('Registro por Sessão'!$V152),'Registro por Sessão'!$V152,"")</f>
        <v/>
      </c>
      <c r="AF33" s="8">
        <f>IF(ISNUMBER('Registro por Sessão'!$V153),'Registro por Sessão'!$V153,"")</f>
        <v/>
      </c>
    </row>
    <row r="34">
      <c r="A34" s="6">
        <f>IF($B34="","",ROW()-3)</f>
        <v/>
      </c>
      <c r="B34" s="7">
        <f>IF(Preenchimento!$B$40="","",Preenchimento!$B$40)</f>
        <v/>
      </c>
      <c r="C34" s="7">
        <f>IF($B34="","",IF(Preenchimento!$C$40="","-",Preenchimento!$C$40))</f>
        <v/>
      </c>
      <c r="D34" s="6">
        <f>IF($B34="","",IF(Preenchimento!$D$40="","-",Preenchimento!$D$40))</f>
        <v/>
      </c>
      <c r="E34" s="31">
        <f>IF($B34="","",IFERROR(AVERAGE(M34:Q34),"-"))</f>
        <v/>
      </c>
      <c r="F34" s="31">
        <f>IF($B34="","",IFERROR(AVERAGE(R34:V34),"-"))</f>
        <v/>
      </c>
      <c r="G34" s="31">
        <f>IF($B34="","",IFERROR(AVERAGE(W34:AA34),"-"))</f>
        <v/>
      </c>
      <c r="H34" s="31">
        <f>IF($B34="","",IFERROR(AVERAGE(AB34:AF34),"-"))</f>
        <v/>
      </c>
      <c r="I34" s="31">
        <f>IF($B34="","",IFERROR(AVERAGE(M34:AF34),"-"))</f>
        <v/>
      </c>
      <c r="J34" s="13">
        <f>IF($B34="","",IF('Registro por Sessão'!$G154="","","S1 D: "&amp;'Registro por Sessão'!$G154&amp;CHAR(10))&amp;IF('Registro por Sessão'!$K154="","","S1 F: "&amp;'Registro por Sessão'!$K154&amp;CHAR(10))&amp;IF('Registro por Sessão'!$O154="","","S1 C: "&amp;'Registro por Sessão'!$O154&amp;CHAR(10))&amp;IF('Registro por Sessão'!$S154="","","S1 P: "&amp;'Registro por Sessão'!$S154&amp;CHAR(10))&amp;IF('Registro por Sessão'!$G155="","","S2 D: "&amp;'Registro por Sessão'!$G155&amp;CHAR(10))&amp;IF('Registro por Sessão'!$K155="","","S2 F: "&amp;'Registro por Sessão'!$K155&amp;CHAR(10))&amp;IF('Registro por Sessão'!$O155="","","S2 C: "&amp;'Registro por Sessão'!$O155&amp;CHAR(10))&amp;IF('Registro por Sessão'!$S155="","","S2 P: "&amp;'Registro por Sessão'!$S155&amp;CHAR(10))&amp;IF('Registro por Sessão'!$G156="","","S3 D: "&amp;'Registro por Sessão'!$G156&amp;CHAR(10))&amp;IF('Registro por Sessão'!$K156="","","S3 F: "&amp;'Registro por Sessão'!$K156&amp;CHAR(10))&amp;IF('Registro por Sessão'!$O156="","","S3 C: "&amp;'Registro por Sessão'!$O156&amp;CHAR(10))&amp;IF('Registro por Sessão'!$S156="","","S3 P: "&amp;'Registro por Sessão'!$S156&amp;CHAR(10))&amp;IF('Registro por Sessão'!$G157="","","S4 D: "&amp;'Registro por Sessão'!$G157&amp;CHAR(10))&amp;IF('Registro por Sessão'!$K157="","","S4 F: "&amp;'Registro por Sessão'!$K157&amp;CHAR(10))&amp;IF('Registro por Sessão'!$O157="","","S4 C: "&amp;'Registro por Sessão'!$O157&amp;CHAR(10))&amp;IF('Registro por Sessão'!$S157="","","S4 P: "&amp;'Registro por Sessão'!$S157&amp;CHAR(10))&amp;IF('Registro por Sessão'!$G158="","","S5 D: "&amp;'Registro por Sessão'!$G158&amp;CHAR(10))&amp;IF('Registro por Sessão'!$K158="","","S5 F: "&amp;'Registro por Sessão'!$K158&amp;CHAR(10))&amp;IF('Registro por Sessão'!$O158="","","S5 C: "&amp;'Registro por Sessão'!$O158&amp;CHAR(10))&amp;IF('Registro por Sessão'!$S158="","","S5 P: "&amp;'Registro por Sessão'!$S158&amp;CHAR(10)))</f>
        <v/>
      </c>
      <c r="K34" s="13">
        <f>IF($B34="","",IF('Registro por Sessão'!$W154="","","S1: "&amp;'Registro por Sessão'!$W154&amp;CHAR(10))&amp;IF('Registro por Sessão'!$X154="","","S1 obs: "&amp;'Registro por Sessão'!$X154&amp;CHAR(10))&amp;IF('Registro por Sessão'!$W155="","","S2: "&amp;'Registro por Sessão'!$W155&amp;CHAR(10))&amp;IF('Registro por Sessão'!$X155="","","S2 obs: "&amp;'Registro por Sessão'!$X155&amp;CHAR(10))&amp;IF('Registro por Sessão'!$W156="","","S3: "&amp;'Registro por Sessão'!$W156&amp;CHAR(10))&amp;IF('Registro por Sessão'!$X156="","","S3 obs: "&amp;'Registro por Sessão'!$X156&amp;CHAR(10))&amp;IF('Registro por Sessão'!$W157="","","S4: "&amp;'Registro por Sessão'!$W157&amp;CHAR(10))&amp;IF('Registro por Sessão'!$X157="","","S4 obs: "&amp;'Registro por Sessão'!$X157&amp;CHAR(10))&amp;IF('Registro por Sessão'!$W158="","","S5: "&amp;'Registro por Sessão'!$W158&amp;CHAR(10))&amp;IF('Registro por Sessão'!$X158="","","S5 obs: "&amp;'Registro por Sessão'!$X158&amp;CHAR(10)))</f>
        <v/>
      </c>
      <c r="L34" s="2" t="n"/>
      <c r="M34" s="6">
        <f>IF(ISNUMBER('Registro por Sessão'!$J154),'Registro por Sessão'!$J154,"")</f>
        <v/>
      </c>
      <c r="N34" s="6">
        <f>IF(ISNUMBER('Registro por Sessão'!$J155),'Registro por Sessão'!$J155,"")</f>
        <v/>
      </c>
      <c r="O34" s="6">
        <f>IF(ISNUMBER('Registro por Sessão'!$J156),'Registro por Sessão'!$J156,"")</f>
        <v/>
      </c>
      <c r="P34" s="6">
        <f>IF(ISNUMBER('Registro por Sessão'!$J157),'Registro por Sessão'!$J157,"")</f>
        <v/>
      </c>
      <c r="Q34" s="6">
        <f>IF(ISNUMBER('Registro por Sessão'!$J158),'Registro por Sessão'!$J158,"")</f>
        <v/>
      </c>
      <c r="R34" s="6">
        <f>IF(ISNUMBER('Registro por Sessão'!$N154),'Registro por Sessão'!$N154,"")</f>
        <v/>
      </c>
      <c r="S34" s="6">
        <f>IF(ISNUMBER('Registro por Sessão'!$N155),'Registro por Sessão'!$N155,"")</f>
        <v/>
      </c>
      <c r="T34" s="6">
        <f>IF(ISNUMBER('Registro por Sessão'!$N156),'Registro por Sessão'!$N156,"")</f>
        <v/>
      </c>
      <c r="U34" s="6">
        <f>IF(ISNUMBER('Registro por Sessão'!$N157),'Registro por Sessão'!$N157,"")</f>
        <v/>
      </c>
      <c r="V34" s="6">
        <f>IF(ISNUMBER('Registro por Sessão'!$N158),'Registro por Sessão'!$N158,"")</f>
        <v/>
      </c>
      <c r="W34" s="6">
        <f>IF(ISNUMBER('Registro por Sessão'!$R154),'Registro por Sessão'!$R154,"")</f>
        <v/>
      </c>
      <c r="X34" s="6">
        <f>IF(ISNUMBER('Registro por Sessão'!$R155),'Registro por Sessão'!$R155,"")</f>
        <v/>
      </c>
      <c r="Y34" s="6">
        <f>IF(ISNUMBER('Registro por Sessão'!$R156),'Registro por Sessão'!$R156,"")</f>
        <v/>
      </c>
      <c r="Z34" s="6">
        <f>IF(ISNUMBER('Registro por Sessão'!$R157),'Registro por Sessão'!$R157,"")</f>
        <v/>
      </c>
      <c r="AA34" s="6">
        <f>IF(ISNUMBER('Registro por Sessão'!$R158),'Registro por Sessão'!$R158,"")</f>
        <v/>
      </c>
      <c r="AB34" s="6">
        <f>IF(ISNUMBER('Registro por Sessão'!$V154),'Registro por Sessão'!$V154,"")</f>
        <v/>
      </c>
      <c r="AC34" s="6">
        <f>IF(ISNUMBER('Registro por Sessão'!$V155),'Registro por Sessão'!$V155,"")</f>
        <v/>
      </c>
      <c r="AD34" s="6">
        <f>IF(ISNUMBER('Registro por Sessão'!$V156),'Registro por Sessão'!$V156,"")</f>
        <v/>
      </c>
      <c r="AE34" s="6">
        <f>IF(ISNUMBER('Registro por Sessão'!$V157),'Registro por Sessão'!$V157,"")</f>
        <v/>
      </c>
      <c r="AF34" s="6">
        <f>IF(ISNUMBER('Registro por Sessão'!$V158),'Registro por Sessão'!$V158,"")</f>
        <v/>
      </c>
    </row>
    <row r="35">
      <c r="A35" s="8">
        <f>IF($B35="","",ROW()-3)</f>
        <v/>
      </c>
      <c r="B35" s="9">
        <f>IF(Preenchimento!$B$41="","",Preenchimento!$B$41)</f>
        <v/>
      </c>
      <c r="C35" s="9">
        <f>IF($B35="","",IF(Preenchimento!$C$41="","-",Preenchimento!$C$41))</f>
        <v/>
      </c>
      <c r="D35" s="8">
        <f>IF($B35="","",IF(Preenchimento!$D$41="","-",Preenchimento!$D$41))</f>
        <v/>
      </c>
      <c r="E35" s="32">
        <f>IF($B35="","",IFERROR(AVERAGE(M35:Q35),"-"))</f>
        <v/>
      </c>
      <c r="F35" s="32">
        <f>IF($B35="","",IFERROR(AVERAGE(R35:V35),"-"))</f>
        <v/>
      </c>
      <c r="G35" s="32">
        <f>IF($B35="","",IFERROR(AVERAGE(W35:AA35),"-"))</f>
        <v/>
      </c>
      <c r="H35" s="32">
        <f>IF($B35="","",IFERROR(AVERAGE(AB35:AF35),"-"))</f>
        <v/>
      </c>
      <c r="I35" s="32">
        <f>IF($B35="","",IFERROR(AVERAGE(M35:AF35),"-"))</f>
        <v/>
      </c>
      <c r="J35" s="14">
        <f>IF($B35="","",IF('Registro por Sessão'!$G159="","","S1 D: "&amp;'Registro por Sessão'!$G159&amp;CHAR(10))&amp;IF('Registro por Sessão'!$K159="","","S1 F: "&amp;'Registro por Sessão'!$K159&amp;CHAR(10))&amp;IF('Registro por Sessão'!$O159="","","S1 C: "&amp;'Registro por Sessão'!$O159&amp;CHAR(10))&amp;IF('Registro por Sessão'!$S159="","","S1 P: "&amp;'Registro por Sessão'!$S159&amp;CHAR(10))&amp;IF('Registro por Sessão'!$G160="","","S2 D: "&amp;'Registro por Sessão'!$G160&amp;CHAR(10))&amp;IF('Registro por Sessão'!$K160="","","S2 F: "&amp;'Registro por Sessão'!$K160&amp;CHAR(10))&amp;IF('Registro por Sessão'!$O160="","","S2 C: "&amp;'Registro por Sessão'!$O160&amp;CHAR(10))&amp;IF('Registro por Sessão'!$S160="","","S2 P: "&amp;'Registro por Sessão'!$S160&amp;CHAR(10))&amp;IF('Registro por Sessão'!$G161="","","S3 D: "&amp;'Registro por Sessão'!$G161&amp;CHAR(10))&amp;IF('Registro por Sessão'!$K161="","","S3 F: "&amp;'Registro por Sessão'!$K161&amp;CHAR(10))&amp;IF('Registro por Sessão'!$O161="","","S3 C: "&amp;'Registro por Sessão'!$O161&amp;CHAR(10))&amp;IF('Registro por Sessão'!$S161="","","S3 P: "&amp;'Registro por Sessão'!$S161&amp;CHAR(10))&amp;IF('Registro por Sessão'!$G162="","","S4 D: "&amp;'Registro por Sessão'!$G162&amp;CHAR(10))&amp;IF('Registro por Sessão'!$K162="","","S4 F: "&amp;'Registro por Sessão'!$K162&amp;CHAR(10))&amp;IF('Registro por Sessão'!$O162="","","S4 C: "&amp;'Registro por Sessão'!$O162&amp;CHAR(10))&amp;IF('Registro por Sessão'!$S162="","","S4 P: "&amp;'Registro por Sessão'!$S162&amp;CHAR(10))&amp;IF('Registro por Sessão'!$G163="","","S5 D: "&amp;'Registro por Sessão'!$G163&amp;CHAR(10))&amp;IF('Registro por Sessão'!$K163="","","S5 F: "&amp;'Registro por Sessão'!$K163&amp;CHAR(10))&amp;IF('Registro por Sessão'!$O163="","","S5 C: "&amp;'Registro por Sessão'!$O163&amp;CHAR(10))&amp;IF('Registro por Sessão'!$S163="","","S5 P: "&amp;'Registro por Sessão'!$S163&amp;CHAR(10)))</f>
        <v/>
      </c>
      <c r="K35" s="14">
        <f>IF($B35="","",IF('Registro por Sessão'!$W159="","","S1: "&amp;'Registro por Sessão'!$W159&amp;CHAR(10))&amp;IF('Registro por Sessão'!$X159="","","S1 obs: "&amp;'Registro por Sessão'!$X159&amp;CHAR(10))&amp;IF('Registro por Sessão'!$W160="","","S2: "&amp;'Registro por Sessão'!$W160&amp;CHAR(10))&amp;IF('Registro por Sessão'!$X160="","","S2 obs: "&amp;'Registro por Sessão'!$X160&amp;CHAR(10))&amp;IF('Registro por Sessão'!$W161="","","S3: "&amp;'Registro por Sessão'!$W161&amp;CHAR(10))&amp;IF('Registro por Sessão'!$X161="","","S3 obs: "&amp;'Registro por Sessão'!$X161&amp;CHAR(10))&amp;IF('Registro por Sessão'!$W162="","","S4: "&amp;'Registro por Sessão'!$W162&amp;CHAR(10))&amp;IF('Registro por Sessão'!$X162="","","S4 obs: "&amp;'Registro por Sessão'!$X162&amp;CHAR(10))&amp;IF('Registro por Sessão'!$W163="","","S5: "&amp;'Registro por Sessão'!$W163&amp;CHAR(10))&amp;IF('Registro por Sessão'!$X163="","","S5 obs: "&amp;'Registro por Sessão'!$X163&amp;CHAR(10)))</f>
        <v/>
      </c>
      <c r="L35" s="2" t="n"/>
      <c r="M35" s="8">
        <f>IF(ISNUMBER('Registro por Sessão'!$J159),'Registro por Sessão'!$J159,"")</f>
        <v/>
      </c>
      <c r="N35" s="8">
        <f>IF(ISNUMBER('Registro por Sessão'!$J160),'Registro por Sessão'!$J160,"")</f>
        <v/>
      </c>
      <c r="O35" s="8">
        <f>IF(ISNUMBER('Registro por Sessão'!$J161),'Registro por Sessão'!$J161,"")</f>
        <v/>
      </c>
      <c r="P35" s="8">
        <f>IF(ISNUMBER('Registro por Sessão'!$J162),'Registro por Sessão'!$J162,"")</f>
        <v/>
      </c>
      <c r="Q35" s="8">
        <f>IF(ISNUMBER('Registro por Sessão'!$J163),'Registro por Sessão'!$J163,"")</f>
        <v/>
      </c>
      <c r="R35" s="8">
        <f>IF(ISNUMBER('Registro por Sessão'!$N159),'Registro por Sessão'!$N159,"")</f>
        <v/>
      </c>
      <c r="S35" s="8">
        <f>IF(ISNUMBER('Registro por Sessão'!$N160),'Registro por Sessão'!$N160,"")</f>
        <v/>
      </c>
      <c r="T35" s="8">
        <f>IF(ISNUMBER('Registro por Sessão'!$N161),'Registro por Sessão'!$N161,"")</f>
        <v/>
      </c>
      <c r="U35" s="8">
        <f>IF(ISNUMBER('Registro por Sessão'!$N162),'Registro por Sessão'!$N162,"")</f>
        <v/>
      </c>
      <c r="V35" s="8">
        <f>IF(ISNUMBER('Registro por Sessão'!$N163),'Registro por Sessão'!$N163,"")</f>
        <v/>
      </c>
      <c r="W35" s="8">
        <f>IF(ISNUMBER('Registro por Sessão'!$R159),'Registro por Sessão'!$R159,"")</f>
        <v/>
      </c>
      <c r="X35" s="8">
        <f>IF(ISNUMBER('Registro por Sessão'!$R160),'Registro por Sessão'!$R160,"")</f>
        <v/>
      </c>
      <c r="Y35" s="8">
        <f>IF(ISNUMBER('Registro por Sessão'!$R161),'Registro por Sessão'!$R161,"")</f>
        <v/>
      </c>
      <c r="Z35" s="8">
        <f>IF(ISNUMBER('Registro por Sessão'!$R162),'Registro por Sessão'!$R162,"")</f>
        <v/>
      </c>
      <c r="AA35" s="8">
        <f>IF(ISNUMBER('Registro por Sessão'!$R163),'Registro por Sessão'!$R163,"")</f>
        <v/>
      </c>
      <c r="AB35" s="8">
        <f>IF(ISNUMBER('Registro por Sessão'!$V159),'Registro por Sessão'!$V159,"")</f>
        <v/>
      </c>
      <c r="AC35" s="8">
        <f>IF(ISNUMBER('Registro por Sessão'!$V160),'Registro por Sessão'!$V160,"")</f>
        <v/>
      </c>
      <c r="AD35" s="8">
        <f>IF(ISNUMBER('Registro por Sessão'!$V161),'Registro por Sessão'!$V161,"")</f>
        <v/>
      </c>
      <c r="AE35" s="8">
        <f>IF(ISNUMBER('Registro por Sessão'!$V162),'Registro por Sessão'!$V162,"")</f>
        <v/>
      </c>
      <c r="AF35" s="8">
        <f>IF(ISNUMBER('Registro por Sessão'!$V163),'Registro por Sessão'!$V163,"")</f>
        <v/>
      </c>
    </row>
    <row r="36">
      <c r="A36" s="6">
        <f>IF($B36="","",ROW()-3)</f>
        <v/>
      </c>
      <c r="B36" s="7">
        <f>IF(Preenchimento!$B$42="","",Preenchimento!$B$42)</f>
        <v/>
      </c>
      <c r="C36" s="7">
        <f>IF($B36="","",IF(Preenchimento!$C$42="","-",Preenchimento!$C$42))</f>
        <v/>
      </c>
      <c r="D36" s="6">
        <f>IF($B36="","",IF(Preenchimento!$D$42="","-",Preenchimento!$D$42))</f>
        <v/>
      </c>
      <c r="E36" s="31">
        <f>IF($B36="","",IFERROR(AVERAGE(M36:Q36),"-"))</f>
        <v/>
      </c>
      <c r="F36" s="31">
        <f>IF($B36="","",IFERROR(AVERAGE(R36:V36),"-"))</f>
        <v/>
      </c>
      <c r="G36" s="31">
        <f>IF($B36="","",IFERROR(AVERAGE(W36:AA36),"-"))</f>
        <v/>
      </c>
      <c r="H36" s="31">
        <f>IF($B36="","",IFERROR(AVERAGE(AB36:AF36),"-"))</f>
        <v/>
      </c>
      <c r="I36" s="31">
        <f>IF($B36="","",IFERROR(AVERAGE(M36:AF36),"-"))</f>
        <v/>
      </c>
      <c r="J36" s="13">
        <f>IF($B36="","",IF('Registro por Sessão'!$G164="","","S1 D: "&amp;'Registro por Sessão'!$G164&amp;CHAR(10))&amp;IF('Registro por Sessão'!$K164="","","S1 F: "&amp;'Registro por Sessão'!$K164&amp;CHAR(10))&amp;IF('Registro por Sessão'!$O164="","","S1 C: "&amp;'Registro por Sessão'!$O164&amp;CHAR(10))&amp;IF('Registro por Sessão'!$S164="","","S1 P: "&amp;'Registro por Sessão'!$S164&amp;CHAR(10))&amp;IF('Registro por Sessão'!$G165="","","S2 D: "&amp;'Registro por Sessão'!$G165&amp;CHAR(10))&amp;IF('Registro por Sessão'!$K165="","","S2 F: "&amp;'Registro por Sessão'!$K165&amp;CHAR(10))&amp;IF('Registro por Sessão'!$O165="","","S2 C: "&amp;'Registro por Sessão'!$O165&amp;CHAR(10))&amp;IF('Registro por Sessão'!$S165="","","S2 P: "&amp;'Registro por Sessão'!$S165&amp;CHAR(10))&amp;IF('Registro por Sessão'!$G166="","","S3 D: "&amp;'Registro por Sessão'!$G166&amp;CHAR(10))&amp;IF('Registro por Sessão'!$K166="","","S3 F: "&amp;'Registro por Sessão'!$K166&amp;CHAR(10))&amp;IF('Registro por Sessão'!$O166="","","S3 C: "&amp;'Registro por Sessão'!$O166&amp;CHAR(10))&amp;IF('Registro por Sessão'!$S166="","","S3 P: "&amp;'Registro por Sessão'!$S166&amp;CHAR(10))&amp;IF('Registro por Sessão'!$G167="","","S4 D: "&amp;'Registro por Sessão'!$G167&amp;CHAR(10))&amp;IF('Registro por Sessão'!$K167="","","S4 F: "&amp;'Registro por Sessão'!$K167&amp;CHAR(10))&amp;IF('Registro por Sessão'!$O167="","","S4 C: "&amp;'Registro por Sessão'!$O167&amp;CHAR(10))&amp;IF('Registro por Sessão'!$S167="","","S4 P: "&amp;'Registro por Sessão'!$S167&amp;CHAR(10))&amp;IF('Registro por Sessão'!$G168="","","S5 D: "&amp;'Registro por Sessão'!$G168&amp;CHAR(10))&amp;IF('Registro por Sessão'!$K168="","","S5 F: "&amp;'Registro por Sessão'!$K168&amp;CHAR(10))&amp;IF('Registro por Sessão'!$O168="","","S5 C: "&amp;'Registro por Sessão'!$O168&amp;CHAR(10))&amp;IF('Registro por Sessão'!$S168="","","S5 P: "&amp;'Registro por Sessão'!$S168&amp;CHAR(10)))</f>
        <v/>
      </c>
      <c r="K36" s="13">
        <f>IF($B36="","",IF('Registro por Sessão'!$W164="","","S1: "&amp;'Registro por Sessão'!$W164&amp;CHAR(10))&amp;IF('Registro por Sessão'!$X164="","","S1 obs: "&amp;'Registro por Sessão'!$X164&amp;CHAR(10))&amp;IF('Registro por Sessão'!$W165="","","S2: "&amp;'Registro por Sessão'!$W165&amp;CHAR(10))&amp;IF('Registro por Sessão'!$X165="","","S2 obs: "&amp;'Registro por Sessão'!$X165&amp;CHAR(10))&amp;IF('Registro por Sessão'!$W166="","","S3: "&amp;'Registro por Sessão'!$W166&amp;CHAR(10))&amp;IF('Registro por Sessão'!$X166="","","S3 obs: "&amp;'Registro por Sessão'!$X166&amp;CHAR(10))&amp;IF('Registro por Sessão'!$W167="","","S4: "&amp;'Registro por Sessão'!$W167&amp;CHAR(10))&amp;IF('Registro por Sessão'!$X167="","","S4 obs: "&amp;'Registro por Sessão'!$X167&amp;CHAR(10))&amp;IF('Registro por Sessão'!$W168="","","S5: "&amp;'Registro por Sessão'!$W168&amp;CHAR(10))&amp;IF('Registro por Sessão'!$X168="","","S5 obs: "&amp;'Registro por Sessão'!$X168&amp;CHAR(10)))</f>
        <v/>
      </c>
      <c r="L36" s="2" t="n"/>
      <c r="M36" s="6">
        <f>IF(ISNUMBER('Registro por Sessão'!$J164),'Registro por Sessão'!$J164,"")</f>
        <v/>
      </c>
      <c r="N36" s="6">
        <f>IF(ISNUMBER('Registro por Sessão'!$J165),'Registro por Sessão'!$J165,"")</f>
        <v/>
      </c>
      <c r="O36" s="6">
        <f>IF(ISNUMBER('Registro por Sessão'!$J166),'Registro por Sessão'!$J166,"")</f>
        <v/>
      </c>
      <c r="P36" s="6">
        <f>IF(ISNUMBER('Registro por Sessão'!$J167),'Registro por Sessão'!$J167,"")</f>
        <v/>
      </c>
      <c r="Q36" s="6">
        <f>IF(ISNUMBER('Registro por Sessão'!$J168),'Registro por Sessão'!$J168,"")</f>
        <v/>
      </c>
      <c r="R36" s="6">
        <f>IF(ISNUMBER('Registro por Sessão'!$N164),'Registro por Sessão'!$N164,"")</f>
        <v/>
      </c>
      <c r="S36" s="6">
        <f>IF(ISNUMBER('Registro por Sessão'!$N165),'Registro por Sessão'!$N165,"")</f>
        <v/>
      </c>
      <c r="T36" s="6">
        <f>IF(ISNUMBER('Registro por Sessão'!$N166),'Registro por Sessão'!$N166,"")</f>
        <v/>
      </c>
      <c r="U36" s="6">
        <f>IF(ISNUMBER('Registro por Sessão'!$N167),'Registro por Sessão'!$N167,"")</f>
        <v/>
      </c>
      <c r="V36" s="6">
        <f>IF(ISNUMBER('Registro por Sessão'!$N168),'Registro por Sessão'!$N168,"")</f>
        <v/>
      </c>
      <c r="W36" s="6">
        <f>IF(ISNUMBER('Registro por Sessão'!$R164),'Registro por Sessão'!$R164,"")</f>
        <v/>
      </c>
      <c r="X36" s="6">
        <f>IF(ISNUMBER('Registro por Sessão'!$R165),'Registro por Sessão'!$R165,"")</f>
        <v/>
      </c>
      <c r="Y36" s="6">
        <f>IF(ISNUMBER('Registro por Sessão'!$R166),'Registro por Sessão'!$R166,"")</f>
        <v/>
      </c>
      <c r="Z36" s="6">
        <f>IF(ISNUMBER('Registro por Sessão'!$R167),'Registro por Sessão'!$R167,"")</f>
        <v/>
      </c>
      <c r="AA36" s="6">
        <f>IF(ISNUMBER('Registro por Sessão'!$R168),'Registro por Sessão'!$R168,"")</f>
        <v/>
      </c>
      <c r="AB36" s="6">
        <f>IF(ISNUMBER('Registro por Sessão'!$V164),'Registro por Sessão'!$V164,"")</f>
        <v/>
      </c>
      <c r="AC36" s="6">
        <f>IF(ISNUMBER('Registro por Sessão'!$V165),'Registro por Sessão'!$V165,"")</f>
        <v/>
      </c>
      <c r="AD36" s="6">
        <f>IF(ISNUMBER('Registro por Sessão'!$V166),'Registro por Sessão'!$V166,"")</f>
        <v/>
      </c>
      <c r="AE36" s="6">
        <f>IF(ISNUMBER('Registro por Sessão'!$V167),'Registro por Sessão'!$V167,"")</f>
        <v/>
      </c>
      <c r="AF36" s="6">
        <f>IF(ISNUMBER('Registro por Sessão'!$V168),'Registro por Sessão'!$V168,"")</f>
        <v/>
      </c>
    </row>
    <row r="37">
      <c r="A37" s="8">
        <f>IF($B37="","",ROW()-3)</f>
        <v/>
      </c>
      <c r="B37" s="9">
        <f>IF(Preenchimento!$B$43="","",Preenchimento!$B$43)</f>
        <v/>
      </c>
      <c r="C37" s="9">
        <f>IF($B37="","",IF(Preenchimento!$C$43="","-",Preenchimento!$C$43))</f>
        <v/>
      </c>
      <c r="D37" s="8">
        <f>IF($B37="","",IF(Preenchimento!$D$43="","-",Preenchimento!$D$43))</f>
        <v/>
      </c>
      <c r="E37" s="32">
        <f>IF($B37="","",IFERROR(AVERAGE(M37:Q37),"-"))</f>
        <v/>
      </c>
      <c r="F37" s="32">
        <f>IF($B37="","",IFERROR(AVERAGE(R37:V37),"-"))</f>
        <v/>
      </c>
      <c r="G37" s="32">
        <f>IF($B37="","",IFERROR(AVERAGE(W37:AA37),"-"))</f>
        <v/>
      </c>
      <c r="H37" s="32">
        <f>IF($B37="","",IFERROR(AVERAGE(AB37:AF37),"-"))</f>
        <v/>
      </c>
      <c r="I37" s="32">
        <f>IF($B37="","",IFERROR(AVERAGE(M37:AF37),"-"))</f>
        <v/>
      </c>
      <c r="J37" s="14">
        <f>IF($B37="","",IF('Registro por Sessão'!$G169="","","S1 D: "&amp;'Registro por Sessão'!$G169&amp;CHAR(10))&amp;IF('Registro por Sessão'!$K169="","","S1 F: "&amp;'Registro por Sessão'!$K169&amp;CHAR(10))&amp;IF('Registro por Sessão'!$O169="","","S1 C: "&amp;'Registro por Sessão'!$O169&amp;CHAR(10))&amp;IF('Registro por Sessão'!$S169="","","S1 P: "&amp;'Registro por Sessão'!$S169&amp;CHAR(10))&amp;IF('Registro por Sessão'!$G170="","","S2 D: "&amp;'Registro por Sessão'!$G170&amp;CHAR(10))&amp;IF('Registro por Sessão'!$K170="","","S2 F: "&amp;'Registro por Sessão'!$K170&amp;CHAR(10))&amp;IF('Registro por Sessão'!$O170="","","S2 C: "&amp;'Registro por Sessão'!$O170&amp;CHAR(10))&amp;IF('Registro por Sessão'!$S170="","","S2 P: "&amp;'Registro por Sessão'!$S170&amp;CHAR(10))&amp;IF('Registro por Sessão'!$G171="","","S3 D: "&amp;'Registro por Sessão'!$G171&amp;CHAR(10))&amp;IF('Registro por Sessão'!$K171="","","S3 F: "&amp;'Registro por Sessão'!$K171&amp;CHAR(10))&amp;IF('Registro por Sessão'!$O171="","","S3 C: "&amp;'Registro por Sessão'!$O171&amp;CHAR(10))&amp;IF('Registro por Sessão'!$S171="","","S3 P: "&amp;'Registro por Sessão'!$S171&amp;CHAR(10))&amp;IF('Registro por Sessão'!$G172="","","S4 D: "&amp;'Registro por Sessão'!$G172&amp;CHAR(10))&amp;IF('Registro por Sessão'!$K172="","","S4 F: "&amp;'Registro por Sessão'!$K172&amp;CHAR(10))&amp;IF('Registro por Sessão'!$O172="","","S4 C: "&amp;'Registro por Sessão'!$O172&amp;CHAR(10))&amp;IF('Registro por Sessão'!$S172="","","S4 P: "&amp;'Registro por Sessão'!$S172&amp;CHAR(10))&amp;IF('Registro por Sessão'!$G173="","","S5 D: "&amp;'Registro por Sessão'!$G173&amp;CHAR(10))&amp;IF('Registro por Sessão'!$K173="","","S5 F: "&amp;'Registro por Sessão'!$K173&amp;CHAR(10))&amp;IF('Registro por Sessão'!$O173="","","S5 C: "&amp;'Registro por Sessão'!$O173&amp;CHAR(10))&amp;IF('Registro por Sessão'!$S173="","","S5 P: "&amp;'Registro por Sessão'!$S173&amp;CHAR(10)))</f>
        <v/>
      </c>
      <c r="K37" s="14">
        <f>IF($B37="","",IF('Registro por Sessão'!$W169="","","S1: "&amp;'Registro por Sessão'!$W169&amp;CHAR(10))&amp;IF('Registro por Sessão'!$X169="","","S1 obs: "&amp;'Registro por Sessão'!$X169&amp;CHAR(10))&amp;IF('Registro por Sessão'!$W170="","","S2: "&amp;'Registro por Sessão'!$W170&amp;CHAR(10))&amp;IF('Registro por Sessão'!$X170="","","S2 obs: "&amp;'Registro por Sessão'!$X170&amp;CHAR(10))&amp;IF('Registro por Sessão'!$W171="","","S3: "&amp;'Registro por Sessão'!$W171&amp;CHAR(10))&amp;IF('Registro por Sessão'!$X171="","","S3 obs: "&amp;'Registro por Sessão'!$X171&amp;CHAR(10))&amp;IF('Registro por Sessão'!$W172="","","S4: "&amp;'Registro por Sessão'!$W172&amp;CHAR(10))&amp;IF('Registro por Sessão'!$X172="","","S4 obs: "&amp;'Registro por Sessão'!$X172&amp;CHAR(10))&amp;IF('Registro por Sessão'!$W173="","","S5: "&amp;'Registro por Sessão'!$W173&amp;CHAR(10))&amp;IF('Registro por Sessão'!$X173="","","S5 obs: "&amp;'Registro por Sessão'!$X173&amp;CHAR(10)))</f>
        <v/>
      </c>
      <c r="L37" s="2" t="n"/>
      <c r="M37" s="8">
        <f>IF(ISNUMBER('Registro por Sessão'!$J169),'Registro por Sessão'!$J169,"")</f>
        <v/>
      </c>
      <c r="N37" s="8">
        <f>IF(ISNUMBER('Registro por Sessão'!$J170),'Registro por Sessão'!$J170,"")</f>
        <v/>
      </c>
      <c r="O37" s="8">
        <f>IF(ISNUMBER('Registro por Sessão'!$J171),'Registro por Sessão'!$J171,"")</f>
        <v/>
      </c>
      <c r="P37" s="8">
        <f>IF(ISNUMBER('Registro por Sessão'!$J172),'Registro por Sessão'!$J172,"")</f>
        <v/>
      </c>
      <c r="Q37" s="8">
        <f>IF(ISNUMBER('Registro por Sessão'!$J173),'Registro por Sessão'!$J173,"")</f>
        <v/>
      </c>
      <c r="R37" s="8">
        <f>IF(ISNUMBER('Registro por Sessão'!$N169),'Registro por Sessão'!$N169,"")</f>
        <v/>
      </c>
      <c r="S37" s="8">
        <f>IF(ISNUMBER('Registro por Sessão'!$N170),'Registro por Sessão'!$N170,"")</f>
        <v/>
      </c>
      <c r="T37" s="8">
        <f>IF(ISNUMBER('Registro por Sessão'!$N171),'Registro por Sessão'!$N171,"")</f>
        <v/>
      </c>
      <c r="U37" s="8">
        <f>IF(ISNUMBER('Registro por Sessão'!$N172),'Registro por Sessão'!$N172,"")</f>
        <v/>
      </c>
      <c r="V37" s="8">
        <f>IF(ISNUMBER('Registro por Sessão'!$N173),'Registro por Sessão'!$N173,"")</f>
        <v/>
      </c>
      <c r="W37" s="8">
        <f>IF(ISNUMBER('Registro por Sessão'!$R169),'Registro por Sessão'!$R169,"")</f>
        <v/>
      </c>
      <c r="X37" s="8">
        <f>IF(ISNUMBER('Registro por Sessão'!$R170),'Registro por Sessão'!$R170,"")</f>
        <v/>
      </c>
      <c r="Y37" s="8">
        <f>IF(ISNUMBER('Registro por Sessão'!$R171),'Registro por Sessão'!$R171,"")</f>
        <v/>
      </c>
      <c r="Z37" s="8">
        <f>IF(ISNUMBER('Registro por Sessão'!$R172),'Registro por Sessão'!$R172,"")</f>
        <v/>
      </c>
      <c r="AA37" s="8">
        <f>IF(ISNUMBER('Registro por Sessão'!$R173),'Registro por Sessão'!$R173,"")</f>
        <v/>
      </c>
      <c r="AB37" s="8">
        <f>IF(ISNUMBER('Registro por Sessão'!$V169),'Registro por Sessão'!$V169,"")</f>
        <v/>
      </c>
      <c r="AC37" s="8">
        <f>IF(ISNUMBER('Registro por Sessão'!$V170),'Registro por Sessão'!$V170,"")</f>
        <v/>
      </c>
      <c r="AD37" s="8">
        <f>IF(ISNUMBER('Registro por Sessão'!$V171),'Registro por Sessão'!$V171,"")</f>
        <v/>
      </c>
      <c r="AE37" s="8">
        <f>IF(ISNUMBER('Registro por Sessão'!$V172),'Registro por Sessão'!$V172,"")</f>
        <v/>
      </c>
      <c r="AF37" s="8">
        <f>IF(ISNUMBER('Registro por Sessão'!$V173),'Registro por Sessão'!$V173,"")</f>
        <v/>
      </c>
    </row>
    <row r="38">
      <c r="A38" s="6">
        <f>IF($B38="","",ROW()-3)</f>
        <v/>
      </c>
      <c r="B38" s="7">
        <f>IF(Preenchimento!$B$44="","",Preenchimento!$B$44)</f>
        <v/>
      </c>
      <c r="C38" s="7">
        <f>IF($B38="","",IF(Preenchimento!$C$44="","-",Preenchimento!$C$44))</f>
        <v/>
      </c>
      <c r="D38" s="6">
        <f>IF($B38="","",IF(Preenchimento!$D$44="","-",Preenchimento!$D$44))</f>
        <v/>
      </c>
      <c r="E38" s="31">
        <f>IF($B38="","",IFERROR(AVERAGE(M38:Q38),"-"))</f>
        <v/>
      </c>
      <c r="F38" s="31">
        <f>IF($B38="","",IFERROR(AVERAGE(R38:V38),"-"))</f>
        <v/>
      </c>
      <c r="G38" s="31">
        <f>IF($B38="","",IFERROR(AVERAGE(W38:AA38),"-"))</f>
        <v/>
      </c>
      <c r="H38" s="31">
        <f>IF($B38="","",IFERROR(AVERAGE(AB38:AF38),"-"))</f>
        <v/>
      </c>
      <c r="I38" s="31">
        <f>IF($B38="","",IFERROR(AVERAGE(M38:AF38),"-"))</f>
        <v/>
      </c>
      <c r="J38" s="13">
        <f>IF($B38="","",IF('Registro por Sessão'!$G174="","","S1 D: "&amp;'Registro por Sessão'!$G174&amp;CHAR(10))&amp;IF('Registro por Sessão'!$K174="","","S1 F: "&amp;'Registro por Sessão'!$K174&amp;CHAR(10))&amp;IF('Registro por Sessão'!$O174="","","S1 C: "&amp;'Registro por Sessão'!$O174&amp;CHAR(10))&amp;IF('Registro por Sessão'!$S174="","","S1 P: "&amp;'Registro por Sessão'!$S174&amp;CHAR(10))&amp;IF('Registro por Sessão'!$G175="","","S2 D: "&amp;'Registro por Sessão'!$G175&amp;CHAR(10))&amp;IF('Registro por Sessão'!$K175="","","S2 F: "&amp;'Registro por Sessão'!$K175&amp;CHAR(10))&amp;IF('Registro por Sessão'!$O175="","","S2 C: "&amp;'Registro por Sessão'!$O175&amp;CHAR(10))&amp;IF('Registro por Sessão'!$S175="","","S2 P: "&amp;'Registro por Sessão'!$S175&amp;CHAR(10))&amp;IF('Registro por Sessão'!$G176="","","S3 D: "&amp;'Registro por Sessão'!$G176&amp;CHAR(10))&amp;IF('Registro por Sessão'!$K176="","","S3 F: "&amp;'Registro por Sessão'!$K176&amp;CHAR(10))&amp;IF('Registro por Sessão'!$O176="","","S3 C: "&amp;'Registro por Sessão'!$O176&amp;CHAR(10))&amp;IF('Registro por Sessão'!$S176="","","S3 P: "&amp;'Registro por Sessão'!$S176&amp;CHAR(10))&amp;IF('Registro por Sessão'!$G177="","","S4 D: "&amp;'Registro por Sessão'!$G177&amp;CHAR(10))&amp;IF('Registro por Sessão'!$K177="","","S4 F: "&amp;'Registro por Sessão'!$K177&amp;CHAR(10))&amp;IF('Registro por Sessão'!$O177="","","S4 C: "&amp;'Registro por Sessão'!$O177&amp;CHAR(10))&amp;IF('Registro por Sessão'!$S177="","","S4 P: "&amp;'Registro por Sessão'!$S177&amp;CHAR(10))&amp;IF('Registro por Sessão'!$G178="","","S5 D: "&amp;'Registro por Sessão'!$G178&amp;CHAR(10))&amp;IF('Registro por Sessão'!$K178="","","S5 F: "&amp;'Registro por Sessão'!$K178&amp;CHAR(10))&amp;IF('Registro por Sessão'!$O178="","","S5 C: "&amp;'Registro por Sessão'!$O178&amp;CHAR(10))&amp;IF('Registro por Sessão'!$S178="","","S5 P: "&amp;'Registro por Sessão'!$S178&amp;CHAR(10)))</f>
        <v/>
      </c>
      <c r="K38" s="13">
        <f>IF($B38="","",IF('Registro por Sessão'!$W174="","","S1: "&amp;'Registro por Sessão'!$W174&amp;CHAR(10))&amp;IF('Registro por Sessão'!$X174="","","S1 obs: "&amp;'Registro por Sessão'!$X174&amp;CHAR(10))&amp;IF('Registro por Sessão'!$W175="","","S2: "&amp;'Registro por Sessão'!$W175&amp;CHAR(10))&amp;IF('Registro por Sessão'!$X175="","","S2 obs: "&amp;'Registro por Sessão'!$X175&amp;CHAR(10))&amp;IF('Registro por Sessão'!$W176="","","S3: "&amp;'Registro por Sessão'!$W176&amp;CHAR(10))&amp;IF('Registro por Sessão'!$X176="","","S3 obs: "&amp;'Registro por Sessão'!$X176&amp;CHAR(10))&amp;IF('Registro por Sessão'!$W177="","","S4: "&amp;'Registro por Sessão'!$W177&amp;CHAR(10))&amp;IF('Registro por Sessão'!$X177="","","S4 obs: "&amp;'Registro por Sessão'!$X177&amp;CHAR(10))&amp;IF('Registro por Sessão'!$W178="","","S5: "&amp;'Registro por Sessão'!$W178&amp;CHAR(10))&amp;IF('Registro por Sessão'!$X178="","","S5 obs: "&amp;'Registro por Sessão'!$X178&amp;CHAR(10)))</f>
        <v/>
      </c>
      <c r="L38" s="2" t="n"/>
      <c r="M38" s="6">
        <f>IF(ISNUMBER('Registro por Sessão'!$J174),'Registro por Sessão'!$J174,"")</f>
        <v/>
      </c>
      <c r="N38" s="6">
        <f>IF(ISNUMBER('Registro por Sessão'!$J175),'Registro por Sessão'!$J175,"")</f>
        <v/>
      </c>
      <c r="O38" s="6">
        <f>IF(ISNUMBER('Registro por Sessão'!$J176),'Registro por Sessão'!$J176,"")</f>
        <v/>
      </c>
      <c r="P38" s="6">
        <f>IF(ISNUMBER('Registro por Sessão'!$J177),'Registro por Sessão'!$J177,"")</f>
        <v/>
      </c>
      <c r="Q38" s="6">
        <f>IF(ISNUMBER('Registro por Sessão'!$J178),'Registro por Sessão'!$J178,"")</f>
        <v/>
      </c>
      <c r="R38" s="6">
        <f>IF(ISNUMBER('Registro por Sessão'!$N174),'Registro por Sessão'!$N174,"")</f>
        <v/>
      </c>
      <c r="S38" s="6">
        <f>IF(ISNUMBER('Registro por Sessão'!$N175),'Registro por Sessão'!$N175,"")</f>
        <v/>
      </c>
      <c r="T38" s="6">
        <f>IF(ISNUMBER('Registro por Sessão'!$N176),'Registro por Sessão'!$N176,"")</f>
        <v/>
      </c>
      <c r="U38" s="6">
        <f>IF(ISNUMBER('Registro por Sessão'!$N177),'Registro por Sessão'!$N177,"")</f>
        <v/>
      </c>
      <c r="V38" s="6">
        <f>IF(ISNUMBER('Registro por Sessão'!$N178),'Registro por Sessão'!$N178,"")</f>
        <v/>
      </c>
      <c r="W38" s="6">
        <f>IF(ISNUMBER('Registro por Sessão'!$R174),'Registro por Sessão'!$R174,"")</f>
        <v/>
      </c>
      <c r="X38" s="6">
        <f>IF(ISNUMBER('Registro por Sessão'!$R175),'Registro por Sessão'!$R175,"")</f>
        <v/>
      </c>
      <c r="Y38" s="6">
        <f>IF(ISNUMBER('Registro por Sessão'!$R176),'Registro por Sessão'!$R176,"")</f>
        <v/>
      </c>
      <c r="Z38" s="6">
        <f>IF(ISNUMBER('Registro por Sessão'!$R177),'Registro por Sessão'!$R177,"")</f>
        <v/>
      </c>
      <c r="AA38" s="6">
        <f>IF(ISNUMBER('Registro por Sessão'!$R178),'Registro por Sessão'!$R178,"")</f>
        <v/>
      </c>
      <c r="AB38" s="6">
        <f>IF(ISNUMBER('Registro por Sessão'!$V174),'Registro por Sessão'!$V174,"")</f>
        <v/>
      </c>
      <c r="AC38" s="6">
        <f>IF(ISNUMBER('Registro por Sessão'!$V175),'Registro por Sessão'!$V175,"")</f>
        <v/>
      </c>
      <c r="AD38" s="6">
        <f>IF(ISNUMBER('Registro por Sessão'!$V176),'Registro por Sessão'!$V176,"")</f>
        <v/>
      </c>
      <c r="AE38" s="6">
        <f>IF(ISNUMBER('Registro por Sessão'!$V177),'Registro por Sessão'!$V177,"")</f>
        <v/>
      </c>
      <c r="AF38" s="6">
        <f>IF(ISNUMBER('Registro por Sessão'!$V178),'Registro por Sessão'!$V178,"")</f>
        <v/>
      </c>
    </row>
    <row r="39">
      <c r="A39" s="8">
        <f>IF($B39="","",ROW()-3)</f>
        <v/>
      </c>
      <c r="B39" s="9">
        <f>IF(Preenchimento!$B$45="","",Preenchimento!$B$45)</f>
        <v/>
      </c>
      <c r="C39" s="9">
        <f>IF($B39="","",IF(Preenchimento!$C$45="","-",Preenchimento!$C$45))</f>
        <v/>
      </c>
      <c r="D39" s="8">
        <f>IF($B39="","",IF(Preenchimento!$D$45="","-",Preenchimento!$D$45))</f>
        <v/>
      </c>
      <c r="E39" s="32">
        <f>IF($B39="","",IFERROR(AVERAGE(M39:Q39),"-"))</f>
        <v/>
      </c>
      <c r="F39" s="32">
        <f>IF($B39="","",IFERROR(AVERAGE(R39:V39),"-"))</f>
        <v/>
      </c>
      <c r="G39" s="32">
        <f>IF($B39="","",IFERROR(AVERAGE(W39:AA39),"-"))</f>
        <v/>
      </c>
      <c r="H39" s="32">
        <f>IF($B39="","",IFERROR(AVERAGE(AB39:AF39),"-"))</f>
        <v/>
      </c>
      <c r="I39" s="32">
        <f>IF($B39="","",IFERROR(AVERAGE(M39:AF39),"-"))</f>
        <v/>
      </c>
      <c r="J39" s="14">
        <f>IF($B39="","",IF('Registro por Sessão'!$G179="","","S1 D: "&amp;'Registro por Sessão'!$G179&amp;CHAR(10))&amp;IF('Registro por Sessão'!$K179="","","S1 F: "&amp;'Registro por Sessão'!$K179&amp;CHAR(10))&amp;IF('Registro por Sessão'!$O179="","","S1 C: "&amp;'Registro por Sessão'!$O179&amp;CHAR(10))&amp;IF('Registro por Sessão'!$S179="","","S1 P: "&amp;'Registro por Sessão'!$S179&amp;CHAR(10))&amp;IF('Registro por Sessão'!$G180="","","S2 D: "&amp;'Registro por Sessão'!$G180&amp;CHAR(10))&amp;IF('Registro por Sessão'!$K180="","","S2 F: "&amp;'Registro por Sessão'!$K180&amp;CHAR(10))&amp;IF('Registro por Sessão'!$O180="","","S2 C: "&amp;'Registro por Sessão'!$O180&amp;CHAR(10))&amp;IF('Registro por Sessão'!$S180="","","S2 P: "&amp;'Registro por Sessão'!$S180&amp;CHAR(10))&amp;IF('Registro por Sessão'!$G181="","","S3 D: "&amp;'Registro por Sessão'!$G181&amp;CHAR(10))&amp;IF('Registro por Sessão'!$K181="","","S3 F: "&amp;'Registro por Sessão'!$K181&amp;CHAR(10))&amp;IF('Registro por Sessão'!$O181="","","S3 C: "&amp;'Registro por Sessão'!$O181&amp;CHAR(10))&amp;IF('Registro por Sessão'!$S181="","","S3 P: "&amp;'Registro por Sessão'!$S181&amp;CHAR(10))&amp;IF('Registro por Sessão'!$G182="","","S4 D: "&amp;'Registro por Sessão'!$G182&amp;CHAR(10))&amp;IF('Registro por Sessão'!$K182="","","S4 F: "&amp;'Registro por Sessão'!$K182&amp;CHAR(10))&amp;IF('Registro por Sessão'!$O182="","","S4 C: "&amp;'Registro por Sessão'!$O182&amp;CHAR(10))&amp;IF('Registro por Sessão'!$S182="","","S4 P: "&amp;'Registro por Sessão'!$S182&amp;CHAR(10))&amp;IF('Registro por Sessão'!$G183="","","S5 D: "&amp;'Registro por Sessão'!$G183&amp;CHAR(10))&amp;IF('Registro por Sessão'!$K183="","","S5 F: "&amp;'Registro por Sessão'!$K183&amp;CHAR(10))&amp;IF('Registro por Sessão'!$O183="","","S5 C: "&amp;'Registro por Sessão'!$O183&amp;CHAR(10))&amp;IF('Registro por Sessão'!$S183="","","S5 P: "&amp;'Registro por Sessão'!$S183&amp;CHAR(10)))</f>
        <v/>
      </c>
      <c r="K39" s="14">
        <f>IF($B39="","",IF('Registro por Sessão'!$W179="","","S1: "&amp;'Registro por Sessão'!$W179&amp;CHAR(10))&amp;IF('Registro por Sessão'!$X179="","","S1 obs: "&amp;'Registro por Sessão'!$X179&amp;CHAR(10))&amp;IF('Registro por Sessão'!$W180="","","S2: "&amp;'Registro por Sessão'!$W180&amp;CHAR(10))&amp;IF('Registro por Sessão'!$X180="","","S2 obs: "&amp;'Registro por Sessão'!$X180&amp;CHAR(10))&amp;IF('Registro por Sessão'!$W181="","","S3: "&amp;'Registro por Sessão'!$W181&amp;CHAR(10))&amp;IF('Registro por Sessão'!$X181="","","S3 obs: "&amp;'Registro por Sessão'!$X181&amp;CHAR(10))&amp;IF('Registro por Sessão'!$W182="","","S4: "&amp;'Registro por Sessão'!$W182&amp;CHAR(10))&amp;IF('Registro por Sessão'!$X182="","","S4 obs: "&amp;'Registro por Sessão'!$X182&amp;CHAR(10))&amp;IF('Registro por Sessão'!$W183="","","S5: "&amp;'Registro por Sessão'!$W183&amp;CHAR(10))&amp;IF('Registro por Sessão'!$X183="","","S5 obs: "&amp;'Registro por Sessão'!$X183&amp;CHAR(10)))</f>
        <v/>
      </c>
      <c r="L39" s="2" t="n"/>
      <c r="M39" s="8">
        <f>IF(ISNUMBER('Registro por Sessão'!$J179),'Registro por Sessão'!$J179,"")</f>
        <v/>
      </c>
      <c r="N39" s="8">
        <f>IF(ISNUMBER('Registro por Sessão'!$J180),'Registro por Sessão'!$J180,"")</f>
        <v/>
      </c>
      <c r="O39" s="8">
        <f>IF(ISNUMBER('Registro por Sessão'!$J181),'Registro por Sessão'!$J181,"")</f>
        <v/>
      </c>
      <c r="P39" s="8">
        <f>IF(ISNUMBER('Registro por Sessão'!$J182),'Registro por Sessão'!$J182,"")</f>
        <v/>
      </c>
      <c r="Q39" s="8">
        <f>IF(ISNUMBER('Registro por Sessão'!$J183),'Registro por Sessão'!$J183,"")</f>
        <v/>
      </c>
      <c r="R39" s="8">
        <f>IF(ISNUMBER('Registro por Sessão'!$N179),'Registro por Sessão'!$N179,"")</f>
        <v/>
      </c>
      <c r="S39" s="8">
        <f>IF(ISNUMBER('Registro por Sessão'!$N180),'Registro por Sessão'!$N180,"")</f>
        <v/>
      </c>
      <c r="T39" s="8">
        <f>IF(ISNUMBER('Registro por Sessão'!$N181),'Registro por Sessão'!$N181,"")</f>
        <v/>
      </c>
      <c r="U39" s="8">
        <f>IF(ISNUMBER('Registro por Sessão'!$N182),'Registro por Sessão'!$N182,"")</f>
        <v/>
      </c>
      <c r="V39" s="8">
        <f>IF(ISNUMBER('Registro por Sessão'!$N183),'Registro por Sessão'!$N183,"")</f>
        <v/>
      </c>
      <c r="W39" s="8">
        <f>IF(ISNUMBER('Registro por Sessão'!$R179),'Registro por Sessão'!$R179,"")</f>
        <v/>
      </c>
      <c r="X39" s="8">
        <f>IF(ISNUMBER('Registro por Sessão'!$R180),'Registro por Sessão'!$R180,"")</f>
        <v/>
      </c>
      <c r="Y39" s="8">
        <f>IF(ISNUMBER('Registro por Sessão'!$R181),'Registro por Sessão'!$R181,"")</f>
        <v/>
      </c>
      <c r="Z39" s="8">
        <f>IF(ISNUMBER('Registro por Sessão'!$R182),'Registro por Sessão'!$R182,"")</f>
        <v/>
      </c>
      <c r="AA39" s="8">
        <f>IF(ISNUMBER('Registro por Sessão'!$R183),'Registro por Sessão'!$R183,"")</f>
        <v/>
      </c>
      <c r="AB39" s="8">
        <f>IF(ISNUMBER('Registro por Sessão'!$V179),'Registro por Sessão'!$V179,"")</f>
        <v/>
      </c>
      <c r="AC39" s="8">
        <f>IF(ISNUMBER('Registro por Sessão'!$V180),'Registro por Sessão'!$V180,"")</f>
        <v/>
      </c>
      <c r="AD39" s="8">
        <f>IF(ISNUMBER('Registro por Sessão'!$V181),'Registro por Sessão'!$V181,"")</f>
        <v/>
      </c>
      <c r="AE39" s="8">
        <f>IF(ISNUMBER('Registro por Sessão'!$V182),'Registro por Sessão'!$V182,"")</f>
        <v/>
      </c>
      <c r="AF39" s="8">
        <f>IF(ISNUMBER('Registro por Sessão'!$V183),'Registro por Sessão'!$V183,"")</f>
        <v/>
      </c>
    </row>
    <row r="40">
      <c r="A40" s="6">
        <f>IF($B40="","",ROW()-3)</f>
        <v/>
      </c>
      <c r="B40" s="7">
        <f>IF(Preenchimento!$B$46="","",Preenchimento!$B$46)</f>
        <v/>
      </c>
      <c r="C40" s="7">
        <f>IF($B40="","",IF(Preenchimento!$C$46="","-",Preenchimento!$C$46))</f>
        <v/>
      </c>
      <c r="D40" s="6">
        <f>IF($B40="","",IF(Preenchimento!$D$46="","-",Preenchimento!$D$46))</f>
        <v/>
      </c>
      <c r="E40" s="31">
        <f>IF($B40="","",IFERROR(AVERAGE(M40:Q40),"-"))</f>
        <v/>
      </c>
      <c r="F40" s="31">
        <f>IF($B40="","",IFERROR(AVERAGE(R40:V40),"-"))</f>
        <v/>
      </c>
      <c r="G40" s="31">
        <f>IF($B40="","",IFERROR(AVERAGE(W40:AA40),"-"))</f>
        <v/>
      </c>
      <c r="H40" s="31">
        <f>IF($B40="","",IFERROR(AVERAGE(AB40:AF40),"-"))</f>
        <v/>
      </c>
      <c r="I40" s="31">
        <f>IF($B40="","",IFERROR(AVERAGE(M40:AF40),"-"))</f>
        <v/>
      </c>
      <c r="J40" s="13">
        <f>IF($B40="","",IF('Registro por Sessão'!$G184="","","S1 D: "&amp;'Registro por Sessão'!$G184&amp;CHAR(10))&amp;IF('Registro por Sessão'!$K184="","","S1 F: "&amp;'Registro por Sessão'!$K184&amp;CHAR(10))&amp;IF('Registro por Sessão'!$O184="","","S1 C: "&amp;'Registro por Sessão'!$O184&amp;CHAR(10))&amp;IF('Registro por Sessão'!$S184="","","S1 P: "&amp;'Registro por Sessão'!$S184&amp;CHAR(10))&amp;IF('Registro por Sessão'!$G185="","","S2 D: "&amp;'Registro por Sessão'!$G185&amp;CHAR(10))&amp;IF('Registro por Sessão'!$K185="","","S2 F: "&amp;'Registro por Sessão'!$K185&amp;CHAR(10))&amp;IF('Registro por Sessão'!$O185="","","S2 C: "&amp;'Registro por Sessão'!$O185&amp;CHAR(10))&amp;IF('Registro por Sessão'!$S185="","","S2 P: "&amp;'Registro por Sessão'!$S185&amp;CHAR(10))&amp;IF('Registro por Sessão'!$G186="","","S3 D: "&amp;'Registro por Sessão'!$G186&amp;CHAR(10))&amp;IF('Registro por Sessão'!$K186="","","S3 F: "&amp;'Registro por Sessão'!$K186&amp;CHAR(10))&amp;IF('Registro por Sessão'!$O186="","","S3 C: "&amp;'Registro por Sessão'!$O186&amp;CHAR(10))&amp;IF('Registro por Sessão'!$S186="","","S3 P: "&amp;'Registro por Sessão'!$S186&amp;CHAR(10))&amp;IF('Registro por Sessão'!$G187="","","S4 D: "&amp;'Registro por Sessão'!$G187&amp;CHAR(10))&amp;IF('Registro por Sessão'!$K187="","","S4 F: "&amp;'Registro por Sessão'!$K187&amp;CHAR(10))&amp;IF('Registro por Sessão'!$O187="","","S4 C: "&amp;'Registro por Sessão'!$O187&amp;CHAR(10))&amp;IF('Registro por Sessão'!$S187="","","S4 P: "&amp;'Registro por Sessão'!$S187&amp;CHAR(10))&amp;IF('Registro por Sessão'!$G188="","","S5 D: "&amp;'Registro por Sessão'!$G188&amp;CHAR(10))&amp;IF('Registro por Sessão'!$K188="","","S5 F: "&amp;'Registro por Sessão'!$K188&amp;CHAR(10))&amp;IF('Registro por Sessão'!$O188="","","S5 C: "&amp;'Registro por Sessão'!$O188&amp;CHAR(10))&amp;IF('Registro por Sessão'!$S188="","","S5 P: "&amp;'Registro por Sessão'!$S188&amp;CHAR(10)))</f>
        <v/>
      </c>
      <c r="K40" s="13">
        <f>IF($B40="","",IF('Registro por Sessão'!$W184="","","S1: "&amp;'Registro por Sessão'!$W184&amp;CHAR(10))&amp;IF('Registro por Sessão'!$X184="","","S1 obs: "&amp;'Registro por Sessão'!$X184&amp;CHAR(10))&amp;IF('Registro por Sessão'!$W185="","","S2: "&amp;'Registro por Sessão'!$W185&amp;CHAR(10))&amp;IF('Registro por Sessão'!$X185="","","S2 obs: "&amp;'Registro por Sessão'!$X185&amp;CHAR(10))&amp;IF('Registro por Sessão'!$W186="","","S3: "&amp;'Registro por Sessão'!$W186&amp;CHAR(10))&amp;IF('Registro por Sessão'!$X186="","","S3 obs: "&amp;'Registro por Sessão'!$X186&amp;CHAR(10))&amp;IF('Registro por Sessão'!$W187="","","S4: "&amp;'Registro por Sessão'!$W187&amp;CHAR(10))&amp;IF('Registro por Sessão'!$X187="","","S4 obs: "&amp;'Registro por Sessão'!$X187&amp;CHAR(10))&amp;IF('Registro por Sessão'!$W188="","","S5: "&amp;'Registro por Sessão'!$W188&amp;CHAR(10))&amp;IF('Registro por Sessão'!$X188="","","S5 obs: "&amp;'Registro por Sessão'!$X188&amp;CHAR(10)))</f>
        <v/>
      </c>
      <c r="L40" s="2" t="n"/>
      <c r="M40" s="6">
        <f>IF(ISNUMBER('Registro por Sessão'!$J184),'Registro por Sessão'!$J184,"")</f>
        <v/>
      </c>
      <c r="N40" s="6">
        <f>IF(ISNUMBER('Registro por Sessão'!$J185),'Registro por Sessão'!$J185,"")</f>
        <v/>
      </c>
      <c r="O40" s="6">
        <f>IF(ISNUMBER('Registro por Sessão'!$J186),'Registro por Sessão'!$J186,"")</f>
        <v/>
      </c>
      <c r="P40" s="6">
        <f>IF(ISNUMBER('Registro por Sessão'!$J187),'Registro por Sessão'!$J187,"")</f>
        <v/>
      </c>
      <c r="Q40" s="6">
        <f>IF(ISNUMBER('Registro por Sessão'!$J188),'Registro por Sessão'!$J188,"")</f>
        <v/>
      </c>
      <c r="R40" s="6">
        <f>IF(ISNUMBER('Registro por Sessão'!$N184),'Registro por Sessão'!$N184,"")</f>
        <v/>
      </c>
      <c r="S40" s="6">
        <f>IF(ISNUMBER('Registro por Sessão'!$N185),'Registro por Sessão'!$N185,"")</f>
        <v/>
      </c>
      <c r="T40" s="6">
        <f>IF(ISNUMBER('Registro por Sessão'!$N186),'Registro por Sessão'!$N186,"")</f>
        <v/>
      </c>
      <c r="U40" s="6">
        <f>IF(ISNUMBER('Registro por Sessão'!$N187),'Registro por Sessão'!$N187,"")</f>
        <v/>
      </c>
      <c r="V40" s="6">
        <f>IF(ISNUMBER('Registro por Sessão'!$N188),'Registro por Sessão'!$N188,"")</f>
        <v/>
      </c>
      <c r="W40" s="6">
        <f>IF(ISNUMBER('Registro por Sessão'!$R184),'Registro por Sessão'!$R184,"")</f>
        <v/>
      </c>
      <c r="X40" s="6">
        <f>IF(ISNUMBER('Registro por Sessão'!$R185),'Registro por Sessão'!$R185,"")</f>
        <v/>
      </c>
      <c r="Y40" s="6">
        <f>IF(ISNUMBER('Registro por Sessão'!$R186),'Registro por Sessão'!$R186,"")</f>
        <v/>
      </c>
      <c r="Z40" s="6">
        <f>IF(ISNUMBER('Registro por Sessão'!$R187),'Registro por Sessão'!$R187,"")</f>
        <v/>
      </c>
      <c r="AA40" s="6">
        <f>IF(ISNUMBER('Registro por Sessão'!$R188),'Registro por Sessão'!$R188,"")</f>
        <v/>
      </c>
      <c r="AB40" s="6">
        <f>IF(ISNUMBER('Registro por Sessão'!$V184),'Registro por Sessão'!$V184,"")</f>
        <v/>
      </c>
      <c r="AC40" s="6">
        <f>IF(ISNUMBER('Registro por Sessão'!$V185),'Registro por Sessão'!$V185,"")</f>
        <v/>
      </c>
      <c r="AD40" s="6">
        <f>IF(ISNUMBER('Registro por Sessão'!$V186),'Registro por Sessão'!$V186,"")</f>
        <v/>
      </c>
      <c r="AE40" s="6">
        <f>IF(ISNUMBER('Registro por Sessão'!$V187),'Registro por Sessão'!$V187,"")</f>
        <v/>
      </c>
      <c r="AF40" s="6">
        <f>IF(ISNUMBER('Registro por Sessão'!$V188),'Registro por Sessão'!$V188,"")</f>
        <v/>
      </c>
    </row>
    <row r="41">
      <c r="A41" s="8">
        <f>IF($B41="","",ROW()-3)</f>
        <v/>
      </c>
      <c r="B41" s="9">
        <f>IF(Preenchimento!$B$47="","",Preenchimento!$B$47)</f>
        <v/>
      </c>
      <c r="C41" s="9">
        <f>IF($B41="","",IF(Preenchimento!$C$47="","-",Preenchimento!$C$47))</f>
        <v/>
      </c>
      <c r="D41" s="8">
        <f>IF($B41="","",IF(Preenchimento!$D$47="","-",Preenchimento!$D$47))</f>
        <v/>
      </c>
      <c r="E41" s="32">
        <f>IF($B41="","",IFERROR(AVERAGE(M41:Q41),"-"))</f>
        <v/>
      </c>
      <c r="F41" s="32">
        <f>IF($B41="","",IFERROR(AVERAGE(R41:V41),"-"))</f>
        <v/>
      </c>
      <c r="G41" s="32">
        <f>IF($B41="","",IFERROR(AVERAGE(W41:AA41),"-"))</f>
        <v/>
      </c>
      <c r="H41" s="32">
        <f>IF($B41="","",IFERROR(AVERAGE(AB41:AF41),"-"))</f>
        <v/>
      </c>
      <c r="I41" s="32">
        <f>IF($B41="","",IFERROR(AVERAGE(M41:AF41),"-"))</f>
        <v/>
      </c>
      <c r="J41" s="14">
        <f>IF($B41="","",IF('Registro por Sessão'!$G189="","","S1 D: "&amp;'Registro por Sessão'!$G189&amp;CHAR(10))&amp;IF('Registro por Sessão'!$K189="","","S1 F: "&amp;'Registro por Sessão'!$K189&amp;CHAR(10))&amp;IF('Registro por Sessão'!$O189="","","S1 C: "&amp;'Registro por Sessão'!$O189&amp;CHAR(10))&amp;IF('Registro por Sessão'!$S189="","","S1 P: "&amp;'Registro por Sessão'!$S189&amp;CHAR(10))&amp;IF('Registro por Sessão'!$G190="","","S2 D: "&amp;'Registro por Sessão'!$G190&amp;CHAR(10))&amp;IF('Registro por Sessão'!$K190="","","S2 F: "&amp;'Registro por Sessão'!$K190&amp;CHAR(10))&amp;IF('Registro por Sessão'!$O190="","","S2 C: "&amp;'Registro por Sessão'!$O190&amp;CHAR(10))&amp;IF('Registro por Sessão'!$S190="","","S2 P: "&amp;'Registro por Sessão'!$S190&amp;CHAR(10))&amp;IF('Registro por Sessão'!$G191="","","S3 D: "&amp;'Registro por Sessão'!$G191&amp;CHAR(10))&amp;IF('Registro por Sessão'!$K191="","","S3 F: "&amp;'Registro por Sessão'!$K191&amp;CHAR(10))&amp;IF('Registro por Sessão'!$O191="","","S3 C: "&amp;'Registro por Sessão'!$O191&amp;CHAR(10))&amp;IF('Registro por Sessão'!$S191="","","S3 P: "&amp;'Registro por Sessão'!$S191&amp;CHAR(10))&amp;IF('Registro por Sessão'!$G192="","","S4 D: "&amp;'Registro por Sessão'!$G192&amp;CHAR(10))&amp;IF('Registro por Sessão'!$K192="","","S4 F: "&amp;'Registro por Sessão'!$K192&amp;CHAR(10))&amp;IF('Registro por Sessão'!$O192="","","S4 C: "&amp;'Registro por Sessão'!$O192&amp;CHAR(10))&amp;IF('Registro por Sessão'!$S192="","","S4 P: "&amp;'Registro por Sessão'!$S192&amp;CHAR(10))&amp;IF('Registro por Sessão'!$G193="","","S5 D: "&amp;'Registro por Sessão'!$G193&amp;CHAR(10))&amp;IF('Registro por Sessão'!$K193="","","S5 F: "&amp;'Registro por Sessão'!$K193&amp;CHAR(10))&amp;IF('Registro por Sessão'!$O193="","","S5 C: "&amp;'Registro por Sessão'!$O193&amp;CHAR(10))&amp;IF('Registro por Sessão'!$S193="","","S5 P: "&amp;'Registro por Sessão'!$S193&amp;CHAR(10)))</f>
        <v/>
      </c>
      <c r="K41" s="14">
        <f>IF($B41="","",IF('Registro por Sessão'!$W189="","","S1: "&amp;'Registro por Sessão'!$W189&amp;CHAR(10))&amp;IF('Registro por Sessão'!$X189="","","S1 obs: "&amp;'Registro por Sessão'!$X189&amp;CHAR(10))&amp;IF('Registro por Sessão'!$W190="","","S2: "&amp;'Registro por Sessão'!$W190&amp;CHAR(10))&amp;IF('Registro por Sessão'!$X190="","","S2 obs: "&amp;'Registro por Sessão'!$X190&amp;CHAR(10))&amp;IF('Registro por Sessão'!$W191="","","S3: "&amp;'Registro por Sessão'!$W191&amp;CHAR(10))&amp;IF('Registro por Sessão'!$X191="","","S3 obs: "&amp;'Registro por Sessão'!$X191&amp;CHAR(10))&amp;IF('Registro por Sessão'!$W192="","","S4: "&amp;'Registro por Sessão'!$W192&amp;CHAR(10))&amp;IF('Registro por Sessão'!$X192="","","S4 obs: "&amp;'Registro por Sessão'!$X192&amp;CHAR(10))&amp;IF('Registro por Sessão'!$W193="","","S5: "&amp;'Registro por Sessão'!$W193&amp;CHAR(10))&amp;IF('Registro por Sessão'!$X193="","","S5 obs: "&amp;'Registro por Sessão'!$X193&amp;CHAR(10)))</f>
        <v/>
      </c>
      <c r="L41" s="2" t="n"/>
      <c r="M41" s="8">
        <f>IF(ISNUMBER('Registro por Sessão'!$J189),'Registro por Sessão'!$J189,"")</f>
        <v/>
      </c>
      <c r="N41" s="8">
        <f>IF(ISNUMBER('Registro por Sessão'!$J190),'Registro por Sessão'!$J190,"")</f>
        <v/>
      </c>
      <c r="O41" s="8">
        <f>IF(ISNUMBER('Registro por Sessão'!$J191),'Registro por Sessão'!$J191,"")</f>
        <v/>
      </c>
      <c r="P41" s="8">
        <f>IF(ISNUMBER('Registro por Sessão'!$J192),'Registro por Sessão'!$J192,"")</f>
        <v/>
      </c>
      <c r="Q41" s="8">
        <f>IF(ISNUMBER('Registro por Sessão'!$J193),'Registro por Sessão'!$J193,"")</f>
        <v/>
      </c>
      <c r="R41" s="8">
        <f>IF(ISNUMBER('Registro por Sessão'!$N189),'Registro por Sessão'!$N189,"")</f>
        <v/>
      </c>
      <c r="S41" s="8">
        <f>IF(ISNUMBER('Registro por Sessão'!$N190),'Registro por Sessão'!$N190,"")</f>
        <v/>
      </c>
      <c r="T41" s="8">
        <f>IF(ISNUMBER('Registro por Sessão'!$N191),'Registro por Sessão'!$N191,"")</f>
        <v/>
      </c>
      <c r="U41" s="8">
        <f>IF(ISNUMBER('Registro por Sessão'!$N192),'Registro por Sessão'!$N192,"")</f>
        <v/>
      </c>
      <c r="V41" s="8">
        <f>IF(ISNUMBER('Registro por Sessão'!$N193),'Registro por Sessão'!$N193,"")</f>
        <v/>
      </c>
      <c r="W41" s="8">
        <f>IF(ISNUMBER('Registro por Sessão'!$R189),'Registro por Sessão'!$R189,"")</f>
        <v/>
      </c>
      <c r="X41" s="8">
        <f>IF(ISNUMBER('Registro por Sessão'!$R190),'Registro por Sessão'!$R190,"")</f>
        <v/>
      </c>
      <c r="Y41" s="8">
        <f>IF(ISNUMBER('Registro por Sessão'!$R191),'Registro por Sessão'!$R191,"")</f>
        <v/>
      </c>
      <c r="Z41" s="8">
        <f>IF(ISNUMBER('Registro por Sessão'!$R192),'Registro por Sessão'!$R192,"")</f>
        <v/>
      </c>
      <c r="AA41" s="8">
        <f>IF(ISNUMBER('Registro por Sessão'!$R193),'Registro por Sessão'!$R193,"")</f>
        <v/>
      </c>
      <c r="AB41" s="8">
        <f>IF(ISNUMBER('Registro por Sessão'!$V189),'Registro por Sessão'!$V189,"")</f>
        <v/>
      </c>
      <c r="AC41" s="8">
        <f>IF(ISNUMBER('Registro por Sessão'!$V190),'Registro por Sessão'!$V190,"")</f>
        <v/>
      </c>
      <c r="AD41" s="8">
        <f>IF(ISNUMBER('Registro por Sessão'!$V191),'Registro por Sessão'!$V191,"")</f>
        <v/>
      </c>
      <c r="AE41" s="8">
        <f>IF(ISNUMBER('Registro por Sessão'!$V192),'Registro por Sessão'!$V192,"")</f>
        <v/>
      </c>
      <c r="AF41" s="8">
        <f>IF(ISNUMBER('Registro por Sessão'!$V193),'Registro por Sessão'!$V193,"")</f>
        <v/>
      </c>
    </row>
    <row r="42">
      <c r="A42" s="6">
        <f>IF($B42="","",ROW()-3)</f>
        <v/>
      </c>
      <c r="B42" s="7">
        <f>IF(Preenchimento!$B$48="","",Preenchimento!$B$48)</f>
        <v/>
      </c>
      <c r="C42" s="7">
        <f>IF($B42="","",IF(Preenchimento!$C$48="","-",Preenchimento!$C$48))</f>
        <v/>
      </c>
      <c r="D42" s="6">
        <f>IF($B42="","",IF(Preenchimento!$D$48="","-",Preenchimento!$D$48))</f>
        <v/>
      </c>
      <c r="E42" s="31">
        <f>IF($B42="","",IFERROR(AVERAGE(M42:Q42),"-"))</f>
        <v/>
      </c>
      <c r="F42" s="31">
        <f>IF($B42="","",IFERROR(AVERAGE(R42:V42),"-"))</f>
        <v/>
      </c>
      <c r="G42" s="31">
        <f>IF($B42="","",IFERROR(AVERAGE(W42:AA42),"-"))</f>
        <v/>
      </c>
      <c r="H42" s="31">
        <f>IF($B42="","",IFERROR(AVERAGE(AB42:AF42),"-"))</f>
        <v/>
      </c>
      <c r="I42" s="31">
        <f>IF($B42="","",IFERROR(AVERAGE(M42:AF42),"-"))</f>
        <v/>
      </c>
      <c r="J42" s="13">
        <f>IF($B42="","",IF('Registro por Sessão'!$G194="","","S1 D: "&amp;'Registro por Sessão'!$G194&amp;CHAR(10))&amp;IF('Registro por Sessão'!$K194="","","S1 F: "&amp;'Registro por Sessão'!$K194&amp;CHAR(10))&amp;IF('Registro por Sessão'!$O194="","","S1 C: "&amp;'Registro por Sessão'!$O194&amp;CHAR(10))&amp;IF('Registro por Sessão'!$S194="","","S1 P: "&amp;'Registro por Sessão'!$S194&amp;CHAR(10))&amp;IF('Registro por Sessão'!$G195="","","S2 D: "&amp;'Registro por Sessão'!$G195&amp;CHAR(10))&amp;IF('Registro por Sessão'!$K195="","","S2 F: "&amp;'Registro por Sessão'!$K195&amp;CHAR(10))&amp;IF('Registro por Sessão'!$O195="","","S2 C: "&amp;'Registro por Sessão'!$O195&amp;CHAR(10))&amp;IF('Registro por Sessão'!$S195="","","S2 P: "&amp;'Registro por Sessão'!$S195&amp;CHAR(10))&amp;IF('Registro por Sessão'!$G196="","","S3 D: "&amp;'Registro por Sessão'!$G196&amp;CHAR(10))&amp;IF('Registro por Sessão'!$K196="","","S3 F: "&amp;'Registro por Sessão'!$K196&amp;CHAR(10))&amp;IF('Registro por Sessão'!$O196="","","S3 C: "&amp;'Registro por Sessão'!$O196&amp;CHAR(10))&amp;IF('Registro por Sessão'!$S196="","","S3 P: "&amp;'Registro por Sessão'!$S196&amp;CHAR(10))&amp;IF('Registro por Sessão'!$G197="","","S4 D: "&amp;'Registro por Sessão'!$G197&amp;CHAR(10))&amp;IF('Registro por Sessão'!$K197="","","S4 F: "&amp;'Registro por Sessão'!$K197&amp;CHAR(10))&amp;IF('Registro por Sessão'!$O197="","","S4 C: "&amp;'Registro por Sessão'!$O197&amp;CHAR(10))&amp;IF('Registro por Sessão'!$S197="","","S4 P: "&amp;'Registro por Sessão'!$S197&amp;CHAR(10))&amp;IF('Registro por Sessão'!$G198="","","S5 D: "&amp;'Registro por Sessão'!$G198&amp;CHAR(10))&amp;IF('Registro por Sessão'!$K198="","","S5 F: "&amp;'Registro por Sessão'!$K198&amp;CHAR(10))&amp;IF('Registro por Sessão'!$O198="","","S5 C: "&amp;'Registro por Sessão'!$O198&amp;CHAR(10))&amp;IF('Registro por Sessão'!$S198="","","S5 P: "&amp;'Registro por Sessão'!$S198&amp;CHAR(10)))</f>
        <v/>
      </c>
      <c r="K42" s="13">
        <f>IF($B42="","",IF('Registro por Sessão'!$W194="","","S1: "&amp;'Registro por Sessão'!$W194&amp;CHAR(10))&amp;IF('Registro por Sessão'!$X194="","","S1 obs: "&amp;'Registro por Sessão'!$X194&amp;CHAR(10))&amp;IF('Registro por Sessão'!$W195="","","S2: "&amp;'Registro por Sessão'!$W195&amp;CHAR(10))&amp;IF('Registro por Sessão'!$X195="","","S2 obs: "&amp;'Registro por Sessão'!$X195&amp;CHAR(10))&amp;IF('Registro por Sessão'!$W196="","","S3: "&amp;'Registro por Sessão'!$W196&amp;CHAR(10))&amp;IF('Registro por Sessão'!$X196="","","S3 obs: "&amp;'Registro por Sessão'!$X196&amp;CHAR(10))&amp;IF('Registro por Sessão'!$W197="","","S4: "&amp;'Registro por Sessão'!$W197&amp;CHAR(10))&amp;IF('Registro por Sessão'!$X197="","","S4 obs: "&amp;'Registro por Sessão'!$X197&amp;CHAR(10))&amp;IF('Registro por Sessão'!$W198="","","S5: "&amp;'Registro por Sessão'!$W198&amp;CHAR(10))&amp;IF('Registro por Sessão'!$X198="","","S5 obs: "&amp;'Registro por Sessão'!$X198&amp;CHAR(10)))</f>
        <v/>
      </c>
      <c r="L42" s="2" t="n"/>
      <c r="M42" s="6">
        <f>IF(ISNUMBER('Registro por Sessão'!$J194),'Registro por Sessão'!$J194,"")</f>
        <v/>
      </c>
      <c r="N42" s="6">
        <f>IF(ISNUMBER('Registro por Sessão'!$J195),'Registro por Sessão'!$J195,"")</f>
        <v/>
      </c>
      <c r="O42" s="6">
        <f>IF(ISNUMBER('Registro por Sessão'!$J196),'Registro por Sessão'!$J196,"")</f>
        <v/>
      </c>
      <c r="P42" s="6">
        <f>IF(ISNUMBER('Registro por Sessão'!$J197),'Registro por Sessão'!$J197,"")</f>
        <v/>
      </c>
      <c r="Q42" s="6">
        <f>IF(ISNUMBER('Registro por Sessão'!$J198),'Registro por Sessão'!$J198,"")</f>
        <v/>
      </c>
      <c r="R42" s="6">
        <f>IF(ISNUMBER('Registro por Sessão'!$N194),'Registro por Sessão'!$N194,"")</f>
        <v/>
      </c>
      <c r="S42" s="6">
        <f>IF(ISNUMBER('Registro por Sessão'!$N195),'Registro por Sessão'!$N195,"")</f>
        <v/>
      </c>
      <c r="T42" s="6">
        <f>IF(ISNUMBER('Registro por Sessão'!$N196),'Registro por Sessão'!$N196,"")</f>
        <v/>
      </c>
      <c r="U42" s="6">
        <f>IF(ISNUMBER('Registro por Sessão'!$N197),'Registro por Sessão'!$N197,"")</f>
        <v/>
      </c>
      <c r="V42" s="6">
        <f>IF(ISNUMBER('Registro por Sessão'!$N198),'Registro por Sessão'!$N198,"")</f>
        <v/>
      </c>
      <c r="W42" s="6">
        <f>IF(ISNUMBER('Registro por Sessão'!$R194),'Registro por Sessão'!$R194,"")</f>
        <v/>
      </c>
      <c r="X42" s="6">
        <f>IF(ISNUMBER('Registro por Sessão'!$R195),'Registro por Sessão'!$R195,"")</f>
        <v/>
      </c>
      <c r="Y42" s="6">
        <f>IF(ISNUMBER('Registro por Sessão'!$R196),'Registro por Sessão'!$R196,"")</f>
        <v/>
      </c>
      <c r="Z42" s="6">
        <f>IF(ISNUMBER('Registro por Sessão'!$R197),'Registro por Sessão'!$R197,"")</f>
        <v/>
      </c>
      <c r="AA42" s="6">
        <f>IF(ISNUMBER('Registro por Sessão'!$R198),'Registro por Sessão'!$R198,"")</f>
        <v/>
      </c>
      <c r="AB42" s="6">
        <f>IF(ISNUMBER('Registro por Sessão'!$V194),'Registro por Sessão'!$V194,"")</f>
        <v/>
      </c>
      <c r="AC42" s="6">
        <f>IF(ISNUMBER('Registro por Sessão'!$V195),'Registro por Sessão'!$V195,"")</f>
        <v/>
      </c>
      <c r="AD42" s="6">
        <f>IF(ISNUMBER('Registro por Sessão'!$V196),'Registro por Sessão'!$V196,"")</f>
        <v/>
      </c>
      <c r="AE42" s="6">
        <f>IF(ISNUMBER('Registro por Sessão'!$V197),'Registro por Sessão'!$V197,"")</f>
        <v/>
      </c>
      <c r="AF42" s="6">
        <f>IF(ISNUMBER('Registro por Sessão'!$V198),'Registro por Sessão'!$V198,"")</f>
        <v/>
      </c>
    </row>
    <row r="43">
      <c r="A43" s="8">
        <f>IF($B43="","",ROW()-3)</f>
        <v/>
      </c>
      <c r="B43" s="9">
        <f>IF(Preenchimento!$B$49="","",Preenchimento!$B$49)</f>
        <v/>
      </c>
      <c r="C43" s="9">
        <f>IF($B43="","",IF(Preenchimento!$C$49="","-",Preenchimento!$C$49))</f>
        <v/>
      </c>
      <c r="D43" s="8">
        <f>IF($B43="","",IF(Preenchimento!$D$49="","-",Preenchimento!$D$49))</f>
        <v/>
      </c>
      <c r="E43" s="32">
        <f>IF($B43="","",IFERROR(AVERAGE(M43:Q43),"-"))</f>
        <v/>
      </c>
      <c r="F43" s="32">
        <f>IF($B43="","",IFERROR(AVERAGE(R43:V43),"-"))</f>
        <v/>
      </c>
      <c r="G43" s="32">
        <f>IF($B43="","",IFERROR(AVERAGE(W43:AA43),"-"))</f>
        <v/>
      </c>
      <c r="H43" s="32">
        <f>IF($B43="","",IFERROR(AVERAGE(AB43:AF43),"-"))</f>
        <v/>
      </c>
      <c r="I43" s="32">
        <f>IF($B43="","",IFERROR(AVERAGE(M43:AF43),"-"))</f>
        <v/>
      </c>
      <c r="J43" s="14">
        <f>IF($B43="","",IF('Registro por Sessão'!$G199="","","S1 D: "&amp;'Registro por Sessão'!$G199&amp;CHAR(10))&amp;IF('Registro por Sessão'!$K199="","","S1 F: "&amp;'Registro por Sessão'!$K199&amp;CHAR(10))&amp;IF('Registro por Sessão'!$O199="","","S1 C: "&amp;'Registro por Sessão'!$O199&amp;CHAR(10))&amp;IF('Registro por Sessão'!$S199="","","S1 P: "&amp;'Registro por Sessão'!$S199&amp;CHAR(10))&amp;IF('Registro por Sessão'!$G200="","","S2 D: "&amp;'Registro por Sessão'!$G200&amp;CHAR(10))&amp;IF('Registro por Sessão'!$K200="","","S2 F: "&amp;'Registro por Sessão'!$K200&amp;CHAR(10))&amp;IF('Registro por Sessão'!$O200="","","S2 C: "&amp;'Registro por Sessão'!$O200&amp;CHAR(10))&amp;IF('Registro por Sessão'!$S200="","","S2 P: "&amp;'Registro por Sessão'!$S200&amp;CHAR(10))&amp;IF('Registro por Sessão'!$G201="","","S3 D: "&amp;'Registro por Sessão'!$G201&amp;CHAR(10))&amp;IF('Registro por Sessão'!$K201="","","S3 F: "&amp;'Registro por Sessão'!$K201&amp;CHAR(10))&amp;IF('Registro por Sessão'!$O201="","","S3 C: "&amp;'Registro por Sessão'!$O201&amp;CHAR(10))&amp;IF('Registro por Sessão'!$S201="","","S3 P: "&amp;'Registro por Sessão'!$S201&amp;CHAR(10))&amp;IF('Registro por Sessão'!$G202="","","S4 D: "&amp;'Registro por Sessão'!$G202&amp;CHAR(10))&amp;IF('Registro por Sessão'!$K202="","","S4 F: "&amp;'Registro por Sessão'!$K202&amp;CHAR(10))&amp;IF('Registro por Sessão'!$O202="","","S4 C: "&amp;'Registro por Sessão'!$O202&amp;CHAR(10))&amp;IF('Registro por Sessão'!$S202="","","S4 P: "&amp;'Registro por Sessão'!$S202&amp;CHAR(10))&amp;IF('Registro por Sessão'!$G203="","","S5 D: "&amp;'Registro por Sessão'!$G203&amp;CHAR(10))&amp;IF('Registro por Sessão'!$K203="","","S5 F: "&amp;'Registro por Sessão'!$K203&amp;CHAR(10))&amp;IF('Registro por Sessão'!$O203="","","S5 C: "&amp;'Registro por Sessão'!$O203&amp;CHAR(10))&amp;IF('Registro por Sessão'!$S203="","","S5 P: "&amp;'Registro por Sessão'!$S203&amp;CHAR(10)))</f>
        <v/>
      </c>
      <c r="K43" s="14">
        <f>IF($B43="","",IF('Registro por Sessão'!$W199="","","S1: "&amp;'Registro por Sessão'!$W199&amp;CHAR(10))&amp;IF('Registro por Sessão'!$X199="","","S1 obs: "&amp;'Registro por Sessão'!$X199&amp;CHAR(10))&amp;IF('Registro por Sessão'!$W200="","","S2: "&amp;'Registro por Sessão'!$W200&amp;CHAR(10))&amp;IF('Registro por Sessão'!$X200="","","S2 obs: "&amp;'Registro por Sessão'!$X200&amp;CHAR(10))&amp;IF('Registro por Sessão'!$W201="","","S3: "&amp;'Registro por Sessão'!$W201&amp;CHAR(10))&amp;IF('Registro por Sessão'!$X201="","","S3 obs: "&amp;'Registro por Sessão'!$X201&amp;CHAR(10))&amp;IF('Registro por Sessão'!$W202="","","S4: "&amp;'Registro por Sessão'!$W202&amp;CHAR(10))&amp;IF('Registro por Sessão'!$X202="","","S4 obs: "&amp;'Registro por Sessão'!$X202&amp;CHAR(10))&amp;IF('Registro por Sessão'!$W203="","","S5: "&amp;'Registro por Sessão'!$W203&amp;CHAR(10))&amp;IF('Registro por Sessão'!$X203="","","S5 obs: "&amp;'Registro por Sessão'!$X203&amp;CHAR(10)))</f>
        <v/>
      </c>
      <c r="L43" s="2" t="n"/>
      <c r="M43" s="8">
        <f>IF(ISNUMBER('Registro por Sessão'!$J199),'Registro por Sessão'!$J199,"")</f>
        <v/>
      </c>
      <c r="N43" s="8">
        <f>IF(ISNUMBER('Registro por Sessão'!$J200),'Registro por Sessão'!$J200,"")</f>
        <v/>
      </c>
      <c r="O43" s="8">
        <f>IF(ISNUMBER('Registro por Sessão'!$J201),'Registro por Sessão'!$J201,"")</f>
        <v/>
      </c>
      <c r="P43" s="8">
        <f>IF(ISNUMBER('Registro por Sessão'!$J202),'Registro por Sessão'!$J202,"")</f>
        <v/>
      </c>
      <c r="Q43" s="8">
        <f>IF(ISNUMBER('Registro por Sessão'!$J203),'Registro por Sessão'!$J203,"")</f>
        <v/>
      </c>
      <c r="R43" s="8">
        <f>IF(ISNUMBER('Registro por Sessão'!$N199),'Registro por Sessão'!$N199,"")</f>
        <v/>
      </c>
      <c r="S43" s="8">
        <f>IF(ISNUMBER('Registro por Sessão'!$N200),'Registro por Sessão'!$N200,"")</f>
        <v/>
      </c>
      <c r="T43" s="8">
        <f>IF(ISNUMBER('Registro por Sessão'!$N201),'Registro por Sessão'!$N201,"")</f>
        <v/>
      </c>
      <c r="U43" s="8">
        <f>IF(ISNUMBER('Registro por Sessão'!$N202),'Registro por Sessão'!$N202,"")</f>
        <v/>
      </c>
      <c r="V43" s="8">
        <f>IF(ISNUMBER('Registro por Sessão'!$N203),'Registro por Sessão'!$N203,"")</f>
        <v/>
      </c>
      <c r="W43" s="8">
        <f>IF(ISNUMBER('Registro por Sessão'!$R199),'Registro por Sessão'!$R199,"")</f>
        <v/>
      </c>
      <c r="X43" s="8">
        <f>IF(ISNUMBER('Registro por Sessão'!$R200),'Registro por Sessão'!$R200,"")</f>
        <v/>
      </c>
      <c r="Y43" s="8">
        <f>IF(ISNUMBER('Registro por Sessão'!$R201),'Registro por Sessão'!$R201,"")</f>
        <v/>
      </c>
      <c r="Z43" s="8">
        <f>IF(ISNUMBER('Registro por Sessão'!$R202),'Registro por Sessão'!$R202,"")</f>
        <v/>
      </c>
      <c r="AA43" s="8">
        <f>IF(ISNUMBER('Registro por Sessão'!$R203),'Registro por Sessão'!$R203,"")</f>
        <v/>
      </c>
      <c r="AB43" s="8">
        <f>IF(ISNUMBER('Registro por Sessão'!$V199),'Registro por Sessão'!$V199,"")</f>
        <v/>
      </c>
      <c r="AC43" s="8">
        <f>IF(ISNUMBER('Registro por Sessão'!$V200),'Registro por Sessão'!$V200,"")</f>
        <v/>
      </c>
      <c r="AD43" s="8">
        <f>IF(ISNUMBER('Registro por Sessão'!$V201),'Registro por Sessão'!$V201,"")</f>
        <v/>
      </c>
      <c r="AE43" s="8">
        <f>IF(ISNUMBER('Registro por Sessão'!$V202),'Registro por Sessão'!$V202,"")</f>
        <v/>
      </c>
      <c r="AF43" s="8">
        <f>IF(ISNUMBER('Registro por Sessão'!$V203),'Registro por Sessão'!$V203,"")</f>
        <v/>
      </c>
    </row>
    <row r="44">
      <c r="A44" s="6">
        <f>IF($B44="","",ROW()-3)</f>
        <v/>
      </c>
      <c r="B44" s="7">
        <f>IF(Preenchimento!$B$50="","",Preenchimento!$B$50)</f>
        <v/>
      </c>
      <c r="C44" s="7">
        <f>IF($B44="","",IF(Preenchimento!$C$50="","-",Preenchimento!$C$50))</f>
        <v/>
      </c>
      <c r="D44" s="6">
        <f>IF($B44="","",IF(Preenchimento!$D$50="","-",Preenchimento!$D$50))</f>
        <v/>
      </c>
      <c r="E44" s="31">
        <f>IF($B44="","",IFERROR(AVERAGE(M44:Q44),"-"))</f>
        <v/>
      </c>
      <c r="F44" s="31">
        <f>IF($B44="","",IFERROR(AVERAGE(R44:V44),"-"))</f>
        <v/>
      </c>
      <c r="G44" s="31">
        <f>IF($B44="","",IFERROR(AVERAGE(W44:AA44),"-"))</f>
        <v/>
      </c>
      <c r="H44" s="31">
        <f>IF($B44="","",IFERROR(AVERAGE(AB44:AF44),"-"))</f>
        <v/>
      </c>
      <c r="I44" s="31">
        <f>IF($B44="","",IFERROR(AVERAGE(M44:AF44),"-"))</f>
        <v/>
      </c>
      <c r="J44" s="13">
        <f>IF($B44="","",IF('Registro por Sessão'!$G204="","","S1 D: "&amp;'Registro por Sessão'!$G204&amp;CHAR(10))&amp;IF('Registro por Sessão'!$K204="","","S1 F: "&amp;'Registro por Sessão'!$K204&amp;CHAR(10))&amp;IF('Registro por Sessão'!$O204="","","S1 C: "&amp;'Registro por Sessão'!$O204&amp;CHAR(10))&amp;IF('Registro por Sessão'!$S204="","","S1 P: "&amp;'Registro por Sessão'!$S204&amp;CHAR(10))&amp;IF('Registro por Sessão'!$G205="","","S2 D: "&amp;'Registro por Sessão'!$G205&amp;CHAR(10))&amp;IF('Registro por Sessão'!$K205="","","S2 F: "&amp;'Registro por Sessão'!$K205&amp;CHAR(10))&amp;IF('Registro por Sessão'!$O205="","","S2 C: "&amp;'Registro por Sessão'!$O205&amp;CHAR(10))&amp;IF('Registro por Sessão'!$S205="","","S2 P: "&amp;'Registro por Sessão'!$S205&amp;CHAR(10))&amp;IF('Registro por Sessão'!$G206="","","S3 D: "&amp;'Registro por Sessão'!$G206&amp;CHAR(10))&amp;IF('Registro por Sessão'!$K206="","","S3 F: "&amp;'Registro por Sessão'!$K206&amp;CHAR(10))&amp;IF('Registro por Sessão'!$O206="","","S3 C: "&amp;'Registro por Sessão'!$O206&amp;CHAR(10))&amp;IF('Registro por Sessão'!$S206="","","S3 P: "&amp;'Registro por Sessão'!$S206&amp;CHAR(10))&amp;IF('Registro por Sessão'!$G207="","","S4 D: "&amp;'Registro por Sessão'!$G207&amp;CHAR(10))&amp;IF('Registro por Sessão'!$K207="","","S4 F: "&amp;'Registro por Sessão'!$K207&amp;CHAR(10))&amp;IF('Registro por Sessão'!$O207="","","S4 C: "&amp;'Registro por Sessão'!$O207&amp;CHAR(10))&amp;IF('Registro por Sessão'!$S207="","","S4 P: "&amp;'Registro por Sessão'!$S207&amp;CHAR(10))&amp;IF('Registro por Sessão'!$G208="","","S5 D: "&amp;'Registro por Sessão'!$G208&amp;CHAR(10))&amp;IF('Registro por Sessão'!$K208="","","S5 F: "&amp;'Registro por Sessão'!$K208&amp;CHAR(10))&amp;IF('Registro por Sessão'!$O208="","","S5 C: "&amp;'Registro por Sessão'!$O208&amp;CHAR(10))&amp;IF('Registro por Sessão'!$S208="","","S5 P: "&amp;'Registro por Sessão'!$S208&amp;CHAR(10)))</f>
        <v/>
      </c>
      <c r="K44" s="13">
        <f>IF($B44="","",IF('Registro por Sessão'!$W204="","","S1: "&amp;'Registro por Sessão'!$W204&amp;CHAR(10))&amp;IF('Registro por Sessão'!$X204="","","S1 obs: "&amp;'Registro por Sessão'!$X204&amp;CHAR(10))&amp;IF('Registro por Sessão'!$W205="","","S2: "&amp;'Registro por Sessão'!$W205&amp;CHAR(10))&amp;IF('Registro por Sessão'!$X205="","","S2 obs: "&amp;'Registro por Sessão'!$X205&amp;CHAR(10))&amp;IF('Registro por Sessão'!$W206="","","S3: "&amp;'Registro por Sessão'!$W206&amp;CHAR(10))&amp;IF('Registro por Sessão'!$X206="","","S3 obs: "&amp;'Registro por Sessão'!$X206&amp;CHAR(10))&amp;IF('Registro por Sessão'!$W207="","","S4: "&amp;'Registro por Sessão'!$W207&amp;CHAR(10))&amp;IF('Registro por Sessão'!$X207="","","S4 obs: "&amp;'Registro por Sessão'!$X207&amp;CHAR(10))&amp;IF('Registro por Sessão'!$W208="","","S5: "&amp;'Registro por Sessão'!$W208&amp;CHAR(10))&amp;IF('Registro por Sessão'!$X208="","","S5 obs: "&amp;'Registro por Sessão'!$X208&amp;CHAR(10)))</f>
        <v/>
      </c>
      <c r="L44" s="2" t="n"/>
      <c r="M44" s="6">
        <f>IF(ISNUMBER('Registro por Sessão'!$J204),'Registro por Sessão'!$J204,"")</f>
        <v/>
      </c>
      <c r="N44" s="6">
        <f>IF(ISNUMBER('Registro por Sessão'!$J205),'Registro por Sessão'!$J205,"")</f>
        <v/>
      </c>
      <c r="O44" s="6">
        <f>IF(ISNUMBER('Registro por Sessão'!$J206),'Registro por Sessão'!$J206,"")</f>
        <v/>
      </c>
      <c r="P44" s="6">
        <f>IF(ISNUMBER('Registro por Sessão'!$J207),'Registro por Sessão'!$J207,"")</f>
        <v/>
      </c>
      <c r="Q44" s="6">
        <f>IF(ISNUMBER('Registro por Sessão'!$J208),'Registro por Sessão'!$J208,"")</f>
        <v/>
      </c>
      <c r="R44" s="6">
        <f>IF(ISNUMBER('Registro por Sessão'!$N204),'Registro por Sessão'!$N204,"")</f>
        <v/>
      </c>
      <c r="S44" s="6">
        <f>IF(ISNUMBER('Registro por Sessão'!$N205),'Registro por Sessão'!$N205,"")</f>
        <v/>
      </c>
      <c r="T44" s="6">
        <f>IF(ISNUMBER('Registro por Sessão'!$N206),'Registro por Sessão'!$N206,"")</f>
        <v/>
      </c>
      <c r="U44" s="6">
        <f>IF(ISNUMBER('Registro por Sessão'!$N207),'Registro por Sessão'!$N207,"")</f>
        <v/>
      </c>
      <c r="V44" s="6">
        <f>IF(ISNUMBER('Registro por Sessão'!$N208),'Registro por Sessão'!$N208,"")</f>
        <v/>
      </c>
      <c r="W44" s="6">
        <f>IF(ISNUMBER('Registro por Sessão'!$R204),'Registro por Sessão'!$R204,"")</f>
        <v/>
      </c>
      <c r="X44" s="6">
        <f>IF(ISNUMBER('Registro por Sessão'!$R205),'Registro por Sessão'!$R205,"")</f>
        <v/>
      </c>
      <c r="Y44" s="6">
        <f>IF(ISNUMBER('Registro por Sessão'!$R206),'Registro por Sessão'!$R206,"")</f>
        <v/>
      </c>
      <c r="Z44" s="6">
        <f>IF(ISNUMBER('Registro por Sessão'!$R207),'Registro por Sessão'!$R207,"")</f>
        <v/>
      </c>
      <c r="AA44" s="6">
        <f>IF(ISNUMBER('Registro por Sessão'!$R208),'Registro por Sessão'!$R208,"")</f>
        <v/>
      </c>
      <c r="AB44" s="6">
        <f>IF(ISNUMBER('Registro por Sessão'!$V204),'Registro por Sessão'!$V204,"")</f>
        <v/>
      </c>
      <c r="AC44" s="6">
        <f>IF(ISNUMBER('Registro por Sessão'!$V205),'Registro por Sessão'!$V205,"")</f>
        <v/>
      </c>
      <c r="AD44" s="6">
        <f>IF(ISNUMBER('Registro por Sessão'!$V206),'Registro por Sessão'!$V206,"")</f>
        <v/>
      </c>
      <c r="AE44" s="6">
        <f>IF(ISNUMBER('Registro por Sessão'!$V207),'Registro por Sessão'!$V207,"")</f>
        <v/>
      </c>
      <c r="AF44" s="6">
        <f>IF(ISNUMBER('Registro por Sessão'!$V208),'Registro por Sessão'!$V208,"")</f>
        <v/>
      </c>
    </row>
    <row r="45">
      <c r="A45" s="8">
        <f>IF($B45="","",ROW()-3)</f>
        <v/>
      </c>
      <c r="B45" s="9">
        <f>IF(Preenchimento!$B$51="","",Preenchimento!$B$51)</f>
        <v/>
      </c>
      <c r="C45" s="9">
        <f>IF($B45="","",IF(Preenchimento!$C$51="","-",Preenchimento!$C$51))</f>
        <v/>
      </c>
      <c r="D45" s="8">
        <f>IF($B45="","",IF(Preenchimento!$D$51="","-",Preenchimento!$D$51))</f>
        <v/>
      </c>
      <c r="E45" s="32">
        <f>IF($B45="","",IFERROR(AVERAGE(M45:Q45),"-"))</f>
        <v/>
      </c>
      <c r="F45" s="32">
        <f>IF($B45="","",IFERROR(AVERAGE(R45:V45),"-"))</f>
        <v/>
      </c>
      <c r="G45" s="32">
        <f>IF($B45="","",IFERROR(AVERAGE(W45:AA45),"-"))</f>
        <v/>
      </c>
      <c r="H45" s="32">
        <f>IF($B45="","",IFERROR(AVERAGE(AB45:AF45),"-"))</f>
        <v/>
      </c>
      <c r="I45" s="32">
        <f>IF($B45="","",IFERROR(AVERAGE(M45:AF45),"-"))</f>
        <v/>
      </c>
      <c r="J45" s="14">
        <f>IF($B45="","",IF('Registro por Sessão'!$G209="","","S1 D: "&amp;'Registro por Sessão'!$G209&amp;CHAR(10))&amp;IF('Registro por Sessão'!$K209="","","S1 F: "&amp;'Registro por Sessão'!$K209&amp;CHAR(10))&amp;IF('Registro por Sessão'!$O209="","","S1 C: "&amp;'Registro por Sessão'!$O209&amp;CHAR(10))&amp;IF('Registro por Sessão'!$S209="","","S1 P: "&amp;'Registro por Sessão'!$S209&amp;CHAR(10))&amp;IF('Registro por Sessão'!$G210="","","S2 D: "&amp;'Registro por Sessão'!$G210&amp;CHAR(10))&amp;IF('Registro por Sessão'!$K210="","","S2 F: "&amp;'Registro por Sessão'!$K210&amp;CHAR(10))&amp;IF('Registro por Sessão'!$O210="","","S2 C: "&amp;'Registro por Sessão'!$O210&amp;CHAR(10))&amp;IF('Registro por Sessão'!$S210="","","S2 P: "&amp;'Registro por Sessão'!$S210&amp;CHAR(10))&amp;IF('Registro por Sessão'!$G211="","","S3 D: "&amp;'Registro por Sessão'!$G211&amp;CHAR(10))&amp;IF('Registro por Sessão'!$K211="","","S3 F: "&amp;'Registro por Sessão'!$K211&amp;CHAR(10))&amp;IF('Registro por Sessão'!$O211="","","S3 C: "&amp;'Registro por Sessão'!$O211&amp;CHAR(10))&amp;IF('Registro por Sessão'!$S211="","","S3 P: "&amp;'Registro por Sessão'!$S211&amp;CHAR(10))&amp;IF('Registro por Sessão'!$G212="","","S4 D: "&amp;'Registro por Sessão'!$G212&amp;CHAR(10))&amp;IF('Registro por Sessão'!$K212="","","S4 F: "&amp;'Registro por Sessão'!$K212&amp;CHAR(10))&amp;IF('Registro por Sessão'!$O212="","","S4 C: "&amp;'Registro por Sessão'!$O212&amp;CHAR(10))&amp;IF('Registro por Sessão'!$S212="","","S4 P: "&amp;'Registro por Sessão'!$S212&amp;CHAR(10))&amp;IF('Registro por Sessão'!$G213="","","S5 D: "&amp;'Registro por Sessão'!$G213&amp;CHAR(10))&amp;IF('Registro por Sessão'!$K213="","","S5 F: "&amp;'Registro por Sessão'!$K213&amp;CHAR(10))&amp;IF('Registro por Sessão'!$O213="","","S5 C: "&amp;'Registro por Sessão'!$O213&amp;CHAR(10))&amp;IF('Registro por Sessão'!$S213="","","S5 P: "&amp;'Registro por Sessão'!$S213&amp;CHAR(10)))</f>
        <v/>
      </c>
      <c r="K45" s="14">
        <f>IF($B45="","",IF('Registro por Sessão'!$W209="","","S1: "&amp;'Registro por Sessão'!$W209&amp;CHAR(10))&amp;IF('Registro por Sessão'!$X209="","","S1 obs: "&amp;'Registro por Sessão'!$X209&amp;CHAR(10))&amp;IF('Registro por Sessão'!$W210="","","S2: "&amp;'Registro por Sessão'!$W210&amp;CHAR(10))&amp;IF('Registro por Sessão'!$X210="","","S2 obs: "&amp;'Registro por Sessão'!$X210&amp;CHAR(10))&amp;IF('Registro por Sessão'!$W211="","","S3: "&amp;'Registro por Sessão'!$W211&amp;CHAR(10))&amp;IF('Registro por Sessão'!$X211="","","S3 obs: "&amp;'Registro por Sessão'!$X211&amp;CHAR(10))&amp;IF('Registro por Sessão'!$W212="","","S4: "&amp;'Registro por Sessão'!$W212&amp;CHAR(10))&amp;IF('Registro por Sessão'!$X212="","","S4 obs: "&amp;'Registro por Sessão'!$X212&amp;CHAR(10))&amp;IF('Registro por Sessão'!$W213="","","S5: "&amp;'Registro por Sessão'!$W213&amp;CHAR(10))&amp;IF('Registro por Sessão'!$X213="","","S5 obs: "&amp;'Registro por Sessão'!$X213&amp;CHAR(10)))</f>
        <v/>
      </c>
      <c r="L45" s="2" t="n"/>
      <c r="M45" s="8">
        <f>IF(ISNUMBER('Registro por Sessão'!$J209),'Registro por Sessão'!$J209,"")</f>
        <v/>
      </c>
      <c r="N45" s="8">
        <f>IF(ISNUMBER('Registro por Sessão'!$J210),'Registro por Sessão'!$J210,"")</f>
        <v/>
      </c>
      <c r="O45" s="8">
        <f>IF(ISNUMBER('Registro por Sessão'!$J211),'Registro por Sessão'!$J211,"")</f>
        <v/>
      </c>
      <c r="P45" s="8">
        <f>IF(ISNUMBER('Registro por Sessão'!$J212),'Registro por Sessão'!$J212,"")</f>
        <v/>
      </c>
      <c r="Q45" s="8">
        <f>IF(ISNUMBER('Registro por Sessão'!$J213),'Registro por Sessão'!$J213,"")</f>
        <v/>
      </c>
      <c r="R45" s="8">
        <f>IF(ISNUMBER('Registro por Sessão'!$N209),'Registro por Sessão'!$N209,"")</f>
        <v/>
      </c>
      <c r="S45" s="8">
        <f>IF(ISNUMBER('Registro por Sessão'!$N210),'Registro por Sessão'!$N210,"")</f>
        <v/>
      </c>
      <c r="T45" s="8">
        <f>IF(ISNUMBER('Registro por Sessão'!$N211),'Registro por Sessão'!$N211,"")</f>
        <v/>
      </c>
      <c r="U45" s="8">
        <f>IF(ISNUMBER('Registro por Sessão'!$N212),'Registro por Sessão'!$N212,"")</f>
        <v/>
      </c>
      <c r="V45" s="8">
        <f>IF(ISNUMBER('Registro por Sessão'!$N213),'Registro por Sessão'!$N213,"")</f>
        <v/>
      </c>
      <c r="W45" s="8">
        <f>IF(ISNUMBER('Registro por Sessão'!$R209),'Registro por Sessão'!$R209,"")</f>
        <v/>
      </c>
      <c r="X45" s="8">
        <f>IF(ISNUMBER('Registro por Sessão'!$R210),'Registro por Sessão'!$R210,"")</f>
        <v/>
      </c>
      <c r="Y45" s="8">
        <f>IF(ISNUMBER('Registro por Sessão'!$R211),'Registro por Sessão'!$R211,"")</f>
        <v/>
      </c>
      <c r="Z45" s="8">
        <f>IF(ISNUMBER('Registro por Sessão'!$R212),'Registro por Sessão'!$R212,"")</f>
        <v/>
      </c>
      <c r="AA45" s="8">
        <f>IF(ISNUMBER('Registro por Sessão'!$R213),'Registro por Sessão'!$R213,"")</f>
        <v/>
      </c>
      <c r="AB45" s="8">
        <f>IF(ISNUMBER('Registro por Sessão'!$V209),'Registro por Sessão'!$V209,"")</f>
        <v/>
      </c>
      <c r="AC45" s="8">
        <f>IF(ISNUMBER('Registro por Sessão'!$V210),'Registro por Sessão'!$V210,"")</f>
        <v/>
      </c>
      <c r="AD45" s="8">
        <f>IF(ISNUMBER('Registro por Sessão'!$V211),'Registro por Sessão'!$V211,"")</f>
        <v/>
      </c>
      <c r="AE45" s="8">
        <f>IF(ISNUMBER('Registro por Sessão'!$V212),'Registro por Sessão'!$V212,"")</f>
        <v/>
      </c>
      <c r="AF45" s="8">
        <f>IF(ISNUMBER('Registro por Sessão'!$V213),'Registro por Sessão'!$V213,"")</f>
        <v/>
      </c>
    </row>
    <row r="46">
      <c r="A46" s="6">
        <f>IF($B46="","",ROW()-3)</f>
        <v/>
      </c>
      <c r="B46" s="7">
        <f>IF(Preenchimento!$B$52="","",Preenchimento!$B$52)</f>
        <v/>
      </c>
      <c r="C46" s="7">
        <f>IF($B46="","",IF(Preenchimento!$C$52="","-",Preenchimento!$C$52))</f>
        <v/>
      </c>
      <c r="D46" s="6">
        <f>IF($B46="","",IF(Preenchimento!$D$52="","-",Preenchimento!$D$52))</f>
        <v/>
      </c>
      <c r="E46" s="31">
        <f>IF($B46="","",IFERROR(AVERAGE(M46:Q46),"-"))</f>
        <v/>
      </c>
      <c r="F46" s="31">
        <f>IF($B46="","",IFERROR(AVERAGE(R46:V46),"-"))</f>
        <v/>
      </c>
      <c r="G46" s="31">
        <f>IF($B46="","",IFERROR(AVERAGE(W46:AA46),"-"))</f>
        <v/>
      </c>
      <c r="H46" s="31">
        <f>IF($B46="","",IFERROR(AVERAGE(AB46:AF46),"-"))</f>
        <v/>
      </c>
      <c r="I46" s="31">
        <f>IF($B46="","",IFERROR(AVERAGE(M46:AF46),"-"))</f>
        <v/>
      </c>
      <c r="J46" s="13">
        <f>IF($B46="","",IF('Registro por Sessão'!$G214="","","S1 D: "&amp;'Registro por Sessão'!$G214&amp;CHAR(10))&amp;IF('Registro por Sessão'!$K214="","","S1 F: "&amp;'Registro por Sessão'!$K214&amp;CHAR(10))&amp;IF('Registro por Sessão'!$O214="","","S1 C: "&amp;'Registro por Sessão'!$O214&amp;CHAR(10))&amp;IF('Registro por Sessão'!$S214="","","S1 P: "&amp;'Registro por Sessão'!$S214&amp;CHAR(10))&amp;IF('Registro por Sessão'!$G215="","","S2 D: "&amp;'Registro por Sessão'!$G215&amp;CHAR(10))&amp;IF('Registro por Sessão'!$K215="","","S2 F: "&amp;'Registro por Sessão'!$K215&amp;CHAR(10))&amp;IF('Registro por Sessão'!$O215="","","S2 C: "&amp;'Registro por Sessão'!$O215&amp;CHAR(10))&amp;IF('Registro por Sessão'!$S215="","","S2 P: "&amp;'Registro por Sessão'!$S215&amp;CHAR(10))&amp;IF('Registro por Sessão'!$G216="","","S3 D: "&amp;'Registro por Sessão'!$G216&amp;CHAR(10))&amp;IF('Registro por Sessão'!$K216="","","S3 F: "&amp;'Registro por Sessão'!$K216&amp;CHAR(10))&amp;IF('Registro por Sessão'!$O216="","","S3 C: "&amp;'Registro por Sessão'!$O216&amp;CHAR(10))&amp;IF('Registro por Sessão'!$S216="","","S3 P: "&amp;'Registro por Sessão'!$S216&amp;CHAR(10))&amp;IF('Registro por Sessão'!$G217="","","S4 D: "&amp;'Registro por Sessão'!$G217&amp;CHAR(10))&amp;IF('Registro por Sessão'!$K217="","","S4 F: "&amp;'Registro por Sessão'!$K217&amp;CHAR(10))&amp;IF('Registro por Sessão'!$O217="","","S4 C: "&amp;'Registro por Sessão'!$O217&amp;CHAR(10))&amp;IF('Registro por Sessão'!$S217="","","S4 P: "&amp;'Registro por Sessão'!$S217&amp;CHAR(10))&amp;IF('Registro por Sessão'!$G218="","","S5 D: "&amp;'Registro por Sessão'!$G218&amp;CHAR(10))&amp;IF('Registro por Sessão'!$K218="","","S5 F: "&amp;'Registro por Sessão'!$K218&amp;CHAR(10))&amp;IF('Registro por Sessão'!$O218="","","S5 C: "&amp;'Registro por Sessão'!$O218&amp;CHAR(10))&amp;IF('Registro por Sessão'!$S218="","","S5 P: "&amp;'Registro por Sessão'!$S218&amp;CHAR(10)))</f>
        <v/>
      </c>
      <c r="K46" s="13">
        <f>IF($B46="","",IF('Registro por Sessão'!$W214="","","S1: "&amp;'Registro por Sessão'!$W214&amp;CHAR(10))&amp;IF('Registro por Sessão'!$X214="","","S1 obs: "&amp;'Registro por Sessão'!$X214&amp;CHAR(10))&amp;IF('Registro por Sessão'!$W215="","","S2: "&amp;'Registro por Sessão'!$W215&amp;CHAR(10))&amp;IF('Registro por Sessão'!$X215="","","S2 obs: "&amp;'Registro por Sessão'!$X215&amp;CHAR(10))&amp;IF('Registro por Sessão'!$W216="","","S3: "&amp;'Registro por Sessão'!$W216&amp;CHAR(10))&amp;IF('Registro por Sessão'!$X216="","","S3 obs: "&amp;'Registro por Sessão'!$X216&amp;CHAR(10))&amp;IF('Registro por Sessão'!$W217="","","S4: "&amp;'Registro por Sessão'!$W217&amp;CHAR(10))&amp;IF('Registro por Sessão'!$X217="","","S4 obs: "&amp;'Registro por Sessão'!$X217&amp;CHAR(10))&amp;IF('Registro por Sessão'!$W218="","","S5: "&amp;'Registro por Sessão'!$W218&amp;CHAR(10))&amp;IF('Registro por Sessão'!$X218="","","S5 obs: "&amp;'Registro por Sessão'!$X218&amp;CHAR(10)))</f>
        <v/>
      </c>
      <c r="L46" s="2" t="n"/>
      <c r="M46" s="6">
        <f>IF(ISNUMBER('Registro por Sessão'!$J214),'Registro por Sessão'!$J214,"")</f>
        <v/>
      </c>
      <c r="N46" s="6">
        <f>IF(ISNUMBER('Registro por Sessão'!$J215),'Registro por Sessão'!$J215,"")</f>
        <v/>
      </c>
      <c r="O46" s="6">
        <f>IF(ISNUMBER('Registro por Sessão'!$J216),'Registro por Sessão'!$J216,"")</f>
        <v/>
      </c>
      <c r="P46" s="6">
        <f>IF(ISNUMBER('Registro por Sessão'!$J217),'Registro por Sessão'!$J217,"")</f>
        <v/>
      </c>
      <c r="Q46" s="6">
        <f>IF(ISNUMBER('Registro por Sessão'!$J218),'Registro por Sessão'!$J218,"")</f>
        <v/>
      </c>
      <c r="R46" s="6">
        <f>IF(ISNUMBER('Registro por Sessão'!$N214),'Registro por Sessão'!$N214,"")</f>
        <v/>
      </c>
      <c r="S46" s="6">
        <f>IF(ISNUMBER('Registro por Sessão'!$N215),'Registro por Sessão'!$N215,"")</f>
        <v/>
      </c>
      <c r="T46" s="6">
        <f>IF(ISNUMBER('Registro por Sessão'!$N216),'Registro por Sessão'!$N216,"")</f>
        <v/>
      </c>
      <c r="U46" s="6">
        <f>IF(ISNUMBER('Registro por Sessão'!$N217),'Registro por Sessão'!$N217,"")</f>
        <v/>
      </c>
      <c r="V46" s="6">
        <f>IF(ISNUMBER('Registro por Sessão'!$N218),'Registro por Sessão'!$N218,"")</f>
        <v/>
      </c>
      <c r="W46" s="6">
        <f>IF(ISNUMBER('Registro por Sessão'!$R214),'Registro por Sessão'!$R214,"")</f>
        <v/>
      </c>
      <c r="X46" s="6">
        <f>IF(ISNUMBER('Registro por Sessão'!$R215),'Registro por Sessão'!$R215,"")</f>
        <v/>
      </c>
      <c r="Y46" s="6">
        <f>IF(ISNUMBER('Registro por Sessão'!$R216),'Registro por Sessão'!$R216,"")</f>
        <v/>
      </c>
      <c r="Z46" s="6">
        <f>IF(ISNUMBER('Registro por Sessão'!$R217),'Registro por Sessão'!$R217,"")</f>
        <v/>
      </c>
      <c r="AA46" s="6">
        <f>IF(ISNUMBER('Registro por Sessão'!$R218),'Registro por Sessão'!$R218,"")</f>
        <v/>
      </c>
      <c r="AB46" s="6">
        <f>IF(ISNUMBER('Registro por Sessão'!$V214),'Registro por Sessão'!$V214,"")</f>
        <v/>
      </c>
      <c r="AC46" s="6">
        <f>IF(ISNUMBER('Registro por Sessão'!$V215),'Registro por Sessão'!$V215,"")</f>
        <v/>
      </c>
      <c r="AD46" s="6">
        <f>IF(ISNUMBER('Registro por Sessão'!$V216),'Registro por Sessão'!$V216,"")</f>
        <v/>
      </c>
      <c r="AE46" s="6">
        <f>IF(ISNUMBER('Registro por Sessão'!$V217),'Registro por Sessão'!$V217,"")</f>
        <v/>
      </c>
      <c r="AF46" s="6">
        <f>IF(ISNUMBER('Registro por Sessão'!$V218),'Registro por Sessão'!$V218,"")</f>
        <v/>
      </c>
    </row>
    <row r="47">
      <c r="A47" s="8">
        <f>IF($B47="","",ROW()-3)</f>
        <v/>
      </c>
      <c r="B47" s="9">
        <f>IF(Preenchimento!$B$53="","",Preenchimento!$B$53)</f>
        <v/>
      </c>
      <c r="C47" s="9">
        <f>IF($B47="","",IF(Preenchimento!$C$53="","-",Preenchimento!$C$53))</f>
        <v/>
      </c>
      <c r="D47" s="8">
        <f>IF($B47="","",IF(Preenchimento!$D$53="","-",Preenchimento!$D$53))</f>
        <v/>
      </c>
      <c r="E47" s="32">
        <f>IF($B47="","",IFERROR(AVERAGE(M47:Q47),"-"))</f>
        <v/>
      </c>
      <c r="F47" s="32">
        <f>IF($B47="","",IFERROR(AVERAGE(R47:V47),"-"))</f>
        <v/>
      </c>
      <c r="G47" s="32">
        <f>IF($B47="","",IFERROR(AVERAGE(W47:AA47),"-"))</f>
        <v/>
      </c>
      <c r="H47" s="32">
        <f>IF($B47="","",IFERROR(AVERAGE(AB47:AF47),"-"))</f>
        <v/>
      </c>
      <c r="I47" s="32">
        <f>IF($B47="","",IFERROR(AVERAGE(M47:AF47),"-"))</f>
        <v/>
      </c>
      <c r="J47" s="14">
        <f>IF($B47="","",IF('Registro por Sessão'!$G219="","","S1 D: "&amp;'Registro por Sessão'!$G219&amp;CHAR(10))&amp;IF('Registro por Sessão'!$K219="","","S1 F: "&amp;'Registro por Sessão'!$K219&amp;CHAR(10))&amp;IF('Registro por Sessão'!$O219="","","S1 C: "&amp;'Registro por Sessão'!$O219&amp;CHAR(10))&amp;IF('Registro por Sessão'!$S219="","","S1 P: "&amp;'Registro por Sessão'!$S219&amp;CHAR(10))&amp;IF('Registro por Sessão'!$G220="","","S2 D: "&amp;'Registro por Sessão'!$G220&amp;CHAR(10))&amp;IF('Registro por Sessão'!$K220="","","S2 F: "&amp;'Registro por Sessão'!$K220&amp;CHAR(10))&amp;IF('Registro por Sessão'!$O220="","","S2 C: "&amp;'Registro por Sessão'!$O220&amp;CHAR(10))&amp;IF('Registro por Sessão'!$S220="","","S2 P: "&amp;'Registro por Sessão'!$S220&amp;CHAR(10))&amp;IF('Registro por Sessão'!$G221="","","S3 D: "&amp;'Registro por Sessão'!$G221&amp;CHAR(10))&amp;IF('Registro por Sessão'!$K221="","","S3 F: "&amp;'Registro por Sessão'!$K221&amp;CHAR(10))&amp;IF('Registro por Sessão'!$O221="","","S3 C: "&amp;'Registro por Sessão'!$O221&amp;CHAR(10))&amp;IF('Registro por Sessão'!$S221="","","S3 P: "&amp;'Registro por Sessão'!$S221&amp;CHAR(10))&amp;IF('Registro por Sessão'!$G222="","","S4 D: "&amp;'Registro por Sessão'!$G222&amp;CHAR(10))&amp;IF('Registro por Sessão'!$K222="","","S4 F: "&amp;'Registro por Sessão'!$K222&amp;CHAR(10))&amp;IF('Registro por Sessão'!$O222="","","S4 C: "&amp;'Registro por Sessão'!$O222&amp;CHAR(10))&amp;IF('Registro por Sessão'!$S222="","","S4 P: "&amp;'Registro por Sessão'!$S222&amp;CHAR(10))&amp;IF('Registro por Sessão'!$G223="","","S5 D: "&amp;'Registro por Sessão'!$G223&amp;CHAR(10))&amp;IF('Registro por Sessão'!$K223="","","S5 F: "&amp;'Registro por Sessão'!$K223&amp;CHAR(10))&amp;IF('Registro por Sessão'!$O223="","","S5 C: "&amp;'Registro por Sessão'!$O223&amp;CHAR(10))&amp;IF('Registro por Sessão'!$S223="","","S5 P: "&amp;'Registro por Sessão'!$S223&amp;CHAR(10)))</f>
        <v/>
      </c>
      <c r="K47" s="14">
        <f>IF($B47="","",IF('Registro por Sessão'!$W219="","","S1: "&amp;'Registro por Sessão'!$W219&amp;CHAR(10))&amp;IF('Registro por Sessão'!$X219="","","S1 obs: "&amp;'Registro por Sessão'!$X219&amp;CHAR(10))&amp;IF('Registro por Sessão'!$W220="","","S2: "&amp;'Registro por Sessão'!$W220&amp;CHAR(10))&amp;IF('Registro por Sessão'!$X220="","","S2 obs: "&amp;'Registro por Sessão'!$X220&amp;CHAR(10))&amp;IF('Registro por Sessão'!$W221="","","S3: "&amp;'Registro por Sessão'!$W221&amp;CHAR(10))&amp;IF('Registro por Sessão'!$X221="","","S3 obs: "&amp;'Registro por Sessão'!$X221&amp;CHAR(10))&amp;IF('Registro por Sessão'!$W222="","","S4: "&amp;'Registro por Sessão'!$W222&amp;CHAR(10))&amp;IF('Registro por Sessão'!$X222="","","S4 obs: "&amp;'Registro por Sessão'!$X222&amp;CHAR(10))&amp;IF('Registro por Sessão'!$W223="","","S5: "&amp;'Registro por Sessão'!$W223&amp;CHAR(10))&amp;IF('Registro por Sessão'!$X223="","","S5 obs: "&amp;'Registro por Sessão'!$X223&amp;CHAR(10)))</f>
        <v/>
      </c>
      <c r="L47" s="2" t="n"/>
      <c r="M47" s="8">
        <f>IF(ISNUMBER('Registro por Sessão'!$J219),'Registro por Sessão'!$J219,"")</f>
        <v/>
      </c>
      <c r="N47" s="8">
        <f>IF(ISNUMBER('Registro por Sessão'!$J220),'Registro por Sessão'!$J220,"")</f>
        <v/>
      </c>
      <c r="O47" s="8">
        <f>IF(ISNUMBER('Registro por Sessão'!$J221),'Registro por Sessão'!$J221,"")</f>
        <v/>
      </c>
      <c r="P47" s="8">
        <f>IF(ISNUMBER('Registro por Sessão'!$J222),'Registro por Sessão'!$J222,"")</f>
        <v/>
      </c>
      <c r="Q47" s="8">
        <f>IF(ISNUMBER('Registro por Sessão'!$J223),'Registro por Sessão'!$J223,"")</f>
        <v/>
      </c>
      <c r="R47" s="8">
        <f>IF(ISNUMBER('Registro por Sessão'!$N219),'Registro por Sessão'!$N219,"")</f>
        <v/>
      </c>
      <c r="S47" s="8">
        <f>IF(ISNUMBER('Registro por Sessão'!$N220),'Registro por Sessão'!$N220,"")</f>
        <v/>
      </c>
      <c r="T47" s="8">
        <f>IF(ISNUMBER('Registro por Sessão'!$N221),'Registro por Sessão'!$N221,"")</f>
        <v/>
      </c>
      <c r="U47" s="8">
        <f>IF(ISNUMBER('Registro por Sessão'!$N222),'Registro por Sessão'!$N222,"")</f>
        <v/>
      </c>
      <c r="V47" s="8">
        <f>IF(ISNUMBER('Registro por Sessão'!$N223),'Registro por Sessão'!$N223,"")</f>
        <v/>
      </c>
      <c r="W47" s="8">
        <f>IF(ISNUMBER('Registro por Sessão'!$R219),'Registro por Sessão'!$R219,"")</f>
        <v/>
      </c>
      <c r="X47" s="8">
        <f>IF(ISNUMBER('Registro por Sessão'!$R220),'Registro por Sessão'!$R220,"")</f>
        <v/>
      </c>
      <c r="Y47" s="8">
        <f>IF(ISNUMBER('Registro por Sessão'!$R221),'Registro por Sessão'!$R221,"")</f>
        <v/>
      </c>
      <c r="Z47" s="8">
        <f>IF(ISNUMBER('Registro por Sessão'!$R222),'Registro por Sessão'!$R222,"")</f>
        <v/>
      </c>
      <c r="AA47" s="8">
        <f>IF(ISNUMBER('Registro por Sessão'!$R223),'Registro por Sessão'!$R223,"")</f>
        <v/>
      </c>
      <c r="AB47" s="8">
        <f>IF(ISNUMBER('Registro por Sessão'!$V219),'Registro por Sessão'!$V219,"")</f>
        <v/>
      </c>
      <c r="AC47" s="8">
        <f>IF(ISNUMBER('Registro por Sessão'!$V220),'Registro por Sessão'!$V220,"")</f>
        <v/>
      </c>
      <c r="AD47" s="8">
        <f>IF(ISNUMBER('Registro por Sessão'!$V221),'Registro por Sessão'!$V221,"")</f>
        <v/>
      </c>
      <c r="AE47" s="8">
        <f>IF(ISNUMBER('Registro por Sessão'!$V222),'Registro por Sessão'!$V222,"")</f>
        <v/>
      </c>
      <c r="AF47" s="8">
        <f>IF(ISNUMBER('Registro por Sessão'!$V223),'Registro por Sessão'!$V223,"")</f>
        <v/>
      </c>
    </row>
    <row r="48">
      <c r="A48" s="6">
        <f>IF($B48="","",ROW()-3)</f>
        <v/>
      </c>
      <c r="B48" s="7">
        <f>IF(Preenchimento!$B$54="","",Preenchimento!$B$54)</f>
        <v/>
      </c>
      <c r="C48" s="7">
        <f>IF($B48="","",IF(Preenchimento!$C$54="","-",Preenchimento!$C$54))</f>
        <v/>
      </c>
      <c r="D48" s="6">
        <f>IF($B48="","",IF(Preenchimento!$D$54="","-",Preenchimento!$D$54))</f>
        <v/>
      </c>
      <c r="E48" s="31">
        <f>IF($B48="","",IFERROR(AVERAGE(M48:Q48),"-"))</f>
        <v/>
      </c>
      <c r="F48" s="31">
        <f>IF($B48="","",IFERROR(AVERAGE(R48:V48),"-"))</f>
        <v/>
      </c>
      <c r="G48" s="31">
        <f>IF($B48="","",IFERROR(AVERAGE(W48:AA48),"-"))</f>
        <v/>
      </c>
      <c r="H48" s="31">
        <f>IF($B48="","",IFERROR(AVERAGE(AB48:AF48),"-"))</f>
        <v/>
      </c>
      <c r="I48" s="31">
        <f>IF($B48="","",IFERROR(AVERAGE(M48:AF48),"-"))</f>
        <v/>
      </c>
      <c r="J48" s="13">
        <f>IF($B48="","",IF('Registro por Sessão'!$G224="","","S1 D: "&amp;'Registro por Sessão'!$G224&amp;CHAR(10))&amp;IF('Registro por Sessão'!$K224="","","S1 F: "&amp;'Registro por Sessão'!$K224&amp;CHAR(10))&amp;IF('Registro por Sessão'!$O224="","","S1 C: "&amp;'Registro por Sessão'!$O224&amp;CHAR(10))&amp;IF('Registro por Sessão'!$S224="","","S1 P: "&amp;'Registro por Sessão'!$S224&amp;CHAR(10))&amp;IF('Registro por Sessão'!$G225="","","S2 D: "&amp;'Registro por Sessão'!$G225&amp;CHAR(10))&amp;IF('Registro por Sessão'!$K225="","","S2 F: "&amp;'Registro por Sessão'!$K225&amp;CHAR(10))&amp;IF('Registro por Sessão'!$O225="","","S2 C: "&amp;'Registro por Sessão'!$O225&amp;CHAR(10))&amp;IF('Registro por Sessão'!$S225="","","S2 P: "&amp;'Registro por Sessão'!$S225&amp;CHAR(10))&amp;IF('Registro por Sessão'!$G226="","","S3 D: "&amp;'Registro por Sessão'!$G226&amp;CHAR(10))&amp;IF('Registro por Sessão'!$K226="","","S3 F: "&amp;'Registro por Sessão'!$K226&amp;CHAR(10))&amp;IF('Registro por Sessão'!$O226="","","S3 C: "&amp;'Registro por Sessão'!$O226&amp;CHAR(10))&amp;IF('Registro por Sessão'!$S226="","","S3 P: "&amp;'Registro por Sessão'!$S226&amp;CHAR(10))&amp;IF('Registro por Sessão'!$G227="","","S4 D: "&amp;'Registro por Sessão'!$G227&amp;CHAR(10))&amp;IF('Registro por Sessão'!$K227="","","S4 F: "&amp;'Registro por Sessão'!$K227&amp;CHAR(10))&amp;IF('Registro por Sessão'!$O227="","","S4 C: "&amp;'Registro por Sessão'!$O227&amp;CHAR(10))&amp;IF('Registro por Sessão'!$S227="","","S4 P: "&amp;'Registro por Sessão'!$S227&amp;CHAR(10))&amp;IF('Registro por Sessão'!$G228="","","S5 D: "&amp;'Registro por Sessão'!$G228&amp;CHAR(10))&amp;IF('Registro por Sessão'!$K228="","","S5 F: "&amp;'Registro por Sessão'!$K228&amp;CHAR(10))&amp;IF('Registro por Sessão'!$O228="","","S5 C: "&amp;'Registro por Sessão'!$O228&amp;CHAR(10))&amp;IF('Registro por Sessão'!$S228="","","S5 P: "&amp;'Registro por Sessão'!$S228&amp;CHAR(10)))</f>
        <v/>
      </c>
      <c r="K48" s="13">
        <f>IF($B48="","",IF('Registro por Sessão'!$W224="","","S1: "&amp;'Registro por Sessão'!$W224&amp;CHAR(10))&amp;IF('Registro por Sessão'!$X224="","","S1 obs: "&amp;'Registro por Sessão'!$X224&amp;CHAR(10))&amp;IF('Registro por Sessão'!$W225="","","S2: "&amp;'Registro por Sessão'!$W225&amp;CHAR(10))&amp;IF('Registro por Sessão'!$X225="","","S2 obs: "&amp;'Registro por Sessão'!$X225&amp;CHAR(10))&amp;IF('Registro por Sessão'!$W226="","","S3: "&amp;'Registro por Sessão'!$W226&amp;CHAR(10))&amp;IF('Registro por Sessão'!$X226="","","S3 obs: "&amp;'Registro por Sessão'!$X226&amp;CHAR(10))&amp;IF('Registro por Sessão'!$W227="","","S4: "&amp;'Registro por Sessão'!$W227&amp;CHAR(10))&amp;IF('Registro por Sessão'!$X227="","","S4 obs: "&amp;'Registro por Sessão'!$X227&amp;CHAR(10))&amp;IF('Registro por Sessão'!$W228="","","S5: "&amp;'Registro por Sessão'!$W228&amp;CHAR(10))&amp;IF('Registro por Sessão'!$X228="","","S5 obs: "&amp;'Registro por Sessão'!$X228&amp;CHAR(10)))</f>
        <v/>
      </c>
      <c r="L48" s="2" t="n"/>
      <c r="M48" s="6">
        <f>IF(ISNUMBER('Registro por Sessão'!$J224),'Registro por Sessão'!$J224,"")</f>
        <v/>
      </c>
      <c r="N48" s="6">
        <f>IF(ISNUMBER('Registro por Sessão'!$J225),'Registro por Sessão'!$J225,"")</f>
        <v/>
      </c>
      <c r="O48" s="6">
        <f>IF(ISNUMBER('Registro por Sessão'!$J226),'Registro por Sessão'!$J226,"")</f>
        <v/>
      </c>
      <c r="P48" s="6">
        <f>IF(ISNUMBER('Registro por Sessão'!$J227),'Registro por Sessão'!$J227,"")</f>
        <v/>
      </c>
      <c r="Q48" s="6">
        <f>IF(ISNUMBER('Registro por Sessão'!$J228),'Registro por Sessão'!$J228,"")</f>
        <v/>
      </c>
      <c r="R48" s="6">
        <f>IF(ISNUMBER('Registro por Sessão'!$N224),'Registro por Sessão'!$N224,"")</f>
        <v/>
      </c>
      <c r="S48" s="6">
        <f>IF(ISNUMBER('Registro por Sessão'!$N225),'Registro por Sessão'!$N225,"")</f>
        <v/>
      </c>
      <c r="T48" s="6">
        <f>IF(ISNUMBER('Registro por Sessão'!$N226),'Registro por Sessão'!$N226,"")</f>
        <v/>
      </c>
      <c r="U48" s="6">
        <f>IF(ISNUMBER('Registro por Sessão'!$N227),'Registro por Sessão'!$N227,"")</f>
        <v/>
      </c>
      <c r="V48" s="6">
        <f>IF(ISNUMBER('Registro por Sessão'!$N228),'Registro por Sessão'!$N228,"")</f>
        <v/>
      </c>
      <c r="W48" s="6">
        <f>IF(ISNUMBER('Registro por Sessão'!$R224),'Registro por Sessão'!$R224,"")</f>
        <v/>
      </c>
      <c r="X48" s="6">
        <f>IF(ISNUMBER('Registro por Sessão'!$R225),'Registro por Sessão'!$R225,"")</f>
        <v/>
      </c>
      <c r="Y48" s="6">
        <f>IF(ISNUMBER('Registro por Sessão'!$R226),'Registro por Sessão'!$R226,"")</f>
        <v/>
      </c>
      <c r="Z48" s="6">
        <f>IF(ISNUMBER('Registro por Sessão'!$R227),'Registro por Sessão'!$R227,"")</f>
        <v/>
      </c>
      <c r="AA48" s="6">
        <f>IF(ISNUMBER('Registro por Sessão'!$R228),'Registro por Sessão'!$R228,"")</f>
        <v/>
      </c>
      <c r="AB48" s="6">
        <f>IF(ISNUMBER('Registro por Sessão'!$V224),'Registro por Sessão'!$V224,"")</f>
        <v/>
      </c>
      <c r="AC48" s="6">
        <f>IF(ISNUMBER('Registro por Sessão'!$V225),'Registro por Sessão'!$V225,"")</f>
        <v/>
      </c>
      <c r="AD48" s="6">
        <f>IF(ISNUMBER('Registro por Sessão'!$V226),'Registro por Sessão'!$V226,"")</f>
        <v/>
      </c>
      <c r="AE48" s="6">
        <f>IF(ISNUMBER('Registro por Sessão'!$V227),'Registro por Sessão'!$V227,"")</f>
        <v/>
      </c>
      <c r="AF48" s="6">
        <f>IF(ISNUMBER('Registro por Sessão'!$V228),'Registro por Sessão'!$V228,"")</f>
        <v/>
      </c>
    </row>
    <row r="49">
      <c r="A49" s="8">
        <f>IF($B49="","",ROW()-3)</f>
        <v/>
      </c>
      <c r="B49" s="9">
        <f>IF(Preenchimento!$B$55="","",Preenchimento!$B$55)</f>
        <v/>
      </c>
      <c r="C49" s="9">
        <f>IF($B49="","",IF(Preenchimento!$C$55="","-",Preenchimento!$C$55))</f>
        <v/>
      </c>
      <c r="D49" s="8">
        <f>IF($B49="","",IF(Preenchimento!$D$55="","-",Preenchimento!$D$55))</f>
        <v/>
      </c>
      <c r="E49" s="32">
        <f>IF($B49="","",IFERROR(AVERAGE(M49:Q49),"-"))</f>
        <v/>
      </c>
      <c r="F49" s="32">
        <f>IF($B49="","",IFERROR(AVERAGE(R49:V49),"-"))</f>
        <v/>
      </c>
      <c r="G49" s="32">
        <f>IF($B49="","",IFERROR(AVERAGE(W49:AA49),"-"))</f>
        <v/>
      </c>
      <c r="H49" s="32">
        <f>IF($B49="","",IFERROR(AVERAGE(AB49:AF49),"-"))</f>
        <v/>
      </c>
      <c r="I49" s="32">
        <f>IF($B49="","",IFERROR(AVERAGE(M49:AF49),"-"))</f>
        <v/>
      </c>
      <c r="J49" s="14">
        <f>IF($B49="","",IF('Registro por Sessão'!$G229="","","S1 D: "&amp;'Registro por Sessão'!$G229&amp;CHAR(10))&amp;IF('Registro por Sessão'!$K229="","","S1 F: "&amp;'Registro por Sessão'!$K229&amp;CHAR(10))&amp;IF('Registro por Sessão'!$O229="","","S1 C: "&amp;'Registro por Sessão'!$O229&amp;CHAR(10))&amp;IF('Registro por Sessão'!$S229="","","S1 P: "&amp;'Registro por Sessão'!$S229&amp;CHAR(10))&amp;IF('Registro por Sessão'!$G230="","","S2 D: "&amp;'Registro por Sessão'!$G230&amp;CHAR(10))&amp;IF('Registro por Sessão'!$K230="","","S2 F: "&amp;'Registro por Sessão'!$K230&amp;CHAR(10))&amp;IF('Registro por Sessão'!$O230="","","S2 C: "&amp;'Registro por Sessão'!$O230&amp;CHAR(10))&amp;IF('Registro por Sessão'!$S230="","","S2 P: "&amp;'Registro por Sessão'!$S230&amp;CHAR(10))&amp;IF('Registro por Sessão'!$G231="","","S3 D: "&amp;'Registro por Sessão'!$G231&amp;CHAR(10))&amp;IF('Registro por Sessão'!$K231="","","S3 F: "&amp;'Registro por Sessão'!$K231&amp;CHAR(10))&amp;IF('Registro por Sessão'!$O231="","","S3 C: "&amp;'Registro por Sessão'!$O231&amp;CHAR(10))&amp;IF('Registro por Sessão'!$S231="","","S3 P: "&amp;'Registro por Sessão'!$S231&amp;CHAR(10))&amp;IF('Registro por Sessão'!$G232="","","S4 D: "&amp;'Registro por Sessão'!$G232&amp;CHAR(10))&amp;IF('Registro por Sessão'!$K232="","","S4 F: "&amp;'Registro por Sessão'!$K232&amp;CHAR(10))&amp;IF('Registro por Sessão'!$O232="","","S4 C: "&amp;'Registro por Sessão'!$O232&amp;CHAR(10))&amp;IF('Registro por Sessão'!$S232="","","S4 P: "&amp;'Registro por Sessão'!$S232&amp;CHAR(10))&amp;IF('Registro por Sessão'!$G233="","","S5 D: "&amp;'Registro por Sessão'!$G233&amp;CHAR(10))&amp;IF('Registro por Sessão'!$K233="","","S5 F: "&amp;'Registro por Sessão'!$K233&amp;CHAR(10))&amp;IF('Registro por Sessão'!$O233="","","S5 C: "&amp;'Registro por Sessão'!$O233&amp;CHAR(10))&amp;IF('Registro por Sessão'!$S233="","","S5 P: "&amp;'Registro por Sessão'!$S233&amp;CHAR(10)))</f>
        <v/>
      </c>
      <c r="K49" s="14">
        <f>IF($B49="","",IF('Registro por Sessão'!$W229="","","S1: "&amp;'Registro por Sessão'!$W229&amp;CHAR(10))&amp;IF('Registro por Sessão'!$X229="","","S1 obs: "&amp;'Registro por Sessão'!$X229&amp;CHAR(10))&amp;IF('Registro por Sessão'!$W230="","","S2: "&amp;'Registro por Sessão'!$W230&amp;CHAR(10))&amp;IF('Registro por Sessão'!$X230="","","S2 obs: "&amp;'Registro por Sessão'!$X230&amp;CHAR(10))&amp;IF('Registro por Sessão'!$W231="","","S3: "&amp;'Registro por Sessão'!$W231&amp;CHAR(10))&amp;IF('Registro por Sessão'!$X231="","","S3 obs: "&amp;'Registro por Sessão'!$X231&amp;CHAR(10))&amp;IF('Registro por Sessão'!$W232="","","S4: "&amp;'Registro por Sessão'!$W232&amp;CHAR(10))&amp;IF('Registro por Sessão'!$X232="","","S4 obs: "&amp;'Registro por Sessão'!$X232&amp;CHAR(10))&amp;IF('Registro por Sessão'!$W233="","","S5: "&amp;'Registro por Sessão'!$W233&amp;CHAR(10))&amp;IF('Registro por Sessão'!$X233="","","S5 obs: "&amp;'Registro por Sessão'!$X233&amp;CHAR(10)))</f>
        <v/>
      </c>
      <c r="L49" s="2" t="n"/>
      <c r="M49" s="8">
        <f>IF(ISNUMBER('Registro por Sessão'!$J229),'Registro por Sessão'!$J229,"")</f>
        <v/>
      </c>
      <c r="N49" s="8">
        <f>IF(ISNUMBER('Registro por Sessão'!$J230),'Registro por Sessão'!$J230,"")</f>
        <v/>
      </c>
      <c r="O49" s="8">
        <f>IF(ISNUMBER('Registro por Sessão'!$J231),'Registro por Sessão'!$J231,"")</f>
        <v/>
      </c>
      <c r="P49" s="8">
        <f>IF(ISNUMBER('Registro por Sessão'!$J232),'Registro por Sessão'!$J232,"")</f>
        <v/>
      </c>
      <c r="Q49" s="8">
        <f>IF(ISNUMBER('Registro por Sessão'!$J233),'Registro por Sessão'!$J233,"")</f>
        <v/>
      </c>
      <c r="R49" s="8">
        <f>IF(ISNUMBER('Registro por Sessão'!$N229),'Registro por Sessão'!$N229,"")</f>
        <v/>
      </c>
      <c r="S49" s="8">
        <f>IF(ISNUMBER('Registro por Sessão'!$N230),'Registro por Sessão'!$N230,"")</f>
        <v/>
      </c>
      <c r="T49" s="8">
        <f>IF(ISNUMBER('Registro por Sessão'!$N231),'Registro por Sessão'!$N231,"")</f>
        <v/>
      </c>
      <c r="U49" s="8">
        <f>IF(ISNUMBER('Registro por Sessão'!$N232),'Registro por Sessão'!$N232,"")</f>
        <v/>
      </c>
      <c r="V49" s="8">
        <f>IF(ISNUMBER('Registro por Sessão'!$N233),'Registro por Sessão'!$N233,"")</f>
        <v/>
      </c>
      <c r="W49" s="8">
        <f>IF(ISNUMBER('Registro por Sessão'!$R229),'Registro por Sessão'!$R229,"")</f>
        <v/>
      </c>
      <c r="X49" s="8">
        <f>IF(ISNUMBER('Registro por Sessão'!$R230),'Registro por Sessão'!$R230,"")</f>
        <v/>
      </c>
      <c r="Y49" s="8">
        <f>IF(ISNUMBER('Registro por Sessão'!$R231),'Registro por Sessão'!$R231,"")</f>
        <v/>
      </c>
      <c r="Z49" s="8">
        <f>IF(ISNUMBER('Registro por Sessão'!$R232),'Registro por Sessão'!$R232,"")</f>
        <v/>
      </c>
      <c r="AA49" s="8">
        <f>IF(ISNUMBER('Registro por Sessão'!$R233),'Registro por Sessão'!$R233,"")</f>
        <v/>
      </c>
      <c r="AB49" s="8">
        <f>IF(ISNUMBER('Registro por Sessão'!$V229),'Registro por Sessão'!$V229,"")</f>
        <v/>
      </c>
      <c r="AC49" s="8">
        <f>IF(ISNUMBER('Registro por Sessão'!$V230),'Registro por Sessão'!$V230,"")</f>
        <v/>
      </c>
      <c r="AD49" s="8">
        <f>IF(ISNUMBER('Registro por Sessão'!$V231),'Registro por Sessão'!$V231,"")</f>
        <v/>
      </c>
      <c r="AE49" s="8">
        <f>IF(ISNUMBER('Registro por Sessão'!$V232),'Registro por Sessão'!$V232,"")</f>
        <v/>
      </c>
      <c r="AF49" s="8">
        <f>IF(ISNUMBER('Registro por Sessão'!$V233),'Registro por Sessão'!$V233,"")</f>
        <v/>
      </c>
    </row>
    <row r="50">
      <c r="A50" s="6">
        <f>IF($B50="","",ROW()-3)</f>
        <v/>
      </c>
      <c r="B50" s="7">
        <f>IF(Preenchimento!$B$56="","",Preenchimento!$B$56)</f>
        <v/>
      </c>
      <c r="C50" s="7">
        <f>IF($B50="","",IF(Preenchimento!$C$56="","-",Preenchimento!$C$56))</f>
        <v/>
      </c>
      <c r="D50" s="6">
        <f>IF($B50="","",IF(Preenchimento!$D$56="","-",Preenchimento!$D$56))</f>
        <v/>
      </c>
      <c r="E50" s="31">
        <f>IF($B50="","",IFERROR(AVERAGE(M50:Q50),"-"))</f>
        <v/>
      </c>
      <c r="F50" s="31">
        <f>IF($B50="","",IFERROR(AVERAGE(R50:V50),"-"))</f>
        <v/>
      </c>
      <c r="G50" s="31">
        <f>IF($B50="","",IFERROR(AVERAGE(W50:AA50),"-"))</f>
        <v/>
      </c>
      <c r="H50" s="31">
        <f>IF($B50="","",IFERROR(AVERAGE(AB50:AF50),"-"))</f>
        <v/>
      </c>
      <c r="I50" s="31">
        <f>IF($B50="","",IFERROR(AVERAGE(M50:AF50),"-"))</f>
        <v/>
      </c>
      <c r="J50" s="13">
        <f>IF($B50="","",IF('Registro por Sessão'!$G234="","","S1 D: "&amp;'Registro por Sessão'!$G234&amp;CHAR(10))&amp;IF('Registro por Sessão'!$K234="","","S1 F: "&amp;'Registro por Sessão'!$K234&amp;CHAR(10))&amp;IF('Registro por Sessão'!$O234="","","S1 C: "&amp;'Registro por Sessão'!$O234&amp;CHAR(10))&amp;IF('Registro por Sessão'!$S234="","","S1 P: "&amp;'Registro por Sessão'!$S234&amp;CHAR(10))&amp;IF('Registro por Sessão'!$G235="","","S2 D: "&amp;'Registro por Sessão'!$G235&amp;CHAR(10))&amp;IF('Registro por Sessão'!$K235="","","S2 F: "&amp;'Registro por Sessão'!$K235&amp;CHAR(10))&amp;IF('Registro por Sessão'!$O235="","","S2 C: "&amp;'Registro por Sessão'!$O235&amp;CHAR(10))&amp;IF('Registro por Sessão'!$S235="","","S2 P: "&amp;'Registro por Sessão'!$S235&amp;CHAR(10))&amp;IF('Registro por Sessão'!$G236="","","S3 D: "&amp;'Registro por Sessão'!$G236&amp;CHAR(10))&amp;IF('Registro por Sessão'!$K236="","","S3 F: "&amp;'Registro por Sessão'!$K236&amp;CHAR(10))&amp;IF('Registro por Sessão'!$O236="","","S3 C: "&amp;'Registro por Sessão'!$O236&amp;CHAR(10))&amp;IF('Registro por Sessão'!$S236="","","S3 P: "&amp;'Registro por Sessão'!$S236&amp;CHAR(10))&amp;IF('Registro por Sessão'!$G237="","","S4 D: "&amp;'Registro por Sessão'!$G237&amp;CHAR(10))&amp;IF('Registro por Sessão'!$K237="","","S4 F: "&amp;'Registro por Sessão'!$K237&amp;CHAR(10))&amp;IF('Registro por Sessão'!$O237="","","S4 C: "&amp;'Registro por Sessão'!$O237&amp;CHAR(10))&amp;IF('Registro por Sessão'!$S237="","","S4 P: "&amp;'Registro por Sessão'!$S237&amp;CHAR(10))&amp;IF('Registro por Sessão'!$G238="","","S5 D: "&amp;'Registro por Sessão'!$G238&amp;CHAR(10))&amp;IF('Registro por Sessão'!$K238="","","S5 F: "&amp;'Registro por Sessão'!$K238&amp;CHAR(10))&amp;IF('Registro por Sessão'!$O238="","","S5 C: "&amp;'Registro por Sessão'!$O238&amp;CHAR(10))&amp;IF('Registro por Sessão'!$S238="","","S5 P: "&amp;'Registro por Sessão'!$S238&amp;CHAR(10)))</f>
        <v/>
      </c>
      <c r="K50" s="13">
        <f>IF($B50="","",IF('Registro por Sessão'!$W234="","","S1: "&amp;'Registro por Sessão'!$W234&amp;CHAR(10))&amp;IF('Registro por Sessão'!$X234="","","S1 obs: "&amp;'Registro por Sessão'!$X234&amp;CHAR(10))&amp;IF('Registro por Sessão'!$W235="","","S2: "&amp;'Registro por Sessão'!$W235&amp;CHAR(10))&amp;IF('Registro por Sessão'!$X235="","","S2 obs: "&amp;'Registro por Sessão'!$X235&amp;CHAR(10))&amp;IF('Registro por Sessão'!$W236="","","S3: "&amp;'Registro por Sessão'!$W236&amp;CHAR(10))&amp;IF('Registro por Sessão'!$X236="","","S3 obs: "&amp;'Registro por Sessão'!$X236&amp;CHAR(10))&amp;IF('Registro por Sessão'!$W237="","","S4: "&amp;'Registro por Sessão'!$W237&amp;CHAR(10))&amp;IF('Registro por Sessão'!$X237="","","S4 obs: "&amp;'Registro por Sessão'!$X237&amp;CHAR(10))&amp;IF('Registro por Sessão'!$W238="","","S5: "&amp;'Registro por Sessão'!$W238&amp;CHAR(10))&amp;IF('Registro por Sessão'!$X238="","","S5 obs: "&amp;'Registro por Sessão'!$X238&amp;CHAR(10)))</f>
        <v/>
      </c>
      <c r="L50" s="2" t="n"/>
      <c r="M50" s="6">
        <f>IF(ISNUMBER('Registro por Sessão'!$J234),'Registro por Sessão'!$J234,"")</f>
        <v/>
      </c>
      <c r="N50" s="6">
        <f>IF(ISNUMBER('Registro por Sessão'!$J235),'Registro por Sessão'!$J235,"")</f>
        <v/>
      </c>
      <c r="O50" s="6">
        <f>IF(ISNUMBER('Registro por Sessão'!$J236),'Registro por Sessão'!$J236,"")</f>
        <v/>
      </c>
      <c r="P50" s="6">
        <f>IF(ISNUMBER('Registro por Sessão'!$J237),'Registro por Sessão'!$J237,"")</f>
        <v/>
      </c>
      <c r="Q50" s="6">
        <f>IF(ISNUMBER('Registro por Sessão'!$J238),'Registro por Sessão'!$J238,"")</f>
        <v/>
      </c>
      <c r="R50" s="6">
        <f>IF(ISNUMBER('Registro por Sessão'!$N234),'Registro por Sessão'!$N234,"")</f>
        <v/>
      </c>
      <c r="S50" s="6">
        <f>IF(ISNUMBER('Registro por Sessão'!$N235),'Registro por Sessão'!$N235,"")</f>
        <v/>
      </c>
      <c r="T50" s="6">
        <f>IF(ISNUMBER('Registro por Sessão'!$N236),'Registro por Sessão'!$N236,"")</f>
        <v/>
      </c>
      <c r="U50" s="6">
        <f>IF(ISNUMBER('Registro por Sessão'!$N237),'Registro por Sessão'!$N237,"")</f>
        <v/>
      </c>
      <c r="V50" s="6">
        <f>IF(ISNUMBER('Registro por Sessão'!$N238),'Registro por Sessão'!$N238,"")</f>
        <v/>
      </c>
      <c r="W50" s="6">
        <f>IF(ISNUMBER('Registro por Sessão'!$R234),'Registro por Sessão'!$R234,"")</f>
        <v/>
      </c>
      <c r="X50" s="6">
        <f>IF(ISNUMBER('Registro por Sessão'!$R235),'Registro por Sessão'!$R235,"")</f>
        <v/>
      </c>
      <c r="Y50" s="6">
        <f>IF(ISNUMBER('Registro por Sessão'!$R236),'Registro por Sessão'!$R236,"")</f>
        <v/>
      </c>
      <c r="Z50" s="6">
        <f>IF(ISNUMBER('Registro por Sessão'!$R237),'Registro por Sessão'!$R237,"")</f>
        <v/>
      </c>
      <c r="AA50" s="6">
        <f>IF(ISNUMBER('Registro por Sessão'!$R238),'Registro por Sessão'!$R238,"")</f>
        <v/>
      </c>
      <c r="AB50" s="6">
        <f>IF(ISNUMBER('Registro por Sessão'!$V234),'Registro por Sessão'!$V234,"")</f>
        <v/>
      </c>
      <c r="AC50" s="6">
        <f>IF(ISNUMBER('Registro por Sessão'!$V235),'Registro por Sessão'!$V235,"")</f>
        <v/>
      </c>
      <c r="AD50" s="6">
        <f>IF(ISNUMBER('Registro por Sessão'!$V236),'Registro por Sessão'!$V236,"")</f>
        <v/>
      </c>
      <c r="AE50" s="6">
        <f>IF(ISNUMBER('Registro por Sessão'!$V237),'Registro por Sessão'!$V237,"")</f>
        <v/>
      </c>
      <c r="AF50" s="6">
        <f>IF(ISNUMBER('Registro por Sessão'!$V238),'Registro por Sessão'!$V238,"")</f>
        <v/>
      </c>
    </row>
    <row r="51">
      <c r="A51" s="8">
        <f>IF($B51="","",ROW()-3)</f>
        <v/>
      </c>
      <c r="B51" s="9">
        <f>IF(Preenchimento!$B$57="","",Preenchimento!$B$57)</f>
        <v/>
      </c>
      <c r="C51" s="9">
        <f>IF($B51="","",IF(Preenchimento!$C$57="","-",Preenchimento!$C$57))</f>
        <v/>
      </c>
      <c r="D51" s="8">
        <f>IF($B51="","",IF(Preenchimento!$D$57="","-",Preenchimento!$D$57))</f>
        <v/>
      </c>
      <c r="E51" s="32">
        <f>IF($B51="","",IFERROR(AVERAGE(M51:Q51),"-"))</f>
        <v/>
      </c>
      <c r="F51" s="32">
        <f>IF($B51="","",IFERROR(AVERAGE(R51:V51),"-"))</f>
        <v/>
      </c>
      <c r="G51" s="32">
        <f>IF($B51="","",IFERROR(AVERAGE(W51:AA51),"-"))</f>
        <v/>
      </c>
      <c r="H51" s="32">
        <f>IF($B51="","",IFERROR(AVERAGE(AB51:AF51),"-"))</f>
        <v/>
      </c>
      <c r="I51" s="32">
        <f>IF($B51="","",IFERROR(AVERAGE(M51:AF51),"-"))</f>
        <v/>
      </c>
      <c r="J51" s="14">
        <f>IF($B51="","",IF('Registro por Sessão'!$G239="","","S1 D: "&amp;'Registro por Sessão'!$G239&amp;CHAR(10))&amp;IF('Registro por Sessão'!$K239="","","S1 F: "&amp;'Registro por Sessão'!$K239&amp;CHAR(10))&amp;IF('Registro por Sessão'!$O239="","","S1 C: "&amp;'Registro por Sessão'!$O239&amp;CHAR(10))&amp;IF('Registro por Sessão'!$S239="","","S1 P: "&amp;'Registro por Sessão'!$S239&amp;CHAR(10))&amp;IF('Registro por Sessão'!$G240="","","S2 D: "&amp;'Registro por Sessão'!$G240&amp;CHAR(10))&amp;IF('Registro por Sessão'!$K240="","","S2 F: "&amp;'Registro por Sessão'!$K240&amp;CHAR(10))&amp;IF('Registro por Sessão'!$O240="","","S2 C: "&amp;'Registro por Sessão'!$O240&amp;CHAR(10))&amp;IF('Registro por Sessão'!$S240="","","S2 P: "&amp;'Registro por Sessão'!$S240&amp;CHAR(10))&amp;IF('Registro por Sessão'!$G241="","","S3 D: "&amp;'Registro por Sessão'!$G241&amp;CHAR(10))&amp;IF('Registro por Sessão'!$K241="","","S3 F: "&amp;'Registro por Sessão'!$K241&amp;CHAR(10))&amp;IF('Registro por Sessão'!$O241="","","S3 C: "&amp;'Registro por Sessão'!$O241&amp;CHAR(10))&amp;IF('Registro por Sessão'!$S241="","","S3 P: "&amp;'Registro por Sessão'!$S241&amp;CHAR(10))&amp;IF('Registro por Sessão'!$G242="","","S4 D: "&amp;'Registro por Sessão'!$G242&amp;CHAR(10))&amp;IF('Registro por Sessão'!$K242="","","S4 F: "&amp;'Registro por Sessão'!$K242&amp;CHAR(10))&amp;IF('Registro por Sessão'!$O242="","","S4 C: "&amp;'Registro por Sessão'!$O242&amp;CHAR(10))&amp;IF('Registro por Sessão'!$S242="","","S4 P: "&amp;'Registro por Sessão'!$S242&amp;CHAR(10))&amp;IF('Registro por Sessão'!$G243="","","S5 D: "&amp;'Registro por Sessão'!$G243&amp;CHAR(10))&amp;IF('Registro por Sessão'!$K243="","","S5 F: "&amp;'Registro por Sessão'!$K243&amp;CHAR(10))&amp;IF('Registro por Sessão'!$O243="","","S5 C: "&amp;'Registro por Sessão'!$O243&amp;CHAR(10))&amp;IF('Registro por Sessão'!$S243="","","S5 P: "&amp;'Registro por Sessão'!$S243&amp;CHAR(10)))</f>
        <v/>
      </c>
      <c r="K51" s="14">
        <f>IF($B51="","",IF('Registro por Sessão'!$W239="","","S1: "&amp;'Registro por Sessão'!$W239&amp;CHAR(10))&amp;IF('Registro por Sessão'!$X239="","","S1 obs: "&amp;'Registro por Sessão'!$X239&amp;CHAR(10))&amp;IF('Registro por Sessão'!$W240="","","S2: "&amp;'Registro por Sessão'!$W240&amp;CHAR(10))&amp;IF('Registro por Sessão'!$X240="","","S2 obs: "&amp;'Registro por Sessão'!$X240&amp;CHAR(10))&amp;IF('Registro por Sessão'!$W241="","","S3: "&amp;'Registro por Sessão'!$W241&amp;CHAR(10))&amp;IF('Registro por Sessão'!$X241="","","S3 obs: "&amp;'Registro por Sessão'!$X241&amp;CHAR(10))&amp;IF('Registro por Sessão'!$W242="","","S4: "&amp;'Registro por Sessão'!$W242&amp;CHAR(10))&amp;IF('Registro por Sessão'!$X242="","","S4 obs: "&amp;'Registro por Sessão'!$X242&amp;CHAR(10))&amp;IF('Registro por Sessão'!$W243="","","S5: "&amp;'Registro por Sessão'!$W243&amp;CHAR(10))&amp;IF('Registro por Sessão'!$X243="","","S5 obs: "&amp;'Registro por Sessão'!$X243&amp;CHAR(10)))</f>
        <v/>
      </c>
      <c r="L51" s="2" t="n"/>
      <c r="M51" s="8">
        <f>IF(ISNUMBER('Registro por Sessão'!$J239),'Registro por Sessão'!$J239,"")</f>
        <v/>
      </c>
      <c r="N51" s="8">
        <f>IF(ISNUMBER('Registro por Sessão'!$J240),'Registro por Sessão'!$J240,"")</f>
        <v/>
      </c>
      <c r="O51" s="8">
        <f>IF(ISNUMBER('Registro por Sessão'!$J241),'Registro por Sessão'!$J241,"")</f>
        <v/>
      </c>
      <c r="P51" s="8">
        <f>IF(ISNUMBER('Registro por Sessão'!$J242),'Registro por Sessão'!$J242,"")</f>
        <v/>
      </c>
      <c r="Q51" s="8">
        <f>IF(ISNUMBER('Registro por Sessão'!$J243),'Registro por Sessão'!$J243,"")</f>
        <v/>
      </c>
      <c r="R51" s="8">
        <f>IF(ISNUMBER('Registro por Sessão'!$N239),'Registro por Sessão'!$N239,"")</f>
        <v/>
      </c>
      <c r="S51" s="8">
        <f>IF(ISNUMBER('Registro por Sessão'!$N240),'Registro por Sessão'!$N240,"")</f>
        <v/>
      </c>
      <c r="T51" s="8">
        <f>IF(ISNUMBER('Registro por Sessão'!$N241),'Registro por Sessão'!$N241,"")</f>
        <v/>
      </c>
      <c r="U51" s="8">
        <f>IF(ISNUMBER('Registro por Sessão'!$N242),'Registro por Sessão'!$N242,"")</f>
        <v/>
      </c>
      <c r="V51" s="8">
        <f>IF(ISNUMBER('Registro por Sessão'!$N243),'Registro por Sessão'!$N243,"")</f>
        <v/>
      </c>
      <c r="W51" s="8">
        <f>IF(ISNUMBER('Registro por Sessão'!$R239),'Registro por Sessão'!$R239,"")</f>
        <v/>
      </c>
      <c r="X51" s="8">
        <f>IF(ISNUMBER('Registro por Sessão'!$R240),'Registro por Sessão'!$R240,"")</f>
        <v/>
      </c>
      <c r="Y51" s="8">
        <f>IF(ISNUMBER('Registro por Sessão'!$R241),'Registro por Sessão'!$R241,"")</f>
        <v/>
      </c>
      <c r="Z51" s="8">
        <f>IF(ISNUMBER('Registro por Sessão'!$R242),'Registro por Sessão'!$R242,"")</f>
        <v/>
      </c>
      <c r="AA51" s="8">
        <f>IF(ISNUMBER('Registro por Sessão'!$R243),'Registro por Sessão'!$R243,"")</f>
        <v/>
      </c>
      <c r="AB51" s="8">
        <f>IF(ISNUMBER('Registro por Sessão'!$V239),'Registro por Sessão'!$V239,"")</f>
        <v/>
      </c>
      <c r="AC51" s="8">
        <f>IF(ISNUMBER('Registro por Sessão'!$V240),'Registro por Sessão'!$V240,"")</f>
        <v/>
      </c>
      <c r="AD51" s="8">
        <f>IF(ISNUMBER('Registro por Sessão'!$V241),'Registro por Sessão'!$V241,"")</f>
        <v/>
      </c>
      <c r="AE51" s="8">
        <f>IF(ISNUMBER('Registro por Sessão'!$V242),'Registro por Sessão'!$V242,"")</f>
        <v/>
      </c>
      <c r="AF51" s="8">
        <f>IF(ISNUMBER('Registro por Sessão'!$V243),'Registro por Sessão'!$V243,"")</f>
        <v/>
      </c>
    </row>
    <row r="52">
      <c r="A52" s="6">
        <f>IF($B52="","",ROW()-3)</f>
        <v/>
      </c>
      <c r="B52" s="7">
        <f>IF(Preenchimento!$B$58="","",Preenchimento!$B$58)</f>
        <v/>
      </c>
      <c r="C52" s="7">
        <f>IF($B52="","",IF(Preenchimento!$C$58="","-",Preenchimento!$C$58))</f>
        <v/>
      </c>
      <c r="D52" s="6">
        <f>IF($B52="","",IF(Preenchimento!$D$58="","-",Preenchimento!$D$58))</f>
        <v/>
      </c>
      <c r="E52" s="31">
        <f>IF($B52="","",IFERROR(AVERAGE(M52:Q52),"-"))</f>
        <v/>
      </c>
      <c r="F52" s="31">
        <f>IF($B52="","",IFERROR(AVERAGE(R52:V52),"-"))</f>
        <v/>
      </c>
      <c r="G52" s="31">
        <f>IF($B52="","",IFERROR(AVERAGE(W52:AA52),"-"))</f>
        <v/>
      </c>
      <c r="H52" s="31">
        <f>IF($B52="","",IFERROR(AVERAGE(AB52:AF52),"-"))</f>
        <v/>
      </c>
      <c r="I52" s="31">
        <f>IF($B52="","",IFERROR(AVERAGE(M52:AF52),"-"))</f>
        <v/>
      </c>
      <c r="J52" s="13">
        <f>IF($B52="","",IF('Registro por Sessão'!$G244="","","S1 D: "&amp;'Registro por Sessão'!$G244&amp;CHAR(10))&amp;IF('Registro por Sessão'!$K244="","","S1 F: "&amp;'Registro por Sessão'!$K244&amp;CHAR(10))&amp;IF('Registro por Sessão'!$O244="","","S1 C: "&amp;'Registro por Sessão'!$O244&amp;CHAR(10))&amp;IF('Registro por Sessão'!$S244="","","S1 P: "&amp;'Registro por Sessão'!$S244&amp;CHAR(10))&amp;IF('Registro por Sessão'!$G245="","","S2 D: "&amp;'Registro por Sessão'!$G245&amp;CHAR(10))&amp;IF('Registro por Sessão'!$K245="","","S2 F: "&amp;'Registro por Sessão'!$K245&amp;CHAR(10))&amp;IF('Registro por Sessão'!$O245="","","S2 C: "&amp;'Registro por Sessão'!$O245&amp;CHAR(10))&amp;IF('Registro por Sessão'!$S245="","","S2 P: "&amp;'Registro por Sessão'!$S245&amp;CHAR(10))&amp;IF('Registro por Sessão'!$G246="","","S3 D: "&amp;'Registro por Sessão'!$G246&amp;CHAR(10))&amp;IF('Registro por Sessão'!$K246="","","S3 F: "&amp;'Registro por Sessão'!$K246&amp;CHAR(10))&amp;IF('Registro por Sessão'!$O246="","","S3 C: "&amp;'Registro por Sessão'!$O246&amp;CHAR(10))&amp;IF('Registro por Sessão'!$S246="","","S3 P: "&amp;'Registro por Sessão'!$S246&amp;CHAR(10))&amp;IF('Registro por Sessão'!$G247="","","S4 D: "&amp;'Registro por Sessão'!$G247&amp;CHAR(10))&amp;IF('Registro por Sessão'!$K247="","","S4 F: "&amp;'Registro por Sessão'!$K247&amp;CHAR(10))&amp;IF('Registro por Sessão'!$O247="","","S4 C: "&amp;'Registro por Sessão'!$O247&amp;CHAR(10))&amp;IF('Registro por Sessão'!$S247="","","S4 P: "&amp;'Registro por Sessão'!$S247&amp;CHAR(10))&amp;IF('Registro por Sessão'!$G248="","","S5 D: "&amp;'Registro por Sessão'!$G248&amp;CHAR(10))&amp;IF('Registro por Sessão'!$K248="","","S5 F: "&amp;'Registro por Sessão'!$K248&amp;CHAR(10))&amp;IF('Registro por Sessão'!$O248="","","S5 C: "&amp;'Registro por Sessão'!$O248&amp;CHAR(10))&amp;IF('Registro por Sessão'!$S248="","","S5 P: "&amp;'Registro por Sessão'!$S248&amp;CHAR(10)))</f>
        <v/>
      </c>
      <c r="K52" s="13">
        <f>IF($B52="","",IF('Registro por Sessão'!$W244="","","S1: "&amp;'Registro por Sessão'!$W244&amp;CHAR(10))&amp;IF('Registro por Sessão'!$X244="","","S1 obs: "&amp;'Registro por Sessão'!$X244&amp;CHAR(10))&amp;IF('Registro por Sessão'!$W245="","","S2: "&amp;'Registro por Sessão'!$W245&amp;CHAR(10))&amp;IF('Registro por Sessão'!$X245="","","S2 obs: "&amp;'Registro por Sessão'!$X245&amp;CHAR(10))&amp;IF('Registro por Sessão'!$W246="","","S3: "&amp;'Registro por Sessão'!$W246&amp;CHAR(10))&amp;IF('Registro por Sessão'!$X246="","","S3 obs: "&amp;'Registro por Sessão'!$X246&amp;CHAR(10))&amp;IF('Registro por Sessão'!$W247="","","S4: "&amp;'Registro por Sessão'!$W247&amp;CHAR(10))&amp;IF('Registro por Sessão'!$X247="","","S4 obs: "&amp;'Registro por Sessão'!$X247&amp;CHAR(10))&amp;IF('Registro por Sessão'!$W248="","","S5: "&amp;'Registro por Sessão'!$W248&amp;CHAR(10))&amp;IF('Registro por Sessão'!$X248="","","S5 obs: "&amp;'Registro por Sessão'!$X248&amp;CHAR(10)))</f>
        <v/>
      </c>
      <c r="L52" s="2" t="n"/>
      <c r="M52" s="6">
        <f>IF(ISNUMBER('Registro por Sessão'!$J244),'Registro por Sessão'!$J244,"")</f>
        <v/>
      </c>
      <c r="N52" s="6">
        <f>IF(ISNUMBER('Registro por Sessão'!$J245),'Registro por Sessão'!$J245,"")</f>
        <v/>
      </c>
      <c r="O52" s="6">
        <f>IF(ISNUMBER('Registro por Sessão'!$J246),'Registro por Sessão'!$J246,"")</f>
        <v/>
      </c>
      <c r="P52" s="6">
        <f>IF(ISNUMBER('Registro por Sessão'!$J247),'Registro por Sessão'!$J247,"")</f>
        <v/>
      </c>
      <c r="Q52" s="6">
        <f>IF(ISNUMBER('Registro por Sessão'!$J248),'Registro por Sessão'!$J248,"")</f>
        <v/>
      </c>
      <c r="R52" s="6">
        <f>IF(ISNUMBER('Registro por Sessão'!$N244),'Registro por Sessão'!$N244,"")</f>
        <v/>
      </c>
      <c r="S52" s="6">
        <f>IF(ISNUMBER('Registro por Sessão'!$N245),'Registro por Sessão'!$N245,"")</f>
        <v/>
      </c>
      <c r="T52" s="6">
        <f>IF(ISNUMBER('Registro por Sessão'!$N246),'Registro por Sessão'!$N246,"")</f>
        <v/>
      </c>
      <c r="U52" s="6">
        <f>IF(ISNUMBER('Registro por Sessão'!$N247),'Registro por Sessão'!$N247,"")</f>
        <v/>
      </c>
      <c r="V52" s="6">
        <f>IF(ISNUMBER('Registro por Sessão'!$N248),'Registro por Sessão'!$N248,"")</f>
        <v/>
      </c>
      <c r="W52" s="6">
        <f>IF(ISNUMBER('Registro por Sessão'!$R244),'Registro por Sessão'!$R244,"")</f>
        <v/>
      </c>
      <c r="X52" s="6">
        <f>IF(ISNUMBER('Registro por Sessão'!$R245),'Registro por Sessão'!$R245,"")</f>
        <v/>
      </c>
      <c r="Y52" s="6">
        <f>IF(ISNUMBER('Registro por Sessão'!$R246),'Registro por Sessão'!$R246,"")</f>
        <v/>
      </c>
      <c r="Z52" s="6">
        <f>IF(ISNUMBER('Registro por Sessão'!$R247),'Registro por Sessão'!$R247,"")</f>
        <v/>
      </c>
      <c r="AA52" s="6">
        <f>IF(ISNUMBER('Registro por Sessão'!$R248),'Registro por Sessão'!$R248,"")</f>
        <v/>
      </c>
      <c r="AB52" s="6">
        <f>IF(ISNUMBER('Registro por Sessão'!$V244),'Registro por Sessão'!$V244,"")</f>
        <v/>
      </c>
      <c r="AC52" s="6">
        <f>IF(ISNUMBER('Registro por Sessão'!$V245),'Registro por Sessão'!$V245,"")</f>
        <v/>
      </c>
      <c r="AD52" s="6">
        <f>IF(ISNUMBER('Registro por Sessão'!$V246),'Registro por Sessão'!$V246,"")</f>
        <v/>
      </c>
      <c r="AE52" s="6">
        <f>IF(ISNUMBER('Registro por Sessão'!$V247),'Registro por Sessão'!$V247,"")</f>
        <v/>
      </c>
      <c r="AF52" s="6">
        <f>IF(ISNUMBER('Registro por Sessão'!$V248),'Registro por Sessão'!$V248,"")</f>
        <v/>
      </c>
    </row>
    <row r="53">
      <c r="A53" s="8">
        <f>IF($B53="","",ROW()-3)</f>
        <v/>
      </c>
      <c r="B53" s="9">
        <f>IF(Preenchimento!$B$59="","",Preenchimento!$B$59)</f>
        <v/>
      </c>
      <c r="C53" s="9">
        <f>IF($B53="","",IF(Preenchimento!$C$59="","-",Preenchimento!$C$59))</f>
        <v/>
      </c>
      <c r="D53" s="8">
        <f>IF($B53="","",IF(Preenchimento!$D$59="","-",Preenchimento!$D$59))</f>
        <v/>
      </c>
      <c r="E53" s="32">
        <f>IF($B53="","",IFERROR(AVERAGE(M53:Q53),"-"))</f>
        <v/>
      </c>
      <c r="F53" s="32">
        <f>IF($B53="","",IFERROR(AVERAGE(R53:V53),"-"))</f>
        <v/>
      </c>
      <c r="G53" s="32">
        <f>IF($B53="","",IFERROR(AVERAGE(W53:AA53),"-"))</f>
        <v/>
      </c>
      <c r="H53" s="32">
        <f>IF($B53="","",IFERROR(AVERAGE(AB53:AF53),"-"))</f>
        <v/>
      </c>
      <c r="I53" s="32">
        <f>IF($B53="","",IFERROR(AVERAGE(M53:AF53),"-"))</f>
        <v/>
      </c>
      <c r="J53" s="14">
        <f>IF($B53="","",IF('Registro por Sessão'!$G249="","","S1 D: "&amp;'Registro por Sessão'!$G249&amp;CHAR(10))&amp;IF('Registro por Sessão'!$K249="","","S1 F: "&amp;'Registro por Sessão'!$K249&amp;CHAR(10))&amp;IF('Registro por Sessão'!$O249="","","S1 C: "&amp;'Registro por Sessão'!$O249&amp;CHAR(10))&amp;IF('Registro por Sessão'!$S249="","","S1 P: "&amp;'Registro por Sessão'!$S249&amp;CHAR(10))&amp;IF('Registro por Sessão'!$G250="","","S2 D: "&amp;'Registro por Sessão'!$G250&amp;CHAR(10))&amp;IF('Registro por Sessão'!$K250="","","S2 F: "&amp;'Registro por Sessão'!$K250&amp;CHAR(10))&amp;IF('Registro por Sessão'!$O250="","","S2 C: "&amp;'Registro por Sessão'!$O250&amp;CHAR(10))&amp;IF('Registro por Sessão'!$S250="","","S2 P: "&amp;'Registro por Sessão'!$S250&amp;CHAR(10))&amp;IF('Registro por Sessão'!$G251="","","S3 D: "&amp;'Registro por Sessão'!$G251&amp;CHAR(10))&amp;IF('Registro por Sessão'!$K251="","","S3 F: "&amp;'Registro por Sessão'!$K251&amp;CHAR(10))&amp;IF('Registro por Sessão'!$O251="","","S3 C: "&amp;'Registro por Sessão'!$O251&amp;CHAR(10))&amp;IF('Registro por Sessão'!$S251="","","S3 P: "&amp;'Registro por Sessão'!$S251&amp;CHAR(10))&amp;IF('Registro por Sessão'!$G252="","","S4 D: "&amp;'Registro por Sessão'!$G252&amp;CHAR(10))&amp;IF('Registro por Sessão'!$K252="","","S4 F: "&amp;'Registro por Sessão'!$K252&amp;CHAR(10))&amp;IF('Registro por Sessão'!$O252="","","S4 C: "&amp;'Registro por Sessão'!$O252&amp;CHAR(10))&amp;IF('Registro por Sessão'!$S252="","","S4 P: "&amp;'Registro por Sessão'!$S252&amp;CHAR(10))&amp;IF('Registro por Sessão'!$G253="","","S5 D: "&amp;'Registro por Sessão'!$G253&amp;CHAR(10))&amp;IF('Registro por Sessão'!$K253="","","S5 F: "&amp;'Registro por Sessão'!$K253&amp;CHAR(10))&amp;IF('Registro por Sessão'!$O253="","","S5 C: "&amp;'Registro por Sessão'!$O253&amp;CHAR(10))&amp;IF('Registro por Sessão'!$S253="","","S5 P: "&amp;'Registro por Sessão'!$S253&amp;CHAR(10)))</f>
        <v/>
      </c>
      <c r="K53" s="14">
        <f>IF($B53="","",IF('Registro por Sessão'!$W249="","","S1: "&amp;'Registro por Sessão'!$W249&amp;CHAR(10))&amp;IF('Registro por Sessão'!$X249="","","S1 obs: "&amp;'Registro por Sessão'!$X249&amp;CHAR(10))&amp;IF('Registro por Sessão'!$W250="","","S2: "&amp;'Registro por Sessão'!$W250&amp;CHAR(10))&amp;IF('Registro por Sessão'!$X250="","","S2 obs: "&amp;'Registro por Sessão'!$X250&amp;CHAR(10))&amp;IF('Registro por Sessão'!$W251="","","S3: "&amp;'Registro por Sessão'!$W251&amp;CHAR(10))&amp;IF('Registro por Sessão'!$X251="","","S3 obs: "&amp;'Registro por Sessão'!$X251&amp;CHAR(10))&amp;IF('Registro por Sessão'!$W252="","","S4: "&amp;'Registro por Sessão'!$W252&amp;CHAR(10))&amp;IF('Registro por Sessão'!$X252="","","S4 obs: "&amp;'Registro por Sessão'!$X252&amp;CHAR(10))&amp;IF('Registro por Sessão'!$W253="","","S5: "&amp;'Registro por Sessão'!$W253&amp;CHAR(10))&amp;IF('Registro por Sessão'!$X253="","","S5 obs: "&amp;'Registro por Sessão'!$X253&amp;CHAR(10)))</f>
        <v/>
      </c>
      <c r="L53" s="2" t="n"/>
      <c r="M53" s="8">
        <f>IF(ISNUMBER('Registro por Sessão'!$J249),'Registro por Sessão'!$J249,"")</f>
        <v/>
      </c>
      <c r="N53" s="8">
        <f>IF(ISNUMBER('Registro por Sessão'!$J250),'Registro por Sessão'!$J250,"")</f>
        <v/>
      </c>
      <c r="O53" s="8">
        <f>IF(ISNUMBER('Registro por Sessão'!$J251),'Registro por Sessão'!$J251,"")</f>
        <v/>
      </c>
      <c r="P53" s="8">
        <f>IF(ISNUMBER('Registro por Sessão'!$J252),'Registro por Sessão'!$J252,"")</f>
        <v/>
      </c>
      <c r="Q53" s="8">
        <f>IF(ISNUMBER('Registro por Sessão'!$J253),'Registro por Sessão'!$J253,"")</f>
        <v/>
      </c>
      <c r="R53" s="8">
        <f>IF(ISNUMBER('Registro por Sessão'!$N249),'Registro por Sessão'!$N249,"")</f>
        <v/>
      </c>
      <c r="S53" s="8">
        <f>IF(ISNUMBER('Registro por Sessão'!$N250),'Registro por Sessão'!$N250,"")</f>
        <v/>
      </c>
      <c r="T53" s="8">
        <f>IF(ISNUMBER('Registro por Sessão'!$N251),'Registro por Sessão'!$N251,"")</f>
        <v/>
      </c>
      <c r="U53" s="8">
        <f>IF(ISNUMBER('Registro por Sessão'!$N252),'Registro por Sessão'!$N252,"")</f>
        <v/>
      </c>
      <c r="V53" s="8">
        <f>IF(ISNUMBER('Registro por Sessão'!$N253),'Registro por Sessão'!$N253,"")</f>
        <v/>
      </c>
      <c r="W53" s="8">
        <f>IF(ISNUMBER('Registro por Sessão'!$R249),'Registro por Sessão'!$R249,"")</f>
        <v/>
      </c>
      <c r="X53" s="8">
        <f>IF(ISNUMBER('Registro por Sessão'!$R250),'Registro por Sessão'!$R250,"")</f>
        <v/>
      </c>
      <c r="Y53" s="8">
        <f>IF(ISNUMBER('Registro por Sessão'!$R251),'Registro por Sessão'!$R251,"")</f>
        <v/>
      </c>
      <c r="Z53" s="8">
        <f>IF(ISNUMBER('Registro por Sessão'!$R252),'Registro por Sessão'!$R252,"")</f>
        <v/>
      </c>
      <c r="AA53" s="8">
        <f>IF(ISNUMBER('Registro por Sessão'!$R253),'Registro por Sessão'!$R253,"")</f>
        <v/>
      </c>
      <c r="AB53" s="8">
        <f>IF(ISNUMBER('Registro por Sessão'!$V249),'Registro por Sessão'!$V249,"")</f>
        <v/>
      </c>
      <c r="AC53" s="8">
        <f>IF(ISNUMBER('Registro por Sessão'!$V250),'Registro por Sessão'!$V250,"")</f>
        <v/>
      </c>
      <c r="AD53" s="8">
        <f>IF(ISNUMBER('Registro por Sessão'!$V251),'Registro por Sessão'!$V251,"")</f>
        <v/>
      </c>
      <c r="AE53" s="8">
        <f>IF(ISNUMBER('Registro por Sessão'!$V252),'Registro por Sessão'!$V252,"")</f>
        <v/>
      </c>
      <c r="AF53" s="8">
        <f>IF(ISNUMBER('Registro por Sessão'!$V253),'Registro por Sessão'!$V253,"")</f>
        <v/>
      </c>
    </row>
    <row r="54">
      <c r="A54" s="6">
        <f>IF($B54="","",ROW()-3)</f>
        <v/>
      </c>
      <c r="B54" s="7">
        <f>IF(Preenchimento!$B$60="","",Preenchimento!$B$60)</f>
        <v/>
      </c>
      <c r="C54" s="7">
        <f>IF($B54="","",IF(Preenchimento!$C$60="","-",Preenchimento!$C$60))</f>
        <v/>
      </c>
      <c r="D54" s="6">
        <f>IF($B54="","",IF(Preenchimento!$D$60="","-",Preenchimento!$D$60))</f>
        <v/>
      </c>
      <c r="E54" s="31">
        <f>IF($B54="","",IFERROR(AVERAGE(M54:Q54),"-"))</f>
        <v/>
      </c>
      <c r="F54" s="31">
        <f>IF($B54="","",IFERROR(AVERAGE(R54:V54),"-"))</f>
        <v/>
      </c>
      <c r="G54" s="31">
        <f>IF($B54="","",IFERROR(AVERAGE(W54:AA54),"-"))</f>
        <v/>
      </c>
      <c r="H54" s="31">
        <f>IF($B54="","",IFERROR(AVERAGE(AB54:AF54),"-"))</f>
        <v/>
      </c>
      <c r="I54" s="31">
        <f>IF($B54="","",IFERROR(AVERAGE(M54:AF54),"-"))</f>
        <v/>
      </c>
      <c r="J54" s="13">
        <f>IF($B54="","",IF('Registro por Sessão'!$G254="","","S1 D: "&amp;'Registro por Sessão'!$G254&amp;CHAR(10))&amp;IF('Registro por Sessão'!$K254="","","S1 F: "&amp;'Registro por Sessão'!$K254&amp;CHAR(10))&amp;IF('Registro por Sessão'!$O254="","","S1 C: "&amp;'Registro por Sessão'!$O254&amp;CHAR(10))&amp;IF('Registro por Sessão'!$S254="","","S1 P: "&amp;'Registro por Sessão'!$S254&amp;CHAR(10))&amp;IF('Registro por Sessão'!$G255="","","S2 D: "&amp;'Registro por Sessão'!$G255&amp;CHAR(10))&amp;IF('Registro por Sessão'!$K255="","","S2 F: "&amp;'Registro por Sessão'!$K255&amp;CHAR(10))&amp;IF('Registro por Sessão'!$O255="","","S2 C: "&amp;'Registro por Sessão'!$O255&amp;CHAR(10))&amp;IF('Registro por Sessão'!$S255="","","S2 P: "&amp;'Registro por Sessão'!$S255&amp;CHAR(10))&amp;IF('Registro por Sessão'!$G256="","","S3 D: "&amp;'Registro por Sessão'!$G256&amp;CHAR(10))&amp;IF('Registro por Sessão'!$K256="","","S3 F: "&amp;'Registro por Sessão'!$K256&amp;CHAR(10))&amp;IF('Registro por Sessão'!$O256="","","S3 C: "&amp;'Registro por Sessão'!$O256&amp;CHAR(10))&amp;IF('Registro por Sessão'!$S256="","","S3 P: "&amp;'Registro por Sessão'!$S256&amp;CHAR(10))&amp;IF('Registro por Sessão'!$G257="","","S4 D: "&amp;'Registro por Sessão'!$G257&amp;CHAR(10))&amp;IF('Registro por Sessão'!$K257="","","S4 F: "&amp;'Registro por Sessão'!$K257&amp;CHAR(10))&amp;IF('Registro por Sessão'!$O257="","","S4 C: "&amp;'Registro por Sessão'!$O257&amp;CHAR(10))&amp;IF('Registro por Sessão'!$S257="","","S4 P: "&amp;'Registro por Sessão'!$S257&amp;CHAR(10))&amp;IF('Registro por Sessão'!$G258="","","S5 D: "&amp;'Registro por Sessão'!$G258&amp;CHAR(10))&amp;IF('Registro por Sessão'!$K258="","","S5 F: "&amp;'Registro por Sessão'!$K258&amp;CHAR(10))&amp;IF('Registro por Sessão'!$O258="","","S5 C: "&amp;'Registro por Sessão'!$O258&amp;CHAR(10))&amp;IF('Registro por Sessão'!$S258="","","S5 P: "&amp;'Registro por Sessão'!$S258&amp;CHAR(10)))</f>
        <v/>
      </c>
      <c r="K54" s="13">
        <f>IF($B54="","",IF('Registro por Sessão'!$W254="","","S1: "&amp;'Registro por Sessão'!$W254&amp;CHAR(10))&amp;IF('Registro por Sessão'!$X254="","","S1 obs: "&amp;'Registro por Sessão'!$X254&amp;CHAR(10))&amp;IF('Registro por Sessão'!$W255="","","S2: "&amp;'Registro por Sessão'!$W255&amp;CHAR(10))&amp;IF('Registro por Sessão'!$X255="","","S2 obs: "&amp;'Registro por Sessão'!$X255&amp;CHAR(10))&amp;IF('Registro por Sessão'!$W256="","","S3: "&amp;'Registro por Sessão'!$W256&amp;CHAR(10))&amp;IF('Registro por Sessão'!$X256="","","S3 obs: "&amp;'Registro por Sessão'!$X256&amp;CHAR(10))&amp;IF('Registro por Sessão'!$W257="","","S4: "&amp;'Registro por Sessão'!$W257&amp;CHAR(10))&amp;IF('Registro por Sessão'!$X257="","","S4 obs: "&amp;'Registro por Sessão'!$X257&amp;CHAR(10))&amp;IF('Registro por Sessão'!$W258="","","S5: "&amp;'Registro por Sessão'!$W258&amp;CHAR(10))&amp;IF('Registro por Sessão'!$X258="","","S5 obs: "&amp;'Registro por Sessão'!$X258&amp;CHAR(10)))</f>
        <v/>
      </c>
      <c r="L54" s="2" t="n"/>
      <c r="M54" s="6">
        <f>IF(ISNUMBER('Registro por Sessão'!$J254),'Registro por Sessão'!$J254,"")</f>
        <v/>
      </c>
      <c r="N54" s="6">
        <f>IF(ISNUMBER('Registro por Sessão'!$J255),'Registro por Sessão'!$J255,"")</f>
        <v/>
      </c>
      <c r="O54" s="6">
        <f>IF(ISNUMBER('Registro por Sessão'!$J256),'Registro por Sessão'!$J256,"")</f>
        <v/>
      </c>
      <c r="P54" s="6">
        <f>IF(ISNUMBER('Registro por Sessão'!$J257),'Registro por Sessão'!$J257,"")</f>
        <v/>
      </c>
      <c r="Q54" s="6">
        <f>IF(ISNUMBER('Registro por Sessão'!$J258),'Registro por Sessão'!$J258,"")</f>
        <v/>
      </c>
      <c r="R54" s="6">
        <f>IF(ISNUMBER('Registro por Sessão'!$N254),'Registro por Sessão'!$N254,"")</f>
        <v/>
      </c>
      <c r="S54" s="6">
        <f>IF(ISNUMBER('Registro por Sessão'!$N255),'Registro por Sessão'!$N255,"")</f>
        <v/>
      </c>
      <c r="T54" s="6">
        <f>IF(ISNUMBER('Registro por Sessão'!$N256),'Registro por Sessão'!$N256,"")</f>
        <v/>
      </c>
      <c r="U54" s="6">
        <f>IF(ISNUMBER('Registro por Sessão'!$N257),'Registro por Sessão'!$N257,"")</f>
        <v/>
      </c>
      <c r="V54" s="6">
        <f>IF(ISNUMBER('Registro por Sessão'!$N258),'Registro por Sessão'!$N258,"")</f>
        <v/>
      </c>
      <c r="W54" s="6">
        <f>IF(ISNUMBER('Registro por Sessão'!$R254),'Registro por Sessão'!$R254,"")</f>
        <v/>
      </c>
      <c r="X54" s="6">
        <f>IF(ISNUMBER('Registro por Sessão'!$R255),'Registro por Sessão'!$R255,"")</f>
        <v/>
      </c>
      <c r="Y54" s="6">
        <f>IF(ISNUMBER('Registro por Sessão'!$R256),'Registro por Sessão'!$R256,"")</f>
        <v/>
      </c>
      <c r="Z54" s="6">
        <f>IF(ISNUMBER('Registro por Sessão'!$R257),'Registro por Sessão'!$R257,"")</f>
        <v/>
      </c>
      <c r="AA54" s="6">
        <f>IF(ISNUMBER('Registro por Sessão'!$R258),'Registro por Sessão'!$R258,"")</f>
        <v/>
      </c>
      <c r="AB54" s="6">
        <f>IF(ISNUMBER('Registro por Sessão'!$V254),'Registro por Sessão'!$V254,"")</f>
        <v/>
      </c>
      <c r="AC54" s="6">
        <f>IF(ISNUMBER('Registro por Sessão'!$V255),'Registro por Sessão'!$V255,"")</f>
        <v/>
      </c>
      <c r="AD54" s="6">
        <f>IF(ISNUMBER('Registro por Sessão'!$V256),'Registro por Sessão'!$V256,"")</f>
        <v/>
      </c>
      <c r="AE54" s="6">
        <f>IF(ISNUMBER('Registro por Sessão'!$V257),'Registro por Sessão'!$V257,"")</f>
        <v/>
      </c>
      <c r="AF54" s="6">
        <f>IF(ISNUMBER('Registro por Sessão'!$V258),'Registro por Sessão'!$V258,"")</f>
        <v/>
      </c>
    </row>
    <row r="55">
      <c r="A55" s="8">
        <f>IF($B55="","",ROW()-3)</f>
        <v/>
      </c>
      <c r="B55" s="9">
        <f>IF(Preenchimento!$B$61="","",Preenchimento!$B$61)</f>
        <v/>
      </c>
      <c r="C55" s="9">
        <f>IF($B55="","",IF(Preenchimento!$C$61="","-",Preenchimento!$C$61))</f>
        <v/>
      </c>
      <c r="D55" s="8">
        <f>IF($B55="","",IF(Preenchimento!$D$61="","-",Preenchimento!$D$61))</f>
        <v/>
      </c>
      <c r="E55" s="32">
        <f>IF($B55="","",IFERROR(AVERAGE(M55:Q55),"-"))</f>
        <v/>
      </c>
      <c r="F55" s="32">
        <f>IF($B55="","",IFERROR(AVERAGE(R55:V55),"-"))</f>
        <v/>
      </c>
      <c r="G55" s="32">
        <f>IF($B55="","",IFERROR(AVERAGE(W55:AA55),"-"))</f>
        <v/>
      </c>
      <c r="H55" s="32">
        <f>IF($B55="","",IFERROR(AVERAGE(AB55:AF55),"-"))</f>
        <v/>
      </c>
      <c r="I55" s="32">
        <f>IF($B55="","",IFERROR(AVERAGE(M55:AF55),"-"))</f>
        <v/>
      </c>
      <c r="J55" s="14">
        <f>IF($B55="","",IF('Registro por Sessão'!$G259="","","S1 D: "&amp;'Registro por Sessão'!$G259&amp;CHAR(10))&amp;IF('Registro por Sessão'!$K259="","","S1 F: "&amp;'Registro por Sessão'!$K259&amp;CHAR(10))&amp;IF('Registro por Sessão'!$O259="","","S1 C: "&amp;'Registro por Sessão'!$O259&amp;CHAR(10))&amp;IF('Registro por Sessão'!$S259="","","S1 P: "&amp;'Registro por Sessão'!$S259&amp;CHAR(10))&amp;IF('Registro por Sessão'!$G260="","","S2 D: "&amp;'Registro por Sessão'!$G260&amp;CHAR(10))&amp;IF('Registro por Sessão'!$K260="","","S2 F: "&amp;'Registro por Sessão'!$K260&amp;CHAR(10))&amp;IF('Registro por Sessão'!$O260="","","S2 C: "&amp;'Registro por Sessão'!$O260&amp;CHAR(10))&amp;IF('Registro por Sessão'!$S260="","","S2 P: "&amp;'Registro por Sessão'!$S260&amp;CHAR(10))&amp;IF('Registro por Sessão'!$G261="","","S3 D: "&amp;'Registro por Sessão'!$G261&amp;CHAR(10))&amp;IF('Registro por Sessão'!$K261="","","S3 F: "&amp;'Registro por Sessão'!$K261&amp;CHAR(10))&amp;IF('Registro por Sessão'!$O261="","","S3 C: "&amp;'Registro por Sessão'!$O261&amp;CHAR(10))&amp;IF('Registro por Sessão'!$S261="","","S3 P: "&amp;'Registro por Sessão'!$S261&amp;CHAR(10))&amp;IF('Registro por Sessão'!$G262="","","S4 D: "&amp;'Registro por Sessão'!$G262&amp;CHAR(10))&amp;IF('Registro por Sessão'!$K262="","","S4 F: "&amp;'Registro por Sessão'!$K262&amp;CHAR(10))&amp;IF('Registro por Sessão'!$O262="","","S4 C: "&amp;'Registro por Sessão'!$O262&amp;CHAR(10))&amp;IF('Registro por Sessão'!$S262="","","S4 P: "&amp;'Registro por Sessão'!$S262&amp;CHAR(10))&amp;IF('Registro por Sessão'!$G263="","","S5 D: "&amp;'Registro por Sessão'!$G263&amp;CHAR(10))&amp;IF('Registro por Sessão'!$K263="","","S5 F: "&amp;'Registro por Sessão'!$K263&amp;CHAR(10))&amp;IF('Registro por Sessão'!$O263="","","S5 C: "&amp;'Registro por Sessão'!$O263&amp;CHAR(10))&amp;IF('Registro por Sessão'!$S263="","","S5 P: "&amp;'Registro por Sessão'!$S263&amp;CHAR(10)))</f>
        <v/>
      </c>
      <c r="K55" s="14">
        <f>IF($B55="","",IF('Registro por Sessão'!$W259="","","S1: "&amp;'Registro por Sessão'!$W259&amp;CHAR(10))&amp;IF('Registro por Sessão'!$X259="","","S1 obs: "&amp;'Registro por Sessão'!$X259&amp;CHAR(10))&amp;IF('Registro por Sessão'!$W260="","","S2: "&amp;'Registro por Sessão'!$W260&amp;CHAR(10))&amp;IF('Registro por Sessão'!$X260="","","S2 obs: "&amp;'Registro por Sessão'!$X260&amp;CHAR(10))&amp;IF('Registro por Sessão'!$W261="","","S3: "&amp;'Registro por Sessão'!$W261&amp;CHAR(10))&amp;IF('Registro por Sessão'!$X261="","","S3 obs: "&amp;'Registro por Sessão'!$X261&amp;CHAR(10))&amp;IF('Registro por Sessão'!$W262="","","S4: "&amp;'Registro por Sessão'!$W262&amp;CHAR(10))&amp;IF('Registro por Sessão'!$X262="","","S4 obs: "&amp;'Registro por Sessão'!$X262&amp;CHAR(10))&amp;IF('Registro por Sessão'!$W263="","","S5: "&amp;'Registro por Sessão'!$W263&amp;CHAR(10))&amp;IF('Registro por Sessão'!$X263="","","S5 obs: "&amp;'Registro por Sessão'!$X263&amp;CHAR(10)))</f>
        <v/>
      </c>
      <c r="L55" s="2" t="n"/>
      <c r="M55" s="8">
        <f>IF(ISNUMBER('Registro por Sessão'!$J259),'Registro por Sessão'!$J259,"")</f>
        <v/>
      </c>
      <c r="N55" s="8">
        <f>IF(ISNUMBER('Registro por Sessão'!$J260),'Registro por Sessão'!$J260,"")</f>
        <v/>
      </c>
      <c r="O55" s="8">
        <f>IF(ISNUMBER('Registro por Sessão'!$J261),'Registro por Sessão'!$J261,"")</f>
        <v/>
      </c>
      <c r="P55" s="8">
        <f>IF(ISNUMBER('Registro por Sessão'!$J262),'Registro por Sessão'!$J262,"")</f>
        <v/>
      </c>
      <c r="Q55" s="8">
        <f>IF(ISNUMBER('Registro por Sessão'!$J263),'Registro por Sessão'!$J263,"")</f>
        <v/>
      </c>
      <c r="R55" s="8">
        <f>IF(ISNUMBER('Registro por Sessão'!$N259),'Registro por Sessão'!$N259,"")</f>
        <v/>
      </c>
      <c r="S55" s="8">
        <f>IF(ISNUMBER('Registro por Sessão'!$N260),'Registro por Sessão'!$N260,"")</f>
        <v/>
      </c>
      <c r="T55" s="8">
        <f>IF(ISNUMBER('Registro por Sessão'!$N261),'Registro por Sessão'!$N261,"")</f>
        <v/>
      </c>
      <c r="U55" s="8">
        <f>IF(ISNUMBER('Registro por Sessão'!$N262),'Registro por Sessão'!$N262,"")</f>
        <v/>
      </c>
      <c r="V55" s="8">
        <f>IF(ISNUMBER('Registro por Sessão'!$N263),'Registro por Sessão'!$N263,"")</f>
        <v/>
      </c>
      <c r="W55" s="8">
        <f>IF(ISNUMBER('Registro por Sessão'!$R259),'Registro por Sessão'!$R259,"")</f>
        <v/>
      </c>
      <c r="X55" s="8">
        <f>IF(ISNUMBER('Registro por Sessão'!$R260),'Registro por Sessão'!$R260,"")</f>
        <v/>
      </c>
      <c r="Y55" s="8">
        <f>IF(ISNUMBER('Registro por Sessão'!$R261),'Registro por Sessão'!$R261,"")</f>
        <v/>
      </c>
      <c r="Z55" s="8">
        <f>IF(ISNUMBER('Registro por Sessão'!$R262),'Registro por Sessão'!$R262,"")</f>
        <v/>
      </c>
      <c r="AA55" s="8">
        <f>IF(ISNUMBER('Registro por Sessão'!$R263),'Registro por Sessão'!$R263,"")</f>
        <v/>
      </c>
      <c r="AB55" s="8">
        <f>IF(ISNUMBER('Registro por Sessão'!$V259),'Registro por Sessão'!$V259,"")</f>
        <v/>
      </c>
      <c r="AC55" s="8">
        <f>IF(ISNUMBER('Registro por Sessão'!$V260),'Registro por Sessão'!$V260,"")</f>
        <v/>
      </c>
      <c r="AD55" s="8">
        <f>IF(ISNUMBER('Registro por Sessão'!$V261),'Registro por Sessão'!$V261,"")</f>
        <v/>
      </c>
      <c r="AE55" s="8">
        <f>IF(ISNUMBER('Registro por Sessão'!$V262),'Registro por Sessão'!$V262,"")</f>
        <v/>
      </c>
      <c r="AF55" s="8">
        <f>IF(ISNUMBER('Registro por Sessão'!$V263),'Registro por Sessão'!$V263,"")</f>
        <v/>
      </c>
    </row>
    <row r="56">
      <c r="A56" s="6">
        <f>IF($B56="","",ROW()-3)</f>
        <v/>
      </c>
      <c r="B56" s="7">
        <f>IF(Preenchimento!$B$62="","",Preenchimento!$B$62)</f>
        <v/>
      </c>
      <c r="C56" s="7">
        <f>IF($B56="","",IF(Preenchimento!$C$62="","-",Preenchimento!$C$62))</f>
        <v/>
      </c>
      <c r="D56" s="6">
        <f>IF($B56="","",IF(Preenchimento!$D$62="","-",Preenchimento!$D$62))</f>
        <v/>
      </c>
      <c r="E56" s="31">
        <f>IF($B56="","",IFERROR(AVERAGE(M56:Q56),"-"))</f>
        <v/>
      </c>
      <c r="F56" s="31">
        <f>IF($B56="","",IFERROR(AVERAGE(R56:V56),"-"))</f>
        <v/>
      </c>
      <c r="G56" s="31">
        <f>IF($B56="","",IFERROR(AVERAGE(W56:AA56),"-"))</f>
        <v/>
      </c>
      <c r="H56" s="31">
        <f>IF($B56="","",IFERROR(AVERAGE(AB56:AF56),"-"))</f>
        <v/>
      </c>
      <c r="I56" s="31">
        <f>IF($B56="","",IFERROR(AVERAGE(M56:AF56),"-"))</f>
        <v/>
      </c>
      <c r="J56" s="13">
        <f>IF($B56="","",IF('Registro por Sessão'!$G264="","","S1 D: "&amp;'Registro por Sessão'!$G264&amp;CHAR(10))&amp;IF('Registro por Sessão'!$K264="","","S1 F: "&amp;'Registro por Sessão'!$K264&amp;CHAR(10))&amp;IF('Registro por Sessão'!$O264="","","S1 C: "&amp;'Registro por Sessão'!$O264&amp;CHAR(10))&amp;IF('Registro por Sessão'!$S264="","","S1 P: "&amp;'Registro por Sessão'!$S264&amp;CHAR(10))&amp;IF('Registro por Sessão'!$G265="","","S2 D: "&amp;'Registro por Sessão'!$G265&amp;CHAR(10))&amp;IF('Registro por Sessão'!$K265="","","S2 F: "&amp;'Registro por Sessão'!$K265&amp;CHAR(10))&amp;IF('Registro por Sessão'!$O265="","","S2 C: "&amp;'Registro por Sessão'!$O265&amp;CHAR(10))&amp;IF('Registro por Sessão'!$S265="","","S2 P: "&amp;'Registro por Sessão'!$S265&amp;CHAR(10))&amp;IF('Registro por Sessão'!$G266="","","S3 D: "&amp;'Registro por Sessão'!$G266&amp;CHAR(10))&amp;IF('Registro por Sessão'!$K266="","","S3 F: "&amp;'Registro por Sessão'!$K266&amp;CHAR(10))&amp;IF('Registro por Sessão'!$O266="","","S3 C: "&amp;'Registro por Sessão'!$O266&amp;CHAR(10))&amp;IF('Registro por Sessão'!$S266="","","S3 P: "&amp;'Registro por Sessão'!$S266&amp;CHAR(10))&amp;IF('Registro por Sessão'!$G267="","","S4 D: "&amp;'Registro por Sessão'!$G267&amp;CHAR(10))&amp;IF('Registro por Sessão'!$K267="","","S4 F: "&amp;'Registro por Sessão'!$K267&amp;CHAR(10))&amp;IF('Registro por Sessão'!$O267="","","S4 C: "&amp;'Registro por Sessão'!$O267&amp;CHAR(10))&amp;IF('Registro por Sessão'!$S267="","","S4 P: "&amp;'Registro por Sessão'!$S267&amp;CHAR(10))&amp;IF('Registro por Sessão'!$G268="","","S5 D: "&amp;'Registro por Sessão'!$G268&amp;CHAR(10))&amp;IF('Registro por Sessão'!$K268="","","S5 F: "&amp;'Registro por Sessão'!$K268&amp;CHAR(10))&amp;IF('Registro por Sessão'!$O268="","","S5 C: "&amp;'Registro por Sessão'!$O268&amp;CHAR(10))&amp;IF('Registro por Sessão'!$S268="","","S5 P: "&amp;'Registro por Sessão'!$S268&amp;CHAR(10)))</f>
        <v/>
      </c>
      <c r="K56" s="13">
        <f>IF($B56="","",IF('Registro por Sessão'!$W264="","","S1: "&amp;'Registro por Sessão'!$W264&amp;CHAR(10))&amp;IF('Registro por Sessão'!$X264="","","S1 obs: "&amp;'Registro por Sessão'!$X264&amp;CHAR(10))&amp;IF('Registro por Sessão'!$W265="","","S2: "&amp;'Registro por Sessão'!$W265&amp;CHAR(10))&amp;IF('Registro por Sessão'!$X265="","","S2 obs: "&amp;'Registro por Sessão'!$X265&amp;CHAR(10))&amp;IF('Registro por Sessão'!$W266="","","S3: "&amp;'Registro por Sessão'!$W266&amp;CHAR(10))&amp;IF('Registro por Sessão'!$X266="","","S3 obs: "&amp;'Registro por Sessão'!$X266&amp;CHAR(10))&amp;IF('Registro por Sessão'!$W267="","","S4: "&amp;'Registro por Sessão'!$W267&amp;CHAR(10))&amp;IF('Registro por Sessão'!$X267="","","S4 obs: "&amp;'Registro por Sessão'!$X267&amp;CHAR(10))&amp;IF('Registro por Sessão'!$W268="","","S5: "&amp;'Registro por Sessão'!$W268&amp;CHAR(10))&amp;IF('Registro por Sessão'!$X268="","","S5 obs: "&amp;'Registro por Sessão'!$X268&amp;CHAR(10)))</f>
        <v/>
      </c>
      <c r="L56" s="2" t="n"/>
      <c r="M56" s="6">
        <f>IF(ISNUMBER('Registro por Sessão'!$J264),'Registro por Sessão'!$J264,"")</f>
        <v/>
      </c>
      <c r="N56" s="6">
        <f>IF(ISNUMBER('Registro por Sessão'!$J265),'Registro por Sessão'!$J265,"")</f>
        <v/>
      </c>
      <c r="O56" s="6">
        <f>IF(ISNUMBER('Registro por Sessão'!$J266),'Registro por Sessão'!$J266,"")</f>
        <v/>
      </c>
      <c r="P56" s="6">
        <f>IF(ISNUMBER('Registro por Sessão'!$J267),'Registro por Sessão'!$J267,"")</f>
        <v/>
      </c>
      <c r="Q56" s="6">
        <f>IF(ISNUMBER('Registro por Sessão'!$J268),'Registro por Sessão'!$J268,"")</f>
        <v/>
      </c>
      <c r="R56" s="6">
        <f>IF(ISNUMBER('Registro por Sessão'!$N264),'Registro por Sessão'!$N264,"")</f>
        <v/>
      </c>
      <c r="S56" s="6">
        <f>IF(ISNUMBER('Registro por Sessão'!$N265),'Registro por Sessão'!$N265,"")</f>
        <v/>
      </c>
      <c r="T56" s="6">
        <f>IF(ISNUMBER('Registro por Sessão'!$N266),'Registro por Sessão'!$N266,"")</f>
        <v/>
      </c>
      <c r="U56" s="6">
        <f>IF(ISNUMBER('Registro por Sessão'!$N267),'Registro por Sessão'!$N267,"")</f>
        <v/>
      </c>
      <c r="V56" s="6">
        <f>IF(ISNUMBER('Registro por Sessão'!$N268),'Registro por Sessão'!$N268,"")</f>
        <v/>
      </c>
      <c r="W56" s="6">
        <f>IF(ISNUMBER('Registro por Sessão'!$R264),'Registro por Sessão'!$R264,"")</f>
        <v/>
      </c>
      <c r="X56" s="6">
        <f>IF(ISNUMBER('Registro por Sessão'!$R265),'Registro por Sessão'!$R265,"")</f>
        <v/>
      </c>
      <c r="Y56" s="6">
        <f>IF(ISNUMBER('Registro por Sessão'!$R266),'Registro por Sessão'!$R266,"")</f>
        <v/>
      </c>
      <c r="Z56" s="6">
        <f>IF(ISNUMBER('Registro por Sessão'!$R267),'Registro por Sessão'!$R267,"")</f>
        <v/>
      </c>
      <c r="AA56" s="6">
        <f>IF(ISNUMBER('Registro por Sessão'!$R268),'Registro por Sessão'!$R268,"")</f>
        <v/>
      </c>
      <c r="AB56" s="6">
        <f>IF(ISNUMBER('Registro por Sessão'!$V264),'Registro por Sessão'!$V264,"")</f>
        <v/>
      </c>
      <c r="AC56" s="6">
        <f>IF(ISNUMBER('Registro por Sessão'!$V265),'Registro por Sessão'!$V265,"")</f>
        <v/>
      </c>
      <c r="AD56" s="6">
        <f>IF(ISNUMBER('Registro por Sessão'!$V266),'Registro por Sessão'!$V266,"")</f>
        <v/>
      </c>
      <c r="AE56" s="6">
        <f>IF(ISNUMBER('Registro por Sessão'!$V267),'Registro por Sessão'!$V267,"")</f>
        <v/>
      </c>
      <c r="AF56" s="6">
        <f>IF(ISNUMBER('Registro por Sessão'!$V268),'Registro por Sessão'!$V268,"")</f>
        <v/>
      </c>
    </row>
    <row r="57">
      <c r="A57" s="8">
        <f>IF($B57="","",ROW()-3)</f>
        <v/>
      </c>
      <c r="B57" s="9">
        <f>IF(Preenchimento!$B$63="","",Preenchimento!$B$63)</f>
        <v/>
      </c>
      <c r="C57" s="9">
        <f>IF($B57="","",IF(Preenchimento!$C$63="","-",Preenchimento!$C$63))</f>
        <v/>
      </c>
      <c r="D57" s="8">
        <f>IF($B57="","",IF(Preenchimento!$D$63="","-",Preenchimento!$D$63))</f>
        <v/>
      </c>
      <c r="E57" s="32">
        <f>IF($B57="","",IFERROR(AVERAGE(M57:Q57),"-"))</f>
        <v/>
      </c>
      <c r="F57" s="32">
        <f>IF($B57="","",IFERROR(AVERAGE(R57:V57),"-"))</f>
        <v/>
      </c>
      <c r="G57" s="32">
        <f>IF($B57="","",IFERROR(AVERAGE(W57:AA57),"-"))</f>
        <v/>
      </c>
      <c r="H57" s="32">
        <f>IF($B57="","",IFERROR(AVERAGE(AB57:AF57),"-"))</f>
        <v/>
      </c>
      <c r="I57" s="32">
        <f>IF($B57="","",IFERROR(AVERAGE(M57:AF57),"-"))</f>
        <v/>
      </c>
      <c r="J57" s="14">
        <f>IF($B57="","",IF('Registro por Sessão'!$G269="","","S1 D: "&amp;'Registro por Sessão'!$G269&amp;CHAR(10))&amp;IF('Registro por Sessão'!$K269="","","S1 F: "&amp;'Registro por Sessão'!$K269&amp;CHAR(10))&amp;IF('Registro por Sessão'!$O269="","","S1 C: "&amp;'Registro por Sessão'!$O269&amp;CHAR(10))&amp;IF('Registro por Sessão'!$S269="","","S1 P: "&amp;'Registro por Sessão'!$S269&amp;CHAR(10))&amp;IF('Registro por Sessão'!$G270="","","S2 D: "&amp;'Registro por Sessão'!$G270&amp;CHAR(10))&amp;IF('Registro por Sessão'!$K270="","","S2 F: "&amp;'Registro por Sessão'!$K270&amp;CHAR(10))&amp;IF('Registro por Sessão'!$O270="","","S2 C: "&amp;'Registro por Sessão'!$O270&amp;CHAR(10))&amp;IF('Registro por Sessão'!$S270="","","S2 P: "&amp;'Registro por Sessão'!$S270&amp;CHAR(10))&amp;IF('Registro por Sessão'!$G271="","","S3 D: "&amp;'Registro por Sessão'!$G271&amp;CHAR(10))&amp;IF('Registro por Sessão'!$K271="","","S3 F: "&amp;'Registro por Sessão'!$K271&amp;CHAR(10))&amp;IF('Registro por Sessão'!$O271="","","S3 C: "&amp;'Registro por Sessão'!$O271&amp;CHAR(10))&amp;IF('Registro por Sessão'!$S271="","","S3 P: "&amp;'Registro por Sessão'!$S271&amp;CHAR(10))&amp;IF('Registro por Sessão'!$G272="","","S4 D: "&amp;'Registro por Sessão'!$G272&amp;CHAR(10))&amp;IF('Registro por Sessão'!$K272="","","S4 F: "&amp;'Registro por Sessão'!$K272&amp;CHAR(10))&amp;IF('Registro por Sessão'!$O272="","","S4 C: "&amp;'Registro por Sessão'!$O272&amp;CHAR(10))&amp;IF('Registro por Sessão'!$S272="","","S4 P: "&amp;'Registro por Sessão'!$S272&amp;CHAR(10))&amp;IF('Registro por Sessão'!$G273="","","S5 D: "&amp;'Registro por Sessão'!$G273&amp;CHAR(10))&amp;IF('Registro por Sessão'!$K273="","","S5 F: "&amp;'Registro por Sessão'!$K273&amp;CHAR(10))&amp;IF('Registro por Sessão'!$O273="","","S5 C: "&amp;'Registro por Sessão'!$O273&amp;CHAR(10))&amp;IF('Registro por Sessão'!$S273="","","S5 P: "&amp;'Registro por Sessão'!$S273&amp;CHAR(10)))</f>
        <v/>
      </c>
      <c r="K57" s="14">
        <f>IF($B57="","",IF('Registro por Sessão'!$W269="","","S1: "&amp;'Registro por Sessão'!$W269&amp;CHAR(10))&amp;IF('Registro por Sessão'!$X269="","","S1 obs: "&amp;'Registro por Sessão'!$X269&amp;CHAR(10))&amp;IF('Registro por Sessão'!$W270="","","S2: "&amp;'Registro por Sessão'!$W270&amp;CHAR(10))&amp;IF('Registro por Sessão'!$X270="","","S2 obs: "&amp;'Registro por Sessão'!$X270&amp;CHAR(10))&amp;IF('Registro por Sessão'!$W271="","","S3: "&amp;'Registro por Sessão'!$W271&amp;CHAR(10))&amp;IF('Registro por Sessão'!$X271="","","S3 obs: "&amp;'Registro por Sessão'!$X271&amp;CHAR(10))&amp;IF('Registro por Sessão'!$W272="","","S4: "&amp;'Registro por Sessão'!$W272&amp;CHAR(10))&amp;IF('Registro por Sessão'!$X272="","","S4 obs: "&amp;'Registro por Sessão'!$X272&amp;CHAR(10))&amp;IF('Registro por Sessão'!$W273="","","S5: "&amp;'Registro por Sessão'!$W273&amp;CHAR(10))&amp;IF('Registro por Sessão'!$X273="","","S5 obs: "&amp;'Registro por Sessão'!$X273&amp;CHAR(10)))</f>
        <v/>
      </c>
      <c r="L57" s="2" t="n"/>
      <c r="M57" s="8">
        <f>IF(ISNUMBER('Registro por Sessão'!$J269),'Registro por Sessão'!$J269,"")</f>
        <v/>
      </c>
      <c r="N57" s="8">
        <f>IF(ISNUMBER('Registro por Sessão'!$J270),'Registro por Sessão'!$J270,"")</f>
        <v/>
      </c>
      <c r="O57" s="8">
        <f>IF(ISNUMBER('Registro por Sessão'!$J271),'Registro por Sessão'!$J271,"")</f>
        <v/>
      </c>
      <c r="P57" s="8">
        <f>IF(ISNUMBER('Registro por Sessão'!$J272),'Registro por Sessão'!$J272,"")</f>
        <v/>
      </c>
      <c r="Q57" s="8">
        <f>IF(ISNUMBER('Registro por Sessão'!$J273),'Registro por Sessão'!$J273,"")</f>
        <v/>
      </c>
      <c r="R57" s="8">
        <f>IF(ISNUMBER('Registro por Sessão'!$N269),'Registro por Sessão'!$N269,"")</f>
        <v/>
      </c>
      <c r="S57" s="8">
        <f>IF(ISNUMBER('Registro por Sessão'!$N270),'Registro por Sessão'!$N270,"")</f>
        <v/>
      </c>
      <c r="T57" s="8">
        <f>IF(ISNUMBER('Registro por Sessão'!$N271),'Registro por Sessão'!$N271,"")</f>
        <v/>
      </c>
      <c r="U57" s="8">
        <f>IF(ISNUMBER('Registro por Sessão'!$N272),'Registro por Sessão'!$N272,"")</f>
        <v/>
      </c>
      <c r="V57" s="8">
        <f>IF(ISNUMBER('Registro por Sessão'!$N273),'Registro por Sessão'!$N273,"")</f>
        <v/>
      </c>
      <c r="W57" s="8">
        <f>IF(ISNUMBER('Registro por Sessão'!$R269),'Registro por Sessão'!$R269,"")</f>
        <v/>
      </c>
      <c r="X57" s="8">
        <f>IF(ISNUMBER('Registro por Sessão'!$R270),'Registro por Sessão'!$R270,"")</f>
        <v/>
      </c>
      <c r="Y57" s="8">
        <f>IF(ISNUMBER('Registro por Sessão'!$R271),'Registro por Sessão'!$R271,"")</f>
        <v/>
      </c>
      <c r="Z57" s="8">
        <f>IF(ISNUMBER('Registro por Sessão'!$R272),'Registro por Sessão'!$R272,"")</f>
        <v/>
      </c>
      <c r="AA57" s="8">
        <f>IF(ISNUMBER('Registro por Sessão'!$R273),'Registro por Sessão'!$R273,"")</f>
        <v/>
      </c>
      <c r="AB57" s="8">
        <f>IF(ISNUMBER('Registro por Sessão'!$V269),'Registro por Sessão'!$V269,"")</f>
        <v/>
      </c>
      <c r="AC57" s="8">
        <f>IF(ISNUMBER('Registro por Sessão'!$V270),'Registro por Sessão'!$V270,"")</f>
        <v/>
      </c>
      <c r="AD57" s="8">
        <f>IF(ISNUMBER('Registro por Sessão'!$V271),'Registro por Sessão'!$V271,"")</f>
        <v/>
      </c>
      <c r="AE57" s="8">
        <f>IF(ISNUMBER('Registro por Sessão'!$V272),'Registro por Sessão'!$V272,"")</f>
        <v/>
      </c>
      <c r="AF57" s="8">
        <f>IF(ISNUMBER('Registro por Sessão'!$V273),'Registro por Sessão'!$V273,"")</f>
        <v/>
      </c>
    </row>
    <row r="58">
      <c r="A58" s="6">
        <f>IF($B58="","",ROW()-3)</f>
        <v/>
      </c>
      <c r="B58" s="7">
        <f>IF(Preenchimento!$B$64="","",Preenchimento!$B$64)</f>
        <v/>
      </c>
      <c r="C58" s="7">
        <f>IF($B58="","",IF(Preenchimento!$C$64="","-",Preenchimento!$C$64))</f>
        <v/>
      </c>
      <c r="D58" s="6">
        <f>IF($B58="","",IF(Preenchimento!$D$64="","-",Preenchimento!$D$64))</f>
        <v/>
      </c>
      <c r="E58" s="31">
        <f>IF($B58="","",IFERROR(AVERAGE(M58:Q58),"-"))</f>
        <v/>
      </c>
      <c r="F58" s="31">
        <f>IF($B58="","",IFERROR(AVERAGE(R58:V58),"-"))</f>
        <v/>
      </c>
      <c r="G58" s="31">
        <f>IF($B58="","",IFERROR(AVERAGE(W58:AA58),"-"))</f>
        <v/>
      </c>
      <c r="H58" s="31">
        <f>IF($B58="","",IFERROR(AVERAGE(AB58:AF58),"-"))</f>
        <v/>
      </c>
      <c r="I58" s="31">
        <f>IF($B58="","",IFERROR(AVERAGE(M58:AF58),"-"))</f>
        <v/>
      </c>
      <c r="J58" s="13">
        <f>IF($B58="","",IF('Registro por Sessão'!$G274="","","S1 D: "&amp;'Registro por Sessão'!$G274&amp;CHAR(10))&amp;IF('Registro por Sessão'!$K274="","","S1 F: "&amp;'Registro por Sessão'!$K274&amp;CHAR(10))&amp;IF('Registro por Sessão'!$O274="","","S1 C: "&amp;'Registro por Sessão'!$O274&amp;CHAR(10))&amp;IF('Registro por Sessão'!$S274="","","S1 P: "&amp;'Registro por Sessão'!$S274&amp;CHAR(10))&amp;IF('Registro por Sessão'!$G275="","","S2 D: "&amp;'Registro por Sessão'!$G275&amp;CHAR(10))&amp;IF('Registro por Sessão'!$K275="","","S2 F: "&amp;'Registro por Sessão'!$K275&amp;CHAR(10))&amp;IF('Registro por Sessão'!$O275="","","S2 C: "&amp;'Registro por Sessão'!$O275&amp;CHAR(10))&amp;IF('Registro por Sessão'!$S275="","","S2 P: "&amp;'Registro por Sessão'!$S275&amp;CHAR(10))&amp;IF('Registro por Sessão'!$G276="","","S3 D: "&amp;'Registro por Sessão'!$G276&amp;CHAR(10))&amp;IF('Registro por Sessão'!$K276="","","S3 F: "&amp;'Registro por Sessão'!$K276&amp;CHAR(10))&amp;IF('Registro por Sessão'!$O276="","","S3 C: "&amp;'Registro por Sessão'!$O276&amp;CHAR(10))&amp;IF('Registro por Sessão'!$S276="","","S3 P: "&amp;'Registro por Sessão'!$S276&amp;CHAR(10))&amp;IF('Registro por Sessão'!$G277="","","S4 D: "&amp;'Registro por Sessão'!$G277&amp;CHAR(10))&amp;IF('Registro por Sessão'!$K277="","","S4 F: "&amp;'Registro por Sessão'!$K277&amp;CHAR(10))&amp;IF('Registro por Sessão'!$O277="","","S4 C: "&amp;'Registro por Sessão'!$O277&amp;CHAR(10))&amp;IF('Registro por Sessão'!$S277="","","S4 P: "&amp;'Registro por Sessão'!$S277&amp;CHAR(10))&amp;IF('Registro por Sessão'!$G278="","","S5 D: "&amp;'Registro por Sessão'!$G278&amp;CHAR(10))&amp;IF('Registro por Sessão'!$K278="","","S5 F: "&amp;'Registro por Sessão'!$K278&amp;CHAR(10))&amp;IF('Registro por Sessão'!$O278="","","S5 C: "&amp;'Registro por Sessão'!$O278&amp;CHAR(10))&amp;IF('Registro por Sessão'!$S278="","","S5 P: "&amp;'Registro por Sessão'!$S278&amp;CHAR(10)))</f>
        <v/>
      </c>
      <c r="K58" s="13">
        <f>IF($B58="","",IF('Registro por Sessão'!$W274="","","S1: "&amp;'Registro por Sessão'!$W274&amp;CHAR(10))&amp;IF('Registro por Sessão'!$X274="","","S1 obs: "&amp;'Registro por Sessão'!$X274&amp;CHAR(10))&amp;IF('Registro por Sessão'!$W275="","","S2: "&amp;'Registro por Sessão'!$W275&amp;CHAR(10))&amp;IF('Registro por Sessão'!$X275="","","S2 obs: "&amp;'Registro por Sessão'!$X275&amp;CHAR(10))&amp;IF('Registro por Sessão'!$W276="","","S3: "&amp;'Registro por Sessão'!$W276&amp;CHAR(10))&amp;IF('Registro por Sessão'!$X276="","","S3 obs: "&amp;'Registro por Sessão'!$X276&amp;CHAR(10))&amp;IF('Registro por Sessão'!$W277="","","S4: "&amp;'Registro por Sessão'!$W277&amp;CHAR(10))&amp;IF('Registro por Sessão'!$X277="","","S4 obs: "&amp;'Registro por Sessão'!$X277&amp;CHAR(10))&amp;IF('Registro por Sessão'!$W278="","","S5: "&amp;'Registro por Sessão'!$W278&amp;CHAR(10))&amp;IF('Registro por Sessão'!$X278="","","S5 obs: "&amp;'Registro por Sessão'!$X278&amp;CHAR(10)))</f>
        <v/>
      </c>
      <c r="L58" s="2" t="n"/>
      <c r="M58" s="6">
        <f>IF(ISNUMBER('Registro por Sessão'!$J274),'Registro por Sessão'!$J274,"")</f>
        <v/>
      </c>
      <c r="N58" s="6">
        <f>IF(ISNUMBER('Registro por Sessão'!$J275),'Registro por Sessão'!$J275,"")</f>
        <v/>
      </c>
      <c r="O58" s="6">
        <f>IF(ISNUMBER('Registro por Sessão'!$J276),'Registro por Sessão'!$J276,"")</f>
        <v/>
      </c>
      <c r="P58" s="6">
        <f>IF(ISNUMBER('Registro por Sessão'!$J277),'Registro por Sessão'!$J277,"")</f>
        <v/>
      </c>
      <c r="Q58" s="6">
        <f>IF(ISNUMBER('Registro por Sessão'!$J278),'Registro por Sessão'!$J278,"")</f>
        <v/>
      </c>
      <c r="R58" s="6">
        <f>IF(ISNUMBER('Registro por Sessão'!$N274),'Registro por Sessão'!$N274,"")</f>
        <v/>
      </c>
      <c r="S58" s="6">
        <f>IF(ISNUMBER('Registro por Sessão'!$N275),'Registro por Sessão'!$N275,"")</f>
        <v/>
      </c>
      <c r="T58" s="6">
        <f>IF(ISNUMBER('Registro por Sessão'!$N276),'Registro por Sessão'!$N276,"")</f>
        <v/>
      </c>
      <c r="U58" s="6">
        <f>IF(ISNUMBER('Registro por Sessão'!$N277),'Registro por Sessão'!$N277,"")</f>
        <v/>
      </c>
      <c r="V58" s="6">
        <f>IF(ISNUMBER('Registro por Sessão'!$N278),'Registro por Sessão'!$N278,"")</f>
        <v/>
      </c>
      <c r="W58" s="6">
        <f>IF(ISNUMBER('Registro por Sessão'!$R274),'Registro por Sessão'!$R274,"")</f>
        <v/>
      </c>
      <c r="X58" s="6">
        <f>IF(ISNUMBER('Registro por Sessão'!$R275),'Registro por Sessão'!$R275,"")</f>
        <v/>
      </c>
      <c r="Y58" s="6">
        <f>IF(ISNUMBER('Registro por Sessão'!$R276),'Registro por Sessão'!$R276,"")</f>
        <v/>
      </c>
      <c r="Z58" s="6">
        <f>IF(ISNUMBER('Registro por Sessão'!$R277),'Registro por Sessão'!$R277,"")</f>
        <v/>
      </c>
      <c r="AA58" s="6">
        <f>IF(ISNUMBER('Registro por Sessão'!$R278),'Registro por Sessão'!$R278,"")</f>
        <v/>
      </c>
      <c r="AB58" s="6">
        <f>IF(ISNUMBER('Registro por Sessão'!$V274),'Registro por Sessão'!$V274,"")</f>
        <v/>
      </c>
      <c r="AC58" s="6">
        <f>IF(ISNUMBER('Registro por Sessão'!$V275),'Registro por Sessão'!$V275,"")</f>
        <v/>
      </c>
      <c r="AD58" s="6">
        <f>IF(ISNUMBER('Registro por Sessão'!$V276),'Registro por Sessão'!$V276,"")</f>
        <v/>
      </c>
      <c r="AE58" s="6">
        <f>IF(ISNUMBER('Registro por Sessão'!$V277),'Registro por Sessão'!$V277,"")</f>
        <v/>
      </c>
      <c r="AF58" s="6">
        <f>IF(ISNUMBER('Registro por Sessão'!$V278),'Registro por Sessão'!$V278,"")</f>
        <v/>
      </c>
    </row>
    <row r="59">
      <c r="A59" s="8">
        <f>IF($B59="","",ROW()-3)</f>
        <v/>
      </c>
      <c r="B59" s="9">
        <f>IF(Preenchimento!$B$65="","",Preenchimento!$B$65)</f>
        <v/>
      </c>
      <c r="C59" s="9">
        <f>IF($B59="","",IF(Preenchimento!$C$65="","-",Preenchimento!$C$65))</f>
        <v/>
      </c>
      <c r="D59" s="8">
        <f>IF($B59="","",IF(Preenchimento!$D$65="","-",Preenchimento!$D$65))</f>
        <v/>
      </c>
      <c r="E59" s="32">
        <f>IF($B59="","",IFERROR(AVERAGE(M59:Q59),"-"))</f>
        <v/>
      </c>
      <c r="F59" s="32">
        <f>IF($B59="","",IFERROR(AVERAGE(R59:V59),"-"))</f>
        <v/>
      </c>
      <c r="G59" s="32">
        <f>IF($B59="","",IFERROR(AVERAGE(W59:AA59),"-"))</f>
        <v/>
      </c>
      <c r="H59" s="32">
        <f>IF($B59="","",IFERROR(AVERAGE(AB59:AF59),"-"))</f>
        <v/>
      </c>
      <c r="I59" s="32">
        <f>IF($B59="","",IFERROR(AVERAGE(M59:AF59),"-"))</f>
        <v/>
      </c>
      <c r="J59" s="14">
        <f>IF($B59="","",IF('Registro por Sessão'!$G279="","","S1 D: "&amp;'Registro por Sessão'!$G279&amp;CHAR(10))&amp;IF('Registro por Sessão'!$K279="","","S1 F: "&amp;'Registro por Sessão'!$K279&amp;CHAR(10))&amp;IF('Registro por Sessão'!$O279="","","S1 C: "&amp;'Registro por Sessão'!$O279&amp;CHAR(10))&amp;IF('Registro por Sessão'!$S279="","","S1 P: "&amp;'Registro por Sessão'!$S279&amp;CHAR(10))&amp;IF('Registro por Sessão'!$G280="","","S2 D: "&amp;'Registro por Sessão'!$G280&amp;CHAR(10))&amp;IF('Registro por Sessão'!$K280="","","S2 F: "&amp;'Registro por Sessão'!$K280&amp;CHAR(10))&amp;IF('Registro por Sessão'!$O280="","","S2 C: "&amp;'Registro por Sessão'!$O280&amp;CHAR(10))&amp;IF('Registro por Sessão'!$S280="","","S2 P: "&amp;'Registro por Sessão'!$S280&amp;CHAR(10))&amp;IF('Registro por Sessão'!$G281="","","S3 D: "&amp;'Registro por Sessão'!$G281&amp;CHAR(10))&amp;IF('Registro por Sessão'!$K281="","","S3 F: "&amp;'Registro por Sessão'!$K281&amp;CHAR(10))&amp;IF('Registro por Sessão'!$O281="","","S3 C: "&amp;'Registro por Sessão'!$O281&amp;CHAR(10))&amp;IF('Registro por Sessão'!$S281="","","S3 P: "&amp;'Registro por Sessão'!$S281&amp;CHAR(10))&amp;IF('Registro por Sessão'!$G282="","","S4 D: "&amp;'Registro por Sessão'!$G282&amp;CHAR(10))&amp;IF('Registro por Sessão'!$K282="","","S4 F: "&amp;'Registro por Sessão'!$K282&amp;CHAR(10))&amp;IF('Registro por Sessão'!$O282="","","S4 C: "&amp;'Registro por Sessão'!$O282&amp;CHAR(10))&amp;IF('Registro por Sessão'!$S282="","","S4 P: "&amp;'Registro por Sessão'!$S282&amp;CHAR(10))&amp;IF('Registro por Sessão'!$G283="","","S5 D: "&amp;'Registro por Sessão'!$G283&amp;CHAR(10))&amp;IF('Registro por Sessão'!$K283="","","S5 F: "&amp;'Registro por Sessão'!$K283&amp;CHAR(10))&amp;IF('Registro por Sessão'!$O283="","","S5 C: "&amp;'Registro por Sessão'!$O283&amp;CHAR(10))&amp;IF('Registro por Sessão'!$S283="","","S5 P: "&amp;'Registro por Sessão'!$S283&amp;CHAR(10)))</f>
        <v/>
      </c>
      <c r="K59" s="14">
        <f>IF($B59="","",IF('Registro por Sessão'!$W279="","","S1: "&amp;'Registro por Sessão'!$W279&amp;CHAR(10))&amp;IF('Registro por Sessão'!$X279="","","S1 obs: "&amp;'Registro por Sessão'!$X279&amp;CHAR(10))&amp;IF('Registro por Sessão'!$W280="","","S2: "&amp;'Registro por Sessão'!$W280&amp;CHAR(10))&amp;IF('Registro por Sessão'!$X280="","","S2 obs: "&amp;'Registro por Sessão'!$X280&amp;CHAR(10))&amp;IF('Registro por Sessão'!$W281="","","S3: "&amp;'Registro por Sessão'!$W281&amp;CHAR(10))&amp;IF('Registro por Sessão'!$X281="","","S3 obs: "&amp;'Registro por Sessão'!$X281&amp;CHAR(10))&amp;IF('Registro por Sessão'!$W282="","","S4: "&amp;'Registro por Sessão'!$W282&amp;CHAR(10))&amp;IF('Registro por Sessão'!$X282="","","S4 obs: "&amp;'Registro por Sessão'!$X282&amp;CHAR(10))&amp;IF('Registro por Sessão'!$W283="","","S5: "&amp;'Registro por Sessão'!$W283&amp;CHAR(10))&amp;IF('Registro por Sessão'!$X283="","","S5 obs: "&amp;'Registro por Sessão'!$X283&amp;CHAR(10)))</f>
        <v/>
      </c>
      <c r="L59" s="2" t="n"/>
      <c r="M59" s="8">
        <f>IF(ISNUMBER('Registro por Sessão'!$J279),'Registro por Sessão'!$J279,"")</f>
        <v/>
      </c>
      <c r="N59" s="8">
        <f>IF(ISNUMBER('Registro por Sessão'!$J280),'Registro por Sessão'!$J280,"")</f>
        <v/>
      </c>
      <c r="O59" s="8">
        <f>IF(ISNUMBER('Registro por Sessão'!$J281),'Registro por Sessão'!$J281,"")</f>
        <v/>
      </c>
      <c r="P59" s="8">
        <f>IF(ISNUMBER('Registro por Sessão'!$J282),'Registro por Sessão'!$J282,"")</f>
        <v/>
      </c>
      <c r="Q59" s="8">
        <f>IF(ISNUMBER('Registro por Sessão'!$J283),'Registro por Sessão'!$J283,"")</f>
        <v/>
      </c>
      <c r="R59" s="8">
        <f>IF(ISNUMBER('Registro por Sessão'!$N279),'Registro por Sessão'!$N279,"")</f>
        <v/>
      </c>
      <c r="S59" s="8">
        <f>IF(ISNUMBER('Registro por Sessão'!$N280),'Registro por Sessão'!$N280,"")</f>
        <v/>
      </c>
      <c r="T59" s="8">
        <f>IF(ISNUMBER('Registro por Sessão'!$N281),'Registro por Sessão'!$N281,"")</f>
        <v/>
      </c>
      <c r="U59" s="8">
        <f>IF(ISNUMBER('Registro por Sessão'!$N282),'Registro por Sessão'!$N282,"")</f>
        <v/>
      </c>
      <c r="V59" s="8">
        <f>IF(ISNUMBER('Registro por Sessão'!$N283),'Registro por Sessão'!$N283,"")</f>
        <v/>
      </c>
      <c r="W59" s="8">
        <f>IF(ISNUMBER('Registro por Sessão'!$R279),'Registro por Sessão'!$R279,"")</f>
        <v/>
      </c>
      <c r="X59" s="8">
        <f>IF(ISNUMBER('Registro por Sessão'!$R280),'Registro por Sessão'!$R280,"")</f>
        <v/>
      </c>
      <c r="Y59" s="8">
        <f>IF(ISNUMBER('Registro por Sessão'!$R281),'Registro por Sessão'!$R281,"")</f>
        <v/>
      </c>
      <c r="Z59" s="8">
        <f>IF(ISNUMBER('Registro por Sessão'!$R282),'Registro por Sessão'!$R282,"")</f>
        <v/>
      </c>
      <c r="AA59" s="8">
        <f>IF(ISNUMBER('Registro por Sessão'!$R283),'Registro por Sessão'!$R283,"")</f>
        <v/>
      </c>
      <c r="AB59" s="8">
        <f>IF(ISNUMBER('Registro por Sessão'!$V279),'Registro por Sessão'!$V279,"")</f>
        <v/>
      </c>
      <c r="AC59" s="8">
        <f>IF(ISNUMBER('Registro por Sessão'!$V280),'Registro por Sessão'!$V280,"")</f>
        <v/>
      </c>
      <c r="AD59" s="8">
        <f>IF(ISNUMBER('Registro por Sessão'!$V281),'Registro por Sessão'!$V281,"")</f>
        <v/>
      </c>
      <c r="AE59" s="8">
        <f>IF(ISNUMBER('Registro por Sessão'!$V282),'Registro por Sessão'!$V282,"")</f>
        <v/>
      </c>
      <c r="AF59" s="8">
        <f>IF(ISNUMBER('Registro por Sessão'!$V283),'Registro por Sessão'!$V283,"")</f>
        <v/>
      </c>
    </row>
    <row r="60">
      <c r="A60" s="6">
        <f>IF($B60="","",ROW()-3)</f>
        <v/>
      </c>
      <c r="B60" s="7">
        <f>IF(Preenchimento!$B$66="","",Preenchimento!$B$66)</f>
        <v/>
      </c>
      <c r="C60" s="7">
        <f>IF($B60="","",IF(Preenchimento!$C$66="","-",Preenchimento!$C$66))</f>
        <v/>
      </c>
      <c r="D60" s="6">
        <f>IF($B60="","",IF(Preenchimento!$D$66="","-",Preenchimento!$D$66))</f>
        <v/>
      </c>
      <c r="E60" s="31">
        <f>IF($B60="","",IFERROR(AVERAGE(M60:Q60),"-"))</f>
        <v/>
      </c>
      <c r="F60" s="31">
        <f>IF($B60="","",IFERROR(AVERAGE(R60:V60),"-"))</f>
        <v/>
      </c>
      <c r="G60" s="31">
        <f>IF($B60="","",IFERROR(AVERAGE(W60:AA60),"-"))</f>
        <v/>
      </c>
      <c r="H60" s="31">
        <f>IF($B60="","",IFERROR(AVERAGE(AB60:AF60),"-"))</f>
        <v/>
      </c>
      <c r="I60" s="31">
        <f>IF($B60="","",IFERROR(AVERAGE(M60:AF60),"-"))</f>
        <v/>
      </c>
      <c r="J60" s="13">
        <f>IF($B60="","",IF('Registro por Sessão'!$G284="","","S1 D: "&amp;'Registro por Sessão'!$G284&amp;CHAR(10))&amp;IF('Registro por Sessão'!$K284="","","S1 F: "&amp;'Registro por Sessão'!$K284&amp;CHAR(10))&amp;IF('Registro por Sessão'!$O284="","","S1 C: "&amp;'Registro por Sessão'!$O284&amp;CHAR(10))&amp;IF('Registro por Sessão'!$S284="","","S1 P: "&amp;'Registro por Sessão'!$S284&amp;CHAR(10))&amp;IF('Registro por Sessão'!$G285="","","S2 D: "&amp;'Registro por Sessão'!$G285&amp;CHAR(10))&amp;IF('Registro por Sessão'!$K285="","","S2 F: "&amp;'Registro por Sessão'!$K285&amp;CHAR(10))&amp;IF('Registro por Sessão'!$O285="","","S2 C: "&amp;'Registro por Sessão'!$O285&amp;CHAR(10))&amp;IF('Registro por Sessão'!$S285="","","S2 P: "&amp;'Registro por Sessão'!$S285&amp;CHAR(10))&amp;IF('Registro por Sessão'!$G286="","","S3 D: "&amp;'Registro por Sessão'!$G286&amp;CHAR(10))&amp;IF('Registro por Sessão'!$K286="","","S3 F: "&amp;'Registro por Sessão'!$K286&amp;CHAR(10))&amp;IF('Registro por Sessão'!$O286="","","S3 C: "&amp;'Registro por Sessão'!$O286&amp;CHAR(10))&amp;IF('Registro por Sessão'!$S286="","","S3 P: "&amp;'Registro por Sessão'!$S286&amp;CHAR(10))&amp;IF('Registro por Sessão'!$G287="","","S4 D: "&amp;'Registro por Sessão'!$G287&amp;CHAR(10))&amp;IF('Registro por Sessão'!$K287="","","S4 F: "&amp;'Registro por Sessão'!$K287&amp;CHAR(10))&amp;IF('Registro por Sessão'!$O287="","","S4 C: "&amp;'Registro por Sessão'!$O287&amp;CHAR(10))&amp;IF('Registro por Sessão'!$S287="","","S4 P: "&amp;'Registro por Sessão'!$S287&amp;CHAR(10))&amp;IF('Registro por Sessão'!$G288="","","S5 D: "&amp;'Registro por Sessão'!$G288&amp;CHAR(10))&amp;IF('Registro por Sessão'!$K288="","","S5 F: "&amp;'Registro por Sessão'!$K288&amp;CHAR(10))&amp;IF('Registro por Sessão'!$O288="","","S5 C: "&amp;'Registro por Sessão'!$O288&amp;CHAR(10))&amp;IF('Registro por Sessão'!$S288="","","S5 P: "&amp;'Registro por Sessão'!$S288&amp;CHAR(10)))</f>
        <v/>
      </c>
      <c r="K60" s="13">
        <f>IF($B60="","",IF('Registro por Sessão'!$W284="","","S1: "&amp;'Registro por Sessão'!$W284&amp;CHAR(10))&amp;IF('Registro por Sessão'!$X284="","","S1 obs: "&amp;'Registro por Sessão'!$X284&amp;CHAR(10))&amp;IF('Registro por Sessão'!$W285="","","S2: "&amp;'Registro por Sessão'!$W285&amp;CHAR(10))&amp;IF('Registro por Sessão'!$X285="","","S2 obs: "&amp;'Registro por Sessão'!$X285&amp;CHAR(10))&amp;IF('Registro por Sessão'!$W286="","","S3: "&amp;'Registro por Sessão'!$W286&amp;CHAR(10))&amp;IF('Registro por Sessão'!$X286="","","S3 obs: "&amp;'Registro por Sessão'!$X286&amp;CHAR(10))&amp;IF('Registro por Sessão'!$W287="","","S4: "&amp;'Registro por Sessão'!$W287&amp;CHAR(10))&amp;IF('Registro por Sessão'!$X287="","","S4 obs: "&amp;'Registro por Sessão'!$X287&amp;CHAR(10))&amp;IF('Registro por Sessão'!$W288="","","S5: "&amp;'Registro por Sessão'!$W288&amp;CHAR(10))&amp;IF('Registro por Sessão'!$X288="","","S5 obs: "&amp;'Registro por Sessão'!$X288&amp;CHAR(10)))</f>
        <v/>
      </c>
      <c r="L60" s="2" t="n"/>
      <c r="M60" s="6">
        <f>IF(ISNUMBER('Registro por Sessão'!$J284),'Registro por Sessão'!$J284,"")</f>
        <v/>
      </c>
      <c r="N60" s="6">
        <f>IF(ISNUMBER('Registro por Sessão'!$J285),'Registro por Sessão'!$J285,"")</f>
        <v/>
      </c>
      <c r="O60" s="6">
        <f>IF(ISNUMBER('Registro por Sessão'!$J286),'Registro por Sessão'!$J286,"")</f>
        <v/>
      </c>
      <c r="P60" s="6">
        <f>IF(ISNUMBER('Registro por Sessão'!$J287),'Registro por Sessão'!$J287,"")</f>
        <v/>
      </c>
      <c r="Q60" s="6">
        <f>IF(ISNUMBER('Registro por Sessão'!$J288),'Registro por Sessão'!$J288,"")</f>
        <v/>
      </c>
      <c r="R60" s="6">
        <f>IF(ISNUMBER('Registro por Sessão'!$N284),'Registro por Sessão'!$N284,"")</f>
        <v/>
      </c>
      <c r="S60" s="6">
        <f>IF(ISNUMBER('Registro por Sessão'!$N285),'Registro por Sessão'!$N285,"")</f>
        <v/>
      </c>
      <c r="T60" s="6">
        <f>IF(ISNUMBER('Registro por Sessão'!$N286),'Registro por Sessão'!$N286,"")</f>
        <v/>
      </c>
      <c r="U60" s="6">
        <f>IF(ISNUMBER('Registro por Sessão'!$N287),'Registro por Sessão'!$N287,"")</f>
        <v/>
      </c>
      <c r="V60" s="6">
        <f>IF(ISNUMBER('Registro por Sessão'!$N288),'Registro por Sessão'!$N288,"")</f>
        <v/>
      </c>
      <c r="W60" s="6">
        <f>IF(ISNUMBER('Registro por Sessão'!$R284),'Registro por Sessão'!$R284,"")</f>
        <v/>
      </c>
      <c r="X60" s="6">
        <f>IF(ISNUMBER('Registro por Sessão'!$R285),'Registro por Sessão'!$R285,"")</f>
        <v/>
      </c>
      <c r="Y60" s="6">
        <f>IF(ISNUMBER('Registro por Sessão'!$R286),'Registro por Sessão'!$R286,"")</f>
        <v/>
      </c>
      <c r="Z60" s="6">
        <f>IF(ISNUMBER('Registro por Sessão'!$R287),'Registro por Sessão'!$R287,"")</f>
        <v/>
      </c>
      <c r="AA60" s="6">
        <f>IF(ISNUMBER('Registro por Sessão'!$R288),'Registro por Sessão'!$R288,"")</f>
        <v/>
      </c>
      <c r="AB60" s="6">
        <f>IF(ISNUMBER('Registro por Sessão'!$V284),'Registro por Sessão'!$V284,"")</f>
        <v/>
      </c>
      <c r="AC60" s="6">
        <f>IF(ISNUMBER('Registro por Sessão'!$V285),'Registro por Sessão'!$V285,"")</f>
        <v/>
      </c>
      <c r="AD60" s="6">
        <f>IF(ISNUMBER('Registro por Sessão'!$V286),'Registro por Sessão'!$V286,"")</f>
        <v/>
      </c>
      <c r="AE60" s="6">
        <f>IF(ISNUMBER('Registro por Sessão'!$V287),'Registro por Sessão'!$V287,"")</f>
        <v/>
      </c>
      <c r="AF60" s="6">
        <f>IF(ISNUMBER('Registro por Sessão'!$V288),'Registro por Sessão'!$V288,"")</f>
        <v/>
      </c>
    </row>
    <row r="61">
      <c r="A61" s="8">
        <f>IF($B61="","",ROW()-3)</f>
        <v/>
      </c>
      <c r="B61" s="9">
        <f>IF(Preenchimento!$B$67="","",Preenchimento!$B$67)</f>
        <v/>
      </c>
      <c r="C61" s="9">
        <f>IF($B61="","",IF(Preenchimento!$C$67="","-",Preenchimento!$C$67))</f>
        <v/>
      </c>
      <c r="D61" s="8">
        <f>IF($B61="","",IF(Preenchimento!$D$67="","-",Preenchimento!$D$67))</f>
        <v/>
      </c>
      <c r="E61" s="32">
        <f>IF($B61="","",IFERROR(AVERAGE(M61:Q61),"-"))</f>
        <v/>
      </c>
      <c r="F61" s="32">
        <f>IF($B61="","",IFERROR(AVERAGE(R61:V61),"-"))</f>
        <v/>
      </c>
      <c r="G61" s="32">
        <f>IF($B61="","",IFERROR(AVERAGE(W61:AA61),"-"))</f>
        <v/>
      </c>
      <c r="H61" s="32">
        <f>IF($B61="","",IFERROR(AVERAGE(AB61:AF61),"-"))</f>
        <v/>
      </c>
      <c r="I61" s="32">
        <f>IF($B61="","",IFERROR(AVERAGE(M61:AF61),"-"))</f>
        <v/>
      </c>
      <c r="J61" s="14">
        <f>IF($B61="","",IF('Registro por Sessão'!$G289="","","S1 D: "&amp;'Registro por Sessão'!$G289&amp;CHAR(10))&amp;IF('Registro por Sessão'!$K289="","","S1 F: "&amp;'Registro por Sessão'!$K289&amp;CHAR(10))&amp;IF('Registro por Sessão'!$O289="","","S1 C: "&amp;'Registro por Sessão'!$O289&amp;CHAR(10))&amp;IF('Registro por Sessão'!$S289="","","S1 P: "&amp;'Registro por Sessão'!$S289&amp;CHAR(10))&amp;IF('Registro por Sessão'!$G290="","","S2 D: "&amp;'Registro por Sessão'!$G290&amp;CHAR(10))&amp;IF('Registro por Sessão'!$K290="","","S2 F: "&amp;'Registro por Sessão'!$K290&amp;CHAR(10))&amp;IF('Registro por Sessão'!$O290="","","S2 C: "&amp;'Registro por Sessão'!$O290&amp;CHAR(10))&amp;IF('Registro por Sessão'!$S290="","","S2 P: "&amp;'Registro por Sessão'!$S290&amp;CHAR(10))&amp;IF('Registro por Sessão'!$G291="","","S3 D: "&amp;'Registro por Sessão'!$G291&amp;CHAR(10))&amp;IF('Registro por Sessão'!$K291="","","S3 F: "&amp;'Registro por Sessão'!$K291&amp;CHAR(10))&amp;IF('Registro por Sessão'!$O291="","","S3 C: "&amp;'Registro por Sessão'!$O291&amp;CHAR(10))&amp;IF('Registro por Sessão'!$S291="","","S3 P: "&amp;'Registro por Sessão'!$S291&amp;CHAR(10))&amp;IF('Registro por Sessão'!$G292="","","S4 D: "&amp;'Registro por Sessão'!$G292&amp;CHAR(10))&amp;IF('Registro por Sessão'!$K292="","","S4 F: "&amp;'Registro por Sessão'!$K292&amp;CHAR(10))&amp;IF('Registro por Sessão'!$O292="","","S4 C: "&amp;'Registro por Sessão'!$O292&amp;CHAR(10))&amp;IF('Registro por Sessão'!$S292="","","S4 P: "&amp;'Registro por Sessão'!$S292&amp;CHAR(10))&amp;IF('Registro por Sessão'!$G293="","","S5 D: "&amp;'Registro por Sessão'!$G293&amp;CHAR(10))&amp;IF('Registro por Sessão'!$K293="","","S5 F: "&amp;'Registro por Sessão'!$K293&amp;CHAR(10))&amp;IF('Registro por Sessão'!$O293="","","S5 C: "&amp;'Registro por Sessão'!$O293&amp;CHAR(10))&amp;IF('Registro por Sessão'!$S293="","","S5 P: "&amp;'Registro por Sessão'!$S293&amp;CHAR(10)))</f>
        <v/>
      </c>
      <c r="K61" s="14">
        <f>IF($B61="","",IF('Registro por Sessão'!$W289="","","S1: "&amp;'Registro por Sessão'!$W289&amp;CHAR(10))&amp;IF('Registro por Sessão'!$X289="","","S1 obs: "&amp;'Registro por Sessão'!$X289&amp;CHAR(10))&amp;IF('Registro por Sessão'!$W290="","","S2: "&amp;'Registro por Sessão'!$W290&amp;CHAR(10))&amp;IF('Registro por Sessão'!$X290="","","S2 obs: "&amp;'Registro por Sessão'!$X290&amp;CHAR(10))&amp;IF('Registro por Sessão'!$W291="","","S3: "&amp;'Registro por Sessão'!$W291&amp;CHAR(10))&amp;IF('Registro por Sessão'!$X291="","","S3 obs: "&amp;'Registro por Sessão'!$X291&amp;CHAR(10))&amp;IF('Registro por Sessão'!$W292="","","S4: "&amp;'Registro por Sessão'!$W292&amp;CHAR(10))&amp;IF('Registro por Sessão'!$X292="","","S4 obs: "&amp;'Registro por Sessão'!$X292&amp;CHAR(10))&amp;IF('Registro por Sessão'!$W293="","","S5: "&amp;'Registro por Sessão'!$W293&amp;CHAR(10))&amp;IF('Registro por Sessão'!$X293="","","S5 obs: "&amp;'Registro por Sessão'!$X293&amp;CHAR(10)))</f>
        <v/>
      </c>
      <c r="L61" s="2" t="n"/>
      <c r="M61" s="8">
        <f>IF(ISNUMBER('Registro por Sessão'!$J289),'Registro por Sessão'!$J289,"")</f>
        <v/>
      </c>
      <c r="N61" s="8">
        <f>IF(ISNUMBER('Registro por Sessão'!$J290),'Registro por Sessão'!$J290,"")</f>
        <v/>
      </c>
      <c r="O61" s="8">
        <f>IF(ISNUMBER('Registro por Sessão'!$J291),'Registro por Sessão'!$J291,"")</f>
        <v/>
      </c>
      <c r="P61" s="8">
        <f>IF(ISNUMBER('Registro por Sessão'!$J292),'Registro por Sessão'!$J292,"")</f>
        <v/>
      </c>
      <c r="Q61" s="8">
        <f>IF(ISNUMBER('Registro por Sessão'!$J293),'Registro por Sessão'!$J293,"")</f>
        <v/>
      </c>
      <c r="R61" s="8">
        <f>IF(ISNUMBER('Registro por Sessão'!$N289),'Registro por Sessão'!$N289,"")</f>
        <v/>
      </c>
      <c r="S61" s="8">
        <f>IF(ISNUMBER('Registro por Sessão'!$N290),'Registro por Sessão'!$N290,"")</f>
        <v/>
      </c>
      <c r="T61" s="8">
        <f>IF(ISNUMBER('Registro por Sessão'!$N291),'Registro por Sessão'!$N291,"")</f>
        <v/>
      </c>
      <c r="U61" s="8">
        <f>IF(ISNUMBER('Registro por Sessão'!$N292),'Registro por Sessão'!$N292,"")</f>
        <v/>
      </c>
      <c r="V61" s="8">
        <f>IF(ISNUMBER('Registro por Sessão'!$N293),'Registro por Sessão'!$N293,"")</f>
        <v/>
      </c>
      <c r="W61" s="8">
        <f>IF(ISNUMBER('Registro por Sessão'!$R289),'Registro por Sessão'!$R289,"")</f>
        <v/>
      </c>
      <c r="X61" s="8">
        <f>IF(ISNUMBER('Registro por Sessão'!$R290),'Registro por Sessão'!$R290,"")</f>
        <v/>
      </c>
      <c r="Y61" s="8">
        <f>IF(ISNUMBER('Registro por Sessão'!$R291),'Registro por Sessão'!$R291,"")</f>
        <v/>
      </c>
      <c r="Z61" s="8">
        <f>IF(ISNUMBER('Registro por Sessão'!$R292),'Registro por Sessão'!$R292,"")</f>
        <v/>
      </c>
      <c r="AA61" s="8">
        <f>IF(ISNUMBER('Registro por Sessão'!$R293),'Registro por Sessão'!$R293,"")</f>
        <v/>
      </c>
      <c r="AB61" s="8">
        <f>IF(ISNUMBER('Registro por Sessão'!$V289),'Registro por Sessão'!$V289,"")</f>
        <v/>
      </c>
      <c r="AC61" s="8">
        <f>IF(ISNUMBER('Registro por Sessão'!$V290),'Registro por Sessão'!$V290,"")</f>
        <v/>
      </c>
      <c r="AD61" s="8">
        <f>IF(ISNUMBER('Registro por Sessão'!$V291),'Registro por Sessão'!$V291,"")</f>
        <v/>
      </c>
      <c r="AE61" s="8">
        <f>IF(ISNUMBER('Registro por Sessão'!$V292),'Registro por Sessão'!$V292,"")</f>
        <v/>
      </c>
      <c r="AF61" s="8">
        <f>IF(ISNUMBER('Registro por Sessão'!$V293),'Registro por Sessão'!$V293,"")</f>
        <v/>
      </c>
    </row>
    <row r="62">
      <c r="A62" s="6">
        <f>IF($B62="","",ROW()-3)</f>
        <v/>
      </c>
      <c r="B62" s="7">
        <f>IF(Preenchimento!$B$68="","",Preenchimento!$B$68)</f>
        <v/>
      </c>
      <c r="C62" s="7">
        <f>IF($B62="","",IF(Preenchimento!$C$68="","-",Preenchimento!$C$68))</f>
        <v/>
      </c>
      <c r="D62" s="6">
        <f>IF($B62="","",IF(Preenchimento!$D$68="","-",Preenchimento!$D$68))</f>
        <v/>
      </c>
      <c r="E62" s="31">
        <f>IF($B62="","",IFERROR(AVERAGE(M62:Q62),"-"))</f>
        <v/>
      </c>
      <c r="F62" s="31">
        <f>IF($B62="","",IFERROR(AVERAGE(R62:V62),"-"))</f>
        <v/>
      </c>
      <c r="G62" s="31">
        <f>IF($B62="","",IFERROR(AVERAGE(W62:AA62),"-"))</f>
        <v/>
      </c>
      <c r="H62" s="31">
        <f>IF($B62="","",IFERROR(AVERAGE(AB62:AF62),"-"))</f>
        <v/>
      </c>
      <c r="I62" s="31">
        <f>IF($B62="","",IFERROR(AVERAGE(M62:AF62),"-"))</f>
        <v/>
      </c>
      <c r="J62" s="13">
        <f>IF($B62="","",IF('Registro por Sessão'!$G294="","","S1 D: "&amp;'Registro por Sessão'!$G294&amp;CHAR(10))&amp;IF('Registro por Sessão'!$K294="","","S1 F: "&amp;'Registro por Sessão'!$K294&amp;CHAR(10))&amp;IF('Registro por Sessão'!$O294="","","S1 C: "&amp;'Registro por Sessão'!$O294&amp;CHAR(10))&amp;IF('Registro por Sessão'!$S294="","","S1 P: "&amp;'Registro por Sessão'!$S294&amp;CHAR(10))&amp;IF('Registro por Sessão'!$G295="","","S2 D: "&amp;'Registro por Sessão'!$G295&amp;CHAR(10))&amp;IF('Registro por Sessão'!$K295="","","S2 F: "&amp;'Registro por Sessão'!$K295&amp;CHAR(10))&amp;IF('Registro por Sessão'!$O295="","","S2 C: "&amp;'Registro por Sessão'!$O295&amp;CHAR(10))&amp;IF('Registro por Sessão'!$S295="","","S2 P: "&amp;'Registro por Sessão'!$S295&amp;CHAR(10))&amp;IF('Registro por Sessão'!$G296="","","S3 D: "&amp;'Registro por Sessão'!$G296&amp;CHAR(10))&amp;IF('Registro por Sessão'!$K296="","","S3 F: "&amp;'Registro por Sessão'!$K296&amp;CHAR(10))&amp;IF('Registro por Sessão'!$O296="","","S3 C: "&amp;'Registro por Sessão'!$O296&amp;CHAR(10))&amp;IF('Registro por Sessão'!$S296="","","S3 P: "&amp;'Registro por Sessão'!$S296&amp;CHAR(10))&amp;IF('Registro por Sessão'!$G297="","","S4 D: "&amp;'Registro por Sessão'!$G297&amp;CHAR(10))&amp;IF('Registro por Sessão'!$K297="","","S4 F: "&amp;'Registro por Sessão'!$K297&amp;CHAR(10))&amp;IF('Registro por Sessão'!$O297="","","S4 C: "&amp;'Registro por Sessão'!$O297&amp;CHAR(10))&amp;IF('Registro por Sessão'!$S297="","","S4 P: "&amp;'Registro por Sessão'!$S297&amp;CHAR(10))&amp;IF('Registro por Sessão'!$G298="","","S5 D: "&amp;'Registro por Sessão'!$G298&amp;CHAR(10))&amp;IF('Registro por Sessão'!$K298="","","S5 F: "&amp;'Registro por Sessão'!$K298&amp;CHAR(10))&amp;IF('Registro por Sessão'!$O298="","","S5 C: "&amp;'Registro por Sessão'!$O298&amp;CHAR(10))&amp;IF('Registro por Sessão'!$S298="","","S5 P: "&amp;'Registro por Sessão'!$S298&amp;CHAR(10)))</f>
        <v/>
      </c>
      <c r="K62" s="13">
        <f>IF($B62="","",IF('Registro por Sessão'!$W294="","","S1: "&amp;'Registro por Sessão'!$W294&amp;CHAR(10))&amp;IF('Registro por Sessão'!$X294="","","S1 obs: "&amp;'Registro por Sessão'!$X294&amp;CHAR(10))&amp;IF('Registro por Sessão'!$W295="","","S2: "&amp;'Registro por Sessão'!$W295&amp;CHAR(10))&amp;IF('Registro por Sessão'!$X295="","","S2 obs: "&amp;'Registro por Sessão'!$X295&amp;CHAR(10))&amp;IF('Registro por Sessão'!$W296="","","S3: "&amp;'Registro por Sessão'!$W296&amp;CHAR(10))&amp;IF('Registro por Sessão'!$X296="","","S3 obs: "&amp;'Registro por Sessão'!$X296&amp;CHAR(10))&amp;IF('Registro por Sessão'!$W297="","","S4: "&amp;'Registro por Sessão'!$W297&amp;CHAR(10))&amp;IF('Registro por Sessão'!$X297="","","S4 obs: "&amp;'Registro por Sessão'!$X297&amp;CHAR(10))&amp;IF('Registro por Sessão'!$W298="","","S5: "&amp;'Registro por Sessão'!$W298&amp;CHAR(10))&amp;IF('Registro por Sessão'!$X298="","","S5 obs: "&amp;'Registro por Sessão'!$X298&amp;CHAR(10)))</f>
        <v/>
      </c>
      <c r="L62" s="2" t="n"/>
      <c r="M62" s="6">
        <f>IF(ISNUMBER('Registro por Sessão'!$J294),'Registro por Sessão'!$J294,"")</f>
        <v/>
      </c>
      <c r="N62" s="6">
        <f>IF(ISNUMBER('Registro por Sessão'!$J295),'Registro por Sessão'!$J295,"")</f>
        <v/>
      </c>
      <c r="O62" s="6">
        <f>IF(ISNUMBER('Registro por Sessão'!$J296),'Registro por Sessão'!$J296,"")</f>
        <v/>
      </c>
      <c r="P62" s="6">
        <f>IF(ISNUMBER('Registro por Sessão'!$J297),'Registro por Sessão'!$J297,"")</f>
        <v/>
      </c>
      <c r="Q62" s="6">
        <f>IF(ISNUMBER('Registro por Sessão'!$J298),'Registro por Sessão'!$J298,"")</f>
        <v/>
      </c>
      <c r="R62" s="6">
        <f>IF(ISNUMBER('Registro por Sessão'!$N294),'Registro por Sessão'!$N294,"")</f>
        <v/>
      </c>
      <c r="S62" s="6">
        <f>IF(ISNUMBER('Registro por Sessão'!$N295),'Registro por Sessão'!$N295,"")</f>
        <v/>
      </c>
      <c r="T62" s="6">
        <f>IF(ISNUMBER('Registro por Sessão'!$N296),'Registro por Sessão'!$N296,"")</f>
        <v/>
      </c>
      <c r="U62" s="6">
        <f>IF(ISNUMBER('Registro por Sessão'!$N297),'Registro por Sessão'!$N297,"")</f>
        <v/>
      </c>
      <c r="V62" s="6">
        <f>IF(ISNUMBER('Registro por Sessão'!$N298),'Registro por Sessão'!$N298,"")</f>
        <v/>
      </c>
      <c r="W62" s="6">
        <f>IF(ISNUMBER('Registro por Sessão'!$R294),'Registro por Sessão'!$R294,"")</f>
        <v/>
      </c>
      <c r="X62" s="6">
        <f>IF(ISNUMBER('Registro por Sessão'!$R295),'Registro por Sessão'!$R295,"")</f>
        <v/>
      </c>
      <c r="Y62" s="6">
        <f>IF(ISNUMBER('Registro por Sessão'!$R296),'Registro por Sessão'!$R296,"")</f>
        <v/>
      </c>
      <c r="Z62" s="6">
        <f>IF(ISNUMBER('Registro por Sessão'!$R297),'Registro por Sessão'!$R297,"")</f>
        <v/>
      </c>
      <c r="AA62" s="6">
        <f>IF(ISNUMBER('Registro por Sessão'!$R298),'Registro por Sessão'!$R298,"")</f>
        <v/>
      </c>
      <c r="AB62" s="6">
        <f>IF(ISNUMBER('Registro por Sessão'!$V294),'Registro por Sessão'!$V294,"")</f>
        <v/>
      </c>
      <c r="AC62" s="6">
        <f>IF(ISNUMBER('Registro por Sessão'!$V295),'Registro por Sessão'!$V295,"")</f>
        <v/>
      </c>
      <c r="AD62" s="6">
        <f>IF(ISNUMBER('Registro por Sessão'!$V296),'Registro por Sessão'!$V296,"")</f>
        <v/>
      </c>
      <c r="AE62" s="6">
        <f>IF(ISNUMBER('Registro por Sessão'!$V297),'Registro por Sessão'!$V297,"")</f>
        <v/>
      </c>
      <c r="AF62" s="6">
        <f>IF(ISNUMBER('Registro por Sessão'!$V298),'Registro por Sessão'!$V298,"")</f>
        <v/>
      </c>
    </row>
    <row r="63">
      <c r="A63" s="8">
        <f>IF($B63="","",ROW()-3)</f>
        <v/>
      </c>
      <c r="B63" s="9">
        <f>IF(Preenchimento!$B$69="","",Preenchimento!$B$69)</f>
        <v/>
      </c>
      <c r="C63" s="9">
        <f>IF($B63="","",IF(Preenchimento!$C$69="","-",Preenchimento!$C$69))</f>
        <v/>
      </c>
      <c r="D63" s="8">
        <f>IF($B63="","",IF(Preenchimento!$D$69="","-",Preenchimento!$D$69))</f>
        <v/>
      </c>
      <c r="E63" s="32">
        <f>IF($B63="","",IFERROR(AVERAGE(M63:Q63),"-"))</f>
        <v/>
      </c>
      <c r="F63" s="32">
        <f>IF($B63="","",IFERROR(AVERAGE(R63:V63),"-"))</f>
        <v/>
      </c>
      <c r="G63" s="32">
        <f>IF($B63="","",IFERROR(AVERAGE(W63:AA63),"-"))</f>
        <v/>
      </c>
      <c r="H63" s="32">
        <f>IF($B63="","",IFERROR(AVERAGE(AB63:AF63),"-"))</f>
        <v/>
      </c>
      <c r="I63" s="32">
        <f>IF($B63="","",IFERROR(AVERAGE(M63:AF63),"-"))</f>
        <v/>
      </c>
      <c r="J63" s="14">
        <f>IF($B63="","",IF('Registro por Sessão'!$G299="","","S1 D: "&amp;'Registro por Sessão'!$G299&amp;CHAR(10))&amp;IF('Registro por Sessão'!$K299="","","S1 F: "&amp;'Registro por Sessão'!$K299&amp;CHAR(10))&amp;IF('Registro por Sessão'!$O299="","","S1 C: "&amp;'Registro por Sessão'!$O299&amp;CHAR(10))&amp;IF('Registro por Sessão'!$S299="","","S1 P: "&amp;'Registro por Sessão'!$S299&amp;CHAR(10))&amp;IF('Registro por Sessão'!$G300="","","S2 D: "&amp;'Registro por Sessão'!$G300&amp;CHAR(10))&amp;IF('Registro por Sessão'!$K300="","","S2 F: "&amp;'Registro por Sessão'!$K300&amp;CHAR(10))&amp;IF('Registro por Sessão'!$O300="","","S2 C: "&amp;'Registro por Sessão'!$O300&amp;CHAR(10))&amp;IF('Registro por Sessão'!$S300="","","S2 P: "&amp;'Registro por Sessão'!$S300&amp;CHAR(10))&amp;IF('Registro por Sessão'!$G301="","","S3 D: "&amp;'Registro por Sessão'!$G301&amp;CHAR(10))&amp;IF('Registro por Sessão'!$K301="","","S3 F: "&amp;'Registro por Sessão'!$K301&amp;CHAR(10))&amp;IF('Registro por Sessão'!$O301="","","S3 C: "&amp;'Registro por Sessão'!$O301&amp;CHAR(10))&amp;IF('Registro por Sessão'!$S301="","","S3 P: "&amp;'Registro por Sessão'!$S301&amp;CHAR(10))&amp;IF('Registro por Sessão'!$G302="","","S4 D: "&amp;'Registro por Sessão'!$G302&amp;CHAR(10))&amp;IF('Registro por Sessão'!$K302="","","S4 F: "&amp;'Registro por Sessão'!$K302&amp;CHAR(10))&amp;IF('Registro por Sessão'!$O302="","","S4 C: "&amp;'Registro por Sessão'!$O302&amp;CHAR(10))&amp;IF('Registro por Sessão'!$S302="","","S4 P: "&amp;'Registro por Sessão'!$S302&amp;CHAR(10))&amp;IF('Registro por Sessão'!$G303="","","S5 D: "&amp;'Registro por Sessão'!$G303&amp;CHAR(10))&amp;IF('Registro por Sessão'!$K303="","","S5 F: "&amp;'Registro por Sessão'!$K303&amp;CHAR(10))&amp;IF('Registro por Sessão'!$O303="","","S5 C: "&amp;'Registro por Sessão'!$O303&amp;CHAR(10))&amp;IF('Registro por Sessão'!$S303="","","S5 P: "&amp;'Registro por Sessão'!$S303&amp;CHAR(10)))</f>
        <v/>
      </c>
      <c r="K63" s="14">
        <f>IF($B63="","",IF('Registro por Sessão'!$W299="","","S1: "&amp;'Registro por Sessão'!$W299&amp;CHAR(10))&amp;IF('Registro por Sessão'!$X299="","","S1 obs: "&amp;'Registro por Sessão'!$X299&amp;CHAR(10))&amp;IF('Registro por Sessão'!$W300="","","S2: "&amp;'Registro por Sessão'!$W300&amp;CHAR(10))&amp;IF('Registro por Sessão'!$X300="","","S2 obs: "&amp;'Registro por Sessão'!$X300&amp;CHAR(10))&amp;IF('Registro por Sessão'!$W301="","","S3: "&amp;'Registro por Sessão'!$W301&amp;CHAR(10))&amp;IF('Registro por Sessão'!$X301="","","S3 obs: "&amp;'Registro por Sessão'!$X301&amp;CHAR(10))&amp;IF('Registro por Sessão'!$W302="","","S4: "&amp;'Registro por Sessão'!$W302&amp;CHAR(10))&amp;IF('Registro por Sessão'!$X302="","","S4 obs: "&amp;'Registro por Sessão'!$X302&amp;CHAR(10))&amp;IF('Registro por Sessão'!$W303="","","S5: "&amp;'Registro por Sessão'!$W303&amp;CHAR(10))&amp;IF('Registro por Sessão'!$X303="","","S5 obs: "&amp;'Registro por Sessão'!$X303&amp;CHAR(10)))</f>
        <v/>
      </c>
      <c r="L63" s="2" t="n"/>
      <c r="M63" s="8">
        <f>IF(ISNUMBER('Registro por Sessão'!$J299),'Registro por Sessão'!$J299,"")</f>
        <v/>
      </c>
      <c r="N63" s="8">
        <f>IF(ISNUMBER('Registro por Sessão'!$J300),'Registro por Sessão'!$J300,"")</f>
        <v/>
      </c>
      <c r="O63" s="8">
        <f>IF(ISNUMBER('Registro por Sessão'!$J301),'Registro por Sessão'!$J301,"")</f>
        <v/>
      </c>
      <c r="P63" s="8">
        <f>IF(ISNUMBER('Registro por Sessão'!$J302),'Registro por Sessão'!$J302,"")</f>
        <v/>
      </c>
      <c r="Q63" s="8">
        <f>IF(ISNUMBER('Registro por Sessão'!$J303),'Registro por Sessão'!$J303,"")</f>
        <v/>
      </c>
      <c r="R63" s="8">
        <f>IF(ISNUMBER('Registro por Sessão'!$N299),'Registro por Sessão'!$N299,"")</f>
        <v/>
      </c>
      <c r="S63" s="8">
        <f>IF(ISNUMBER('Registro por Sessão'!$N300),'Registro por Sessão'!$N300,"")</f>
        <v/>
      </c>
      <c r="T63" s="8">
        <f>IF(ISNUMBER('Registro por Sessão'!$N301),'Registro por Sessão'!$N301,"")</f>
        <v/>
      </c>
      <c r="U63" s="8">
        <f>IF(ISNUMBER('Registro por Sessão'!$N302),'Registro por Sessão'!$N302,"")</f>
        <v/>
      </c>
      <c r="V63" s="8">
        <f>IF(ISNUMBER('Registro por Sessão'!$N303),'Registro por Sessão'!$N303,"")</f>
        <v/>
      </c>
      <c r="W63" s="8">
        <f>IF(ISNUMBER('Registro por Sessão'!$R299),'Registro por Sessão'!$R299,"")</f>
        <v/>
      </c>
      <c r="X63" s="8">
        <f>IF(ISNUMBER('Registro por Sessão'!$R300),'Registro por Sessão'!$R300,"")</f>
        <v/>
      </c>
      <c r="Y63" s="8">
        <f>IF(ISNUMBER('Registro por Sessão'!$R301),'Registro por Sessão'!$R301,"")</f>
        <v/>
      </c>
      <c r="Z63" s="8">
        <f>IF(ISNUMBER('Registro por Sessão'!$R302),'Registro por Sessão'!$R302,"")</f>
        <v/>
      </c>
      <c r="AA63" s="8">
        <f>IF(ISNUMBER('Registro por Sessão'!$R303),'Registro por Sessão'!$R303,"")</f>
        <v/>
      </c>
      <c r="AB63" s="8">
        <f>IF(ISNUMBER('Registro por Sessão'!$V299),'Registro por Sessão'!$V299,"")</f>
        <v/>
      </c>
      <c r="AC63" s="8">
        <f>IF(ISNUMBER('Registro por Sessão'!$V300),'Registro por Sessão'!$V300,"")</f>
        <v/>
      </c>
      <c r="AD63" s="8">
        <f>IF(ISNUMBER('Registro por Sessão'!$V301),'Registro por Sessão'!$V301,"")</f>
        <v/>
      </c>
      <c r="AE63" s="8">
        <f>IF(ISNUMBER('Registro por Sessão'!$V302),'Registro por Sessão'!$V302,"")</f>
        <v/>
      </c>
      <c r="AF63" s="8">
        <f>IF(ISNUMBER('Registro por Sessão'!$V303),'Registro por Sessão'!$V303,"")</f>
        <v/>
      </c>
    </row>
    <row r="64">
      <c r="A64" s="6">
        <f>IF($B64="","",ROW()-3)</f>
        <v/>
      </c>
      <c r="B64" s="7">
        <f>IF(Preenchimento!$B$70="","",Preenchimento!$B$70)</f>
        <v/>
      </c>
      <c r="C64" s="7">
        <f>IF($B64="","",IF(Preenchimento!$C$70="","-",Preenchimento!$C$70))</f>
        <v/>
      </c>
      <c r="D64" s="6">
        <f>IF($B64="","",IF(Preenchimento!$D$70="","-",Preenchimento!$D$70))</f>
        <v/>
      </c>
      <c r="E64" s="31">
        <f>IF($B64="","",IFERROR(AVERAGE(M64:Q64),"-"))</f>
        <v/>
      </c>
      <c r="F64" s="31">
        <f>IF($B64="","",IFERROR(AVERAGE(R64:V64),"-"))</f>
        <v/>
      </c>
      <c r="G64" s="31">
        <f>IF($B64="","",IFERROR(AVERAGE(W64:AA64),"-"))</f>
        <v/>
      </c>
      <c r="H64" s="31">
        <f>IF($B64="","",IFERROR(AVERAGE(AB64:AF64),"-"))</f>
        <v/>
      </c>
      <c r="I64" s="31">
        <f>IF($B64="","",IFERROR(AVERAGE(M64:AF64),"-"))</f>
        <v/>
      </c>
      <c r="J64" s="13">
        <f>IF($B64="","",IF('Registro por Sessão'!$G304="","","S1 D: "&amp;'Registro por Sessão'!$G304&amp;CHAR(10))&amp;IF('Registro por Sessão'!$K304="","","S1 F: "&amp;'Registro por Sessão'!$K304&amp;CHAR(10))&amp;IF('Registro por Sessão'!$O304="","","S1 C: "&amp;'Registro por Sessão'!$O304&amp;CHAR(10))&amp;IF('Registro por Sessão'!$S304="","","S1 P: "&amp;'Registro por Sessão'!$S304&amp;CHAR(10))&amp;IF('Registro por Sessão'!$G305="","","S2 D: "&amp;'Registro por Sessão'!$G305&amp;CHAR(10))&amp;IF('Registro por Sessão'!$K305="","","S2 F: "&amp;'Registro por Sessão'!$K305&amp;CHAR(10))&amp;IF('Registro por Sessão'!$O305="","","S2 C: "&amp;'Registro por Sessão'!$O305&amp;CHAR(10))&amp;IF('Registro por Sessão'!$S305="","","S2 P: "&amp;'Registro por Sessão'!$S305&amp;CHAR(10))&amp;IF('Registro por Sessão'!$G306="","","S3 D: "&amp;'Registro por Sessão'!$G306&amp;CHAR(10))&amp;IF('Registro por Sessão'!$K306="","","S3 F: "&amp;'Registro por Sessão'!$K306&amp;CHAR(10))&amp;IF('Registro por Sessão'!$O306="","","S3 C: "&amp;'Registro por Sessão'!$O306&amp;CHAR(10))&amp;IF('Registro por Sessão'!$S306="","","S3 P: "&amp;'Registro por Sessão'!$S306&amp;CHAR(10))&amp;IF('Registro por Sessão'!$G307="","","S4 D: "&amp;'Registro por Sessão'!$G307&amp;CHAR(10))&amp;IF('Registro por Sessão'!$K307="","","S4 F: "&amp;'Registro por Sessão'!$K307&amp;CHAR(10))&amp;IF('Registro por Sessão'!$O307="","","S4 C: "&amp;'Registro por Sessão'!$O307&amp;CHAR(10))&amp;IF('Registro por Sessão'!$S307="","","S4 P: "&amp;'Registro por Sessão'!$S307&amp;CHAR(10))&amp;IF('Registro por Sessão'!$G308="","","S5 D: "&amp;'Registro por Sessão'!$G308&amp;CHAR(10))&amp;IF('Registro por Sessão'!$K308="","","S5 F: "&amp;'Registro por Sessão'!$K308&amp;CHAR(10))&amp;IF('Registro por Sessão'!$O308="","","S5 C: "&amp;'Registro por Sessão'!$O308&amp;CHAR(10))&amp;IF('Registro por Sessão'!$S308="","","S5 P: "&amp;'Registro por Sessão'!$S308&amp;CHAR(10)))</f>
        <v/>
      </c>
      <c r="K64" s="13">
        <f>IF($B64="","",IF('Registro por Sessão'!$W304="","","S1: "&amp;'Registro por Sessão'!$W304&amp;CHAR(10))&amp;IF('Registro por Sessão'!$X304="","","S1 obs: "&amp;'Registro por Sessão'!$X304&amp;CHAR(10))&amp;IF('Registro por Sessão'!$W305="","","S2: "&amp;'Registro por Sessão'!$W305&amp;CHAR(10))&amp;IF('Registro por Sessão'!$X305="","","S2 obs: "&amp;'Registro por Sessão'!$X305&amp;CHAR(10))&amp;IF('Registro por Sessão'!$W306="","","S3: "&amp;'Registro por Sessão'!$W306&amp;CHAR(10))&amp;IF('Registro por Sessão'!$X306="","","S3 obs: "&amp;'Registro por Sessão'!$X306&amp;CHAR(10))&amp;IF('Registro por Sessão'!$W307="","","S4: "&amp;'Registro por Sessão'!$W307&amp;CHAR(10))&amp;IF('Registro por Sessão'!$X307="","","S4 obs: "&amp;'Registro por Sessão'!$X307&amp;CHAR(10))&amp;IF('Registro por Sessão'!$W308="","","S5: "&amp;'Registro por Sessão'!$W308&amp;CHAR(10))&amp;IF('Registro por Sessão'!$X308="","","S5 obs: "&amp;'Registro por Sessão'!$X308&amp;CHAR(10)))</f>
        <v/>
      </c>
      <c r="L64" s="2" t="n"/>
      <c r="M64" s="6">
        <f>IF(ISNUMBER('Registro por Sessão'!$J304),'Registro por Sessão'!$J304,"")</f>
        <v/>
      </c>
      <c r="N64" s="6">
        <f>IF(ISNUMBER('Registro por Sessão'!$J305),'Registro por Sessão'!$J305,"")</f>
        <v/>
      </c>
      <c r="O64" s="6">
        <f>IF(ISNUMBER('Registro por Sessão'!$J306),'Registro por Sessão'!$J306,"")</f>
        <v/>
      </c>
      <c r="P64" s="6">
        <f>IF(ISNUMBER('Registro por Sessão'!$J307),'Registro por Sessão'!$J307,"")</f>
        <v/>
      </c>
      <c r="Q64" s="6">
        <f>IF(ISNUMBER('Registro por Sessão'!$J308),'Registro por Sessão'!$J308,"")</f>
        <v/>
      </c>
      <c r="R64" s="6">
        <f>IF(ISNUMBER('Registro por Sessão'!$N304),'Registro por Sessão'!$N304,"")</f>
        <v/>
      </c>
      <c r="S64" s="6">
        <f>IF(ISNUMBER('Registro por Sessão'!$N305),'Registro por Sessão'!$N305,"")</f>
        <v/>
      </c>
      <c r="T64" s="6">
        <f>IF(ISNUMBER('Registro por Sessão'!$N306),'Registro por Sessão'!$N306,"")</f>
        <v/>
      </c>
      <c r="U64" s="6">
        <f>IF(ISNUMBER('Registro por Sessão'!$N307),'Registro por Sessão'!$N307,"")</f>
        <v/>
      </c>
      <c r="V64" s="6">
        <f>IF(ISNUMBER('Registro por Sessão'!$N308),'Registro por Sessão'!$N308,"")</f>
        <v/>
      </c>
      <c r="W64" s="6">
        <f>IF(ISNUMBER('Registro por Sessão'!$R304),'Registro por Sessão'!$R304,"")</f>
        <v/>
      </c>
      <c r="X64" s="6">
        <f>IF(ISNUMBER('Registro por Sessão'!$R305),'Registro por Sessão'!$R305,"")</f>
        <v/>
      </c>
      <c r="Y64" s="6">
        <f>IF(ISNUMBER('Registro por Sessão'!$R306),'Registro por Sessão'!$R306,"")</f>
        <v/>
      </c>
      <c r="Z64" s="6">
        <f>IF(ISNUMBER('Registro por Sessão'!$R307),'Registro por Sessão'!$R307,"")</f>
        <v/>
      </c>
      <c r="AA64" s="6">
        <f>IF(ISNUMBER('Registro por Sessão'!$R308),'Registro por Sessão'!$R308,"")</f>
        <v/>
      </c>
      <c r="AB64" s="6">
        <f>IF(ISNUMBER('Registro por Sessão'!$V304),'Registro por Sessão'!$V304,"")</f>
        <v/>
      </c>
      <c r="AC64" s="6">
        <f>IF(ISNUMBER('Registro por Sessão'!$V305),'Registro por Sessão'!$V305,"")</f>
        <v/>
      </c>
      <c r="AD64" s="6">
        <f>IF(ISNUMBER('Registro por Sessão'!$V306),'Registro por Sessão'!$V306,"")</f>
        <v/>
      </c>
      <c r="AE64" s="6">
        <f>IF(ISNUMBER('Registro por Sessão'!$V307),'Registro por Sessão'!$V307,"")</f>
        <v/>
      </c>
      <c r="AF64" s="6">
        <f>IF(ISNUMBER('Registro por Sessão'!$V308),'Registro por Sessão'!$V308,"")</f>
        <v/>
      </c>
    </row>
    <row r="65">
      <c r="A65" s="8">
        <f>IF($B65="","",ROW()-3)</f>
        <v/>
      </c>
      <c r="B65" s="9">
        <f>IF(Preenchimento!$B$71="","",Preenchimento!$B$71)</f>
        <v/>
      </c>
      <c r="C65" s="9">
        <f>IF($B65="","",IF(Preenchimento!$C$71="","-",Preenchimento!$C$71))</f>
        <v/>
      </c>
      <c r="D65" s="8">
        <f>IF($B65="","",IF(Preenchimento!$D$71="","-",Preenchimento!$D$71))</f>
        <v/>
      </c>
      <c r="E65" s="32">
        <f>IF($B65="","",IFERROR(AVERAGE(M65:Q65),"-"))</f>
        <v/>
      </c>
      <c r="F65" s="32">
        <f>IF($B65="","",IFERROR(AVERAGE(R65:V65),"-"))</f>
        <v/>
      </c>
      <c r="G65" s="32">
        <f>IF($B65="","",IFERROR(AVERAGE(W65:AA65),"-"))</f>
        <v/>
      </c>
      <c r="H65" s="32">
        <f>IF($B65="","",IFERROR(AVERAGE(AB65:AF65),"-"))</f>
        <v/>
      </c>
      <c r="I65" s="32">
        <f>IF($B65="","",IFERROR(AVERAGE(M65:AF65),"-"))</f>
        <v/>
      </c>
      <c r="J65" s="14">
        <f>IF($B65="","",IF('Registro por Sessão'!$G309="","","S1 D: "&amp;'Registro por Sessão'!$G309&amp;CHAR(10))&amp;IF('Registro por Sessão'!$K309="","","S1 F: "&amp;'Registro por Sessão'!$K309&amp;CHAR(10))&amp;IF('Registro por Sessão'!$O309="","","S1 C: "&amp;'Registro por Sessão'!$O309&amp;CHAR(10))&amp;IF('Registro por Sessão'!$S309="","","S1 P: "&amp;'Registro por Sessão'!$S309&amp;CHAR(10))&amp;IF('Registro por Sessão'!$G310="","","S2 D: "&amp;'Registro por Sessão'!$G310&amp;CHAR(10))&amp;IF('Registro por Sessão'!$K310="","","S2 F: "&amp;'Registro por Sessão'!$K310&amp;CHAR(10))&amp;IF('Registro por Sessão'!$O310="","","S2 C: "&amp;'Registro por Sessão'!$O310&amp;CHAR(10))&amp;IF('Registro por Sessão'!$S310="","","S2 P: "&amp;'Registro por Sessão'!$S310&amp;CHAR(10))&amp;IF('Registro por Sessão'!$G311="","","S3 D: "&amp;'Registro por Sessão'!$G311&amp;CHAR(10))&amp;IF('Registro por Sessão'!$K311="","","S3 F: "&amp;'Registro por Sessão'!$K311&amp;CHAR(10))&amp;IF('Registro por Sessão'!$O311="","","S3 C: "&amp;'Registro por Sessão'!$O311&amp;CHAR(10))&amp;IF('Registro por Sessão'!$S311="","","S3 P: "&amp;'Registro por Sessão'!$S311&amp;CHAR(10))&amp;IF('Registro por Sessão'!$G312="","","S4 D: "&amp;'Registro por Sessão'!$G312&amp;CHAR(10))&amp;IF('Registro por Sessão'!$K312="","","S4 F: "&amp;'Registro por Sessão'!$K312&amp;CHAR(10))&amp;IF('Registro por Sessão'!$O312="","","S4 C: "&amp;'Registro por Sessão'!$O312&amp;CHAR(10))&amp;IF('Registro por Sessão'!$S312="","","S4 P: "&amp;'Registro por Sessão'!$S312&amp;CHAR(10))&amp;IF('Registro por Sessão'!$G313="","","S5 D: "&amp;'Registro por Sessão'!$G313&amp;CHAR(10))&amp;IF('Registro por Sessão'!$K313="","","S5 F: "&amp;'Registro por Sessão'!$K313&amp;CHAR(10))&amp;IF('Registro por Sessão'!$O313="","","S5 C: "&amp;'Registro por Sessão'!$O313&amp;CHAR(10))&amp;IF('Registro por Sessão'!$S313="","","S5 P: "&amp;'Registro por Sessão'!$S313&amp;CHAR(10)))</f>
        <v/>
      </c>
      <c r="K65" s="14">
        <f>IF($B65="","",IF('Registro por Sessão'!$W309="","","S1: "&amp;'Registro por Sessão'!$W309&amp;CHAR(10))&amp;IF('Registro por Sessão'!$X309="","","S1 obs: "&amp;'Registro por Sessão'!$X309&amp;CHAR(10))&amp;IF('Registro por Sessão'!$W310="","","S2: "&amp;'Registro por Sessão'!$W310&amp;CHAR(10))&amp;IF('Registro por Sessão'!$X310="","","S2 obs: "&amp;'Registro por Sessão'!$X310&amp;CHAR(10))&amp;IF('Registro por Sessão'!$W311="","","S3: "&amp;'Registro por Sessão'!$W311&amp;CHAR(10))&amp;IF('Registro por Sessão'!$X311="","","S3 obs: "&amp;'Registro por Sessão'!$X311&amp;CHAR(10))&amp;IF('Registro por Sessão'!$W312="","","S4: "&amp;'Registro por Sessão'!$W312&amp;CHAR(10))&amp;IF('Registro por Sessão'!$X312="","","S4 obs: "&amp;'Registro por Sessão'!$X312&amp;CHAR(10))&amp;IF('Registro por Sessão'!$W313="","","S5: "&amp;'Registro por Sessão'!$W313&amp;CHAR(10))&amp;IF('Registro por Sessão'!$X313="","","S5 obs: "&amp;'Registro por Sessão'!$X313&amp;CHAR(10)))</f>
        <v/>
      </c>
      <c r="L65" s="2" t="n"/>
      <c r="M65" s="8">
        <f>IF(ISNUMBER('Registro por Sessão'!$J309),'Registro por Sessão'!$J309,"")</f>
        <v/>
      </c>
      <c r="N65" s="8">
        <f>IF(ISNUMBER('Registro por Sessão'!$J310),'Registro por Sessão'!$J310,"")</f>
        <v/>
      </c>
      <c r="O65" s="8">
        <f>IF(ISNUMBER('Registro por Sessão'!$J311),'Registro por Sessão'!$J311,"")</f>
        <v/>
      </c>
      <c r="P65" s="8">
        <f>IF(ISNUMBER('Registro por Sessão'!$J312),'Registro por Sessão'!$J312,"")</f>
        <v/>
      </c>
      <c r="Q65" s="8">
        <f>IF(ISNUMBER('Registro por Sessão'!$J313),'Registro por Sessão'!$J313,"")</f>
        <v/>
      </c>
      <c r="R65" s="8">
        <f>IF(ISNUMBER('Registro por Sessão'!$N309),'Registro por Sessão'!$N309,"")</f>
        <v/>
      </c>
      <c r="S65" s="8">
        <f>IF(ISNUMBER('Registro por Sessão'!$N310),'Registro por Sessão'!$N310,"")</f>
        <v/>
      </c>
      <c r="T65" s="8">
        <f>IF(ISNUMBER('Registro por Sessão'!$N311),'Registro por Sessão'!$N311,"")</f>
        <v/>
      </c>
      <c r="U65" s="8">
        <f>IF(ISNUMBER('Registro por Sessão'!$N312),'Registro por Sessão'!$N312,"")</f>
        <v/>
      </c>
      <c r="V65" s="8">
        <f>IF(ISNUMBER('Registro por Sessão'!$N313),'Registro por Sessão'!$N313,"")</f>
        <v/>
      </c>
      <c r="W65" s="8">
        <f>IF(ISNUMBER('Registro por Sessão'!$R309),'Registro por Sessão'!$R309,"")</f>
        <v/>
      </c>
      <c r="X65" s="8">
        <f>IF(ISNUMBER('Registro por Sessão'!$R310),'Registro por Sessão'!$R310,"")</f>
        <v/>
      </c>
      <c r="Y65" s="8">
        <f>IF(ISNUMBER('Registro por Sessão'!$R311),'Registro por Sessão'!$R311,"")</f>
        <v/>
      </c>
      <c r="Z65" s="8">
        <f>IF(ISNUMBER('Registro por Sessão'!$R312),'Registro por Sessão'!$R312,"")</f>
        <v/>
      </c>
      <c r="AA65" s="8">
        <f>IF(ISNUMBER('Registro por Sessão'!$R313),'Registro por Sessão'!$R313,"")</f>
        <v/>
      </c>
      <c r="AB65" s="8">
        <f>IF(ISNUMBER('Registro por Sessão'!$V309),'Registro por Sessão'!$V309,"")</f>
        <v/>
      </c>
      <c r="AC65" s="8">
        <f>IF(ISNUMBER('Registro por Sessão'!$V310),'Registro por Sessão'!$V310,"")</f>
        <v/>
      </c>
      <c r="AD65" s="8">
        <f>IF(ISNUMBER('Registro por Sessão'!$V311),'Registro por Sessão'!$V311,"")</f>
        <v/>
      </c>
      <c r="AE65" s="8">
        <f>IF(ISNUMBER('Registro por Sessão'!$V312),'Registro por Sessão'!$V312,"")</f>
        <v/>
      </c>
      <c r="AF65" s="8">
        <f>IF(ISNUMBER('Registro por Sessão'!$V313),'Registro por Sessão'!$V313,"")</f>
        <v/>
      </c>
    </row>
    <row r="66">
      <c r="A66" s="6">
        <f>IF($B66="","",ROW()-3)</f>
        <v/>
      </c>
      <c r="B66" s="7">
        <f>IF(Preenchimento!$B$72="","",Preenchimento!$B$72)</f>
        <v/>
      </c>
      <c r="C66" s="7">
        <f>IF($B66="","",IF(Preenchimento!$C$72="","-",Preenchimento!$C$72))</f>
        <v/>
      </c>
      <c r="D66" s="6">
        <f>IF($B66="","",IF(Preenchimento!$D$72="","-",Preenchimento!$D$72))</f>
        <v/>
      </c>
      <c r="E66" s="31">
        <f>IF($B66="","",IFERROR(AVERAGE(M66:Q66),"-"))</f>
        <v/>
      </c>
      <c r="F66" s="31">
        <f>IF($B66="","",IFERROR(AVERAGE(R66:V66),"-"))</f>
        <v/>
      </c>
      <c r="G66" s="31">
        <f>IF($B66="","",IFERROR(AVERAGE(W66:AA66),"-"))</f>
        <v/>
      </c>
      <c r="H66" s="31">
        <f>IF($B66="","",IFERROR(AVERAGE(AB66:AF66),"-"))</f>
        <v/>
      </c>
      <c r="I66" s="31">
        <f>IF($B66="","",IFERROR(AVERAGE(M66:AF66),"-"))</f>
        <v/>
      </c>
      <c r="J66" s="13">
        <f>IF($B66="","",IF('Registro por Sessão'!$G314="","","S1 D: "&amp;'Registro por Sessão'!$G314&amp;CHAR(10))&amp;IF('Registro por Sessão'!$K314="","","S1 F: "&amp;'Registro por Sessão'!$K314&amp;CHAR(10))&amp;IF('Registro por Sessão'!$O314="","","S1 C: "&amp;'Registro por Sessão'!$O314&amp;CHAR(10))&amp;IF('Registro por Sessão'!$S314="","","S1 P: "&amp;'Registro por Sessão'!$S314&amp;CHAR(10))&amp;IF('Registro por Sessão'!$G315="","","S2 D: "&amp;'Registro por Sessão'!$G315&amp;CHAR(10))&amp;IF('Registro por Sessão'!$K315="","","S2 F: "&amp;'Registro por Sessão'!$K315&amp;CHAR(10))&amp;IF('Registro por Sessão'!$O315="","","S2 C: "&amp;'Registro por Sessão'!$O315&amp;CHAR(10))&amp;IF('Registro por Sessão'!$S315="","","S2 P: "&amp;'Registro por Sessão'!$S315&amp;CHAR(10))&amp;IF('Registro por Sessão'!$G316="","","S3 D: "&amp;'Registro por Sessão'!$G316&amp;CHAR(10))&amp;IF('Registro por Sessão'!$K316="","","S3 F: "&amp;'Registro por Sessão'!$K316&amp;CHAR(10))&amp;IF('Registro por Sessão'!$O316="","","S3 C: "&amp;'Registro por Sessão'!$O316&amp;CHAR(10))&amp;IF('Registro por Sessão'!$S316="","","S3 P: "&amp;'Registro por Sessão'!$S316&amp;CHAR(10))&amp;IF('Registro por Sessão'!$G317="","","S4 D: "&amp;'Registro por Sessão'!$G317&amp;CHAR(10))&amp;IF('Registro por Sessão'!$K317="","","S4 F: "&amp;'Registro por Sessão'!$K317&amp;CHAR(10))&amp;IF('Registro por Sessão'!$O317="","","S4 C: "&amp;'Registro por Sessão'!$O317&amp;CHAR(10))&amp;IF('Registro por Sessão'!$S317="","","S4 P: "&amp;'Registro por Sessão'!$S317&amp;CHAR(10))&amp;IF('Registro por Sessão'!$G318="","","S5 D: "&amp;'Registro por Sessão'!$G318&amp;CHAR(10))&amp;IF('Registro por Sessão'!$K318="","","S5 F: "&amp;'Registro por Sessão'!$K318&amp;CHAR(10))&amp;IF('Registro por Sessão'!$O318="","","S5 C: "&amp;'Registro por Sessão'!$O318&amp;CHAR(10))&amp;IF('Registro por Sessão'!$S318="","","S5 P: "&amp;'Registro por Sessão'!$S318&amp;CHAR(10)))</f>
        <v/>
      </c>
      <c r="K66" s="13">
        <f>IF($B66="","",IF('Registro por Sessão'!$W314="","","S1: "&amp;'Registro por Sessão'!$W314&amp;CHAR(10))&amp;IF('Registro por Sessão'!$X314="","","S1 obs: "&amp;'Registro por Sessão'!$X314&amp;CHAR(10))&amp;IF('Registro por Sessão'!$W315="","","S2: "&amp;'Registro por Sessão'!$W315&amp;CHAR(10))&amp;IF('Registro por Sessão'!$X315="","","S2 obs: "&amp;'Registro por Sessão'!$X315&amp;CHAR(10))&amp;IF('Registro por Sessão'!$W316="","","S3: "&amp;'Registro por Sessão'!$W316&amp;CHAR(10))&amp;IF('Registro por Sessão'!$X316="","","S3 obs: "&amp;'Registro por Sessão'!$X316&amp;CHAR(10))&amp;IF('Registro por Sessão'!$W317="","","S4: "&amp;'Registro por Sessão'!$W317&amp;CHAR(10))&amp;IF('Registro por Sessão'!$X317="","","S4 obs: "&amp;'Registro por Sessão'!$X317&amp;CHAR(10))&amp;IF('Registro por Sessão'!$W318="","","S5: "&amp;'Registro por Sessão'!$W318&amp;CHAR(10))&amp;IF('Registro por Sessão'!$X318="","","S5 obs: "&amp;'Registro por Sessão'!$X318&amp;CHAR(10)))</f>
        <v/>
      </c>
      <c r="L66" s="2" t="n"/>
      <c r="M66" s="6">
        <f>IF(ISNUMBER('Registro por Sessão'!$J314),'Registro por Sessão'!$J314,"")</f>
        <v/>
      </c>
      <c r="N66" s="6">
        <f>IF(ISNUMBER('Registro por Sessão'!$J315),'Registro por Sessão'!$J315,"")</f>
        <v/>
      </c>
      <c r="O66" s="6">
        <f>IF(ISNUMBER('Registro por Sessão'!$J316),'Registro por Sessão'!$J316,"")</f>
        <v/>
      </c>
      <c r="P66" s="6">
        <f>IF(ISNUMBER('Registro por Sessão'!$J317),'Registro por Sessão'!$J317,"")</f>
        <v/>
      </c>
      <c r="Q66" s="6">
        <f>IF(ISNUMBER('Registro por Sessão'!$J318),'Registro por Sessão'!$J318,"")</f>
        <v/>
      </c>
      <c r="R66" s="6">
        <f>IF(ISNUMBER('Registro por Sessão'!$N314),'Registro por Sessão'!$N314,"")</f>
        <v/>
      </c>
      <c r="S66" s="6">
        <f>IF(ISNUMBER('Registro por Sessão'!$N315),'Registro por Sessão'!$N315,"")</f>
        <v/>
      </c>
      <c r="T66" s="6">
        <f>IF(ISNUMBER('Registro por Sessão'!$N316),'Registro por Sessão'!$N316,"")</f>
        <v/>
      </c>
      <c r="U66" s="6">
        <f>IF(ISNUMBER('Registro por Sessão'!$N317),'Registro por Sessão'!$N317,"")</f>
        <v/>
      </c>
      <c r="V66" s="6">
        <f>IF(ISNUMBER('Registro por Sessão'!$N318),'Registro por Sessão'!$N318,"")</f>
        <v/>
      </c>
      <c r="W66" s="6">
        <f>IF(ISNUMBER('Registro por Sessão'!$R314),'Registro por Sessão'!$R314,"")</f>
        <v/>
      </c>
      <c r="X66" s="6">
        <f>IF(ISNUMBER('Registro por Sessão'!$R315),'Registro por Sessão'!$R315,"")</f>
        <v/>
      </c>
      <c r="Y66" s="6">
        <f>IF(ISNUMBER('Registro por Sessão'!$R316),'Registro por Sessão'!$R316,"")</f>
        <v/>
      </c>
      <c r="Z66" s="6">
        <f>IF(ISNUMBER('Registro por Sessão'!$R317),'Registro por Sessão'!$R317,"")</f>
        <v/>
      </c>
      <c r="AA66" s="6">
        <f>IF(ISNUMBER('Registro por Sessão'!$R318),'Registro por Sessão'!$R318,"")</f>
        <v/>
      </c>
      <c r="AB66" s="6">
        <f>IF(ISNUMBER('Registro por Sessão'!$V314),'Registro por Sessão'!$V314,"")</f>
        <v/>
      </c>
      <c r="AC66" s="6">
        <f>IF(ISNUMBER('Registro por Sessão'!$V315),'Registro por Sessão'!$V315,"")</f>
        <v/>
      </c>
      <c r="AD66" s="6">
        <f>IF(ISNUMBER('Registro por Sessão'!$V316),'Registro por Sessão'!$V316,"")</f>
        <v/>
      </c>
      <c r="AE66" s="6">
        <f>IF(ISNUMBER('Registro por Sessão'!$V317),'Registro por Sessão'!$V317,"")</f>
        <v/>
      </c>
      <c r="AF66" s="6">
        <f>IF(ISNUMBER('Registro por Sessão'!$V318),'Registro por Sessão'!$V318,"")</f>
        <v/>
      </c>
    </row>
    <row r="67">
      <c r="A67" s="8">
        <f>IF($B67="","",ROW()-3)</f>
        <v/>
      </c>
      <c r="B67" s="9">
        <f>IF(Preenchimento!$B$73="","",Preenchimento!$B$73)</f>
        <v/>
      </c>
      <c r="C67" s="9">
        <f>IF($B67="","",IF(Preenchimento!$C$73="","-",Preenchimento!$C$73))</f>
        <v/>
      </c>
      <c r="D67" s="8">
        <f>IF($B67="","",IF(Preenchimento!$D$73="","-",Preenchimento!$D$73))</f>
        <v/>
      </c>
      <c r="E67" s="32">
        <f>IF($B67="","",IFERROR(AVERAGE(M67:Q67),"-"))</f>
        <v/>
      </c>
      <c r="F67" s="32">
        <f>IF($B67="","",IFERROR(AVERAGE(R67:V67),"-"))</f>
        <v/>
      </c>
      <c r="G67" s="32">
        <f>IF($B67="","",IFERROR(AVERAGE(W67:AA67),"-"))</f>
        <v/>
      </c>
      <c r="H67" s="32">
        <f>IF($B67="","",IFERROR(AVERAGE(AB67:AF67),"-"))</f>
        <v/>
      </c>
      <c r="I67" s="32">
        <f>IF($B67="","",IFERROR(AVERAGE(M67:AF67),"-"))</f>
        <v/>
      </c>
      <c r="J67" s="14">
        <f>IF($B67="","",IF('Registro por Sessão'!$G319="","","S1 D: "&amp;'Registro por Sessão'!$G319&amp;CHAR(10))&amp;IF('Registro por Sessão'!$K319="","","S1 F: "&amp;'Registro por Sessão'!$K319&amp;CHAR(10))&amp;IF('Registro por Sessão'!$O319="","","S1 C: "&amp;'Registro por Sessão'!$O319&amp;CHAR(10))&amp;IF('Registro por Sessão'!$S319="","","S1 P: "&amp;'Registro por Sessão'!$S319&amp;CHAR(10))&amp;IF('Registro por Sessão'!$G320="","","S2 D: "&amp;'Registro por Sessão'!$G320&amp;CHAR(10))&amp;IF('Registro por Sessão'!$K320="","","S2 F: "&amp;'Registro por Sessão'!$K320&amp;CHAR(10))&amp;IF('Registro por Sessão'!$O320="","","S2 C: "&amp;'Registro por Sessão'!$O320&amp;CHAR(10))&amp;IF('Registro por Sessão'!$S320="","","S2 P: "&amp;'Registro por Sessão'!$S320&amp;CHAR(10))&amp;IF('Registro por Sessão'!$G321="","","S3 D: "&amp;'Registro por Sessão'!$G321&amp;CHAR(10))&amp;IF('Registro por Sessão'!$K321="","","S3 F: "&amp;'Registro por Sessão'!$K321&amp;CHAR(10))&amp;IF('Registro por Sessão'!$O321="","","S3 C: "&amp;'Registro por Sessão'!$O321&amp;CHAR(10))&amp;IF('Registro por Sessão'!$S321="","","S3 P: "&amp;'Registro por Sessão'!$S321&amp;CHAR(10))&amp;IF('Registro por Sessão'!$G322="","","S4 D: "&amp;'Registro por Sessão'!$G322&amp;CHAR(10))&amp;IF('Registro por Sessão'!$K322="","","S4 F: "&amp;'Registro por Sessão'!$K322&amp;CHAR(10))&amp;IF('Registro por Sessão'!$O322="","","S4 C: "&amp;'Registro por Sessão'!$O322&amp;CHAR(10))&amp;IF('Registro por Sessão'!$S322="","","S4 P: "&amp;'Registro por Sessão'!$S322&amp;CHAR(10))&amp;IF('Registro por Sessão'!$G323="","","S5 D: "&amp;'Registro por Sessão'!$G323&amp;CHAR(10))&amp;IF('Registro por Sessão'!$K323="","","S5 F: "&amp;'Registro por Sessão'!$K323&amp;CHAR(10))&amp;IF('Registro por Sessão'!$O323="","","S5 C: "&amp;'Registro por Sessão'!$O323&amp;CHAR(10))&amp;IF('Registro por Sessão'!$S323="","","S5 P: "&amp;'Registro por Sessão'!$S323&amp;CHAR(10)))</f>
        <v/>
      </c>
      <c r="K67" s="14">
        <f>IF($B67="","",IF('Registro por Sessão'!$W319="","","S1: "&amp;'Registro por Sessão'!$W319&amp;CHAR(10))&amp;IF('Registro por Sessão'!$X319="","","S1 obs: "&amp;'Registro por Sessão'!$X319&amp;CHAR(10))&amp;IF('Registro por Sessão'!$W320="","","S2: "&amp;'Registro por Sessão'!$W320&amp;CHAR(10))&amp;IF('Registro por Sessão'!$X320="","","S2 obs: "&amp;'Registro por Sessão'!$X320&amp;CHAR(10))&amp;IF('Registro por Sessão'!$W321="","","S3: "&amp;'Registro por Sessão'!$W321&amp;CHAR(10))&amp;IF('Registro por Sessão'!$X321="","","S3 obs: "&amp;'Registro por Sessão'!$X321&amp;CHAR(10))&amp;IF('Registro por Sessão'!$W322="","","S4: "&amp;'Registro por Sessão'!$W322&amp;CHAR(10))&amp;IF('Registro por Sessão'!$X322="","","S4 obs: "&amp;'Registro por Sessão'!$X322&amp;CHAR(10))&amp;IF('Registro por Sessão'!$W323="","","S5: "&amp;'Registro por Sessão'!$W323&amp;CHAR(10))&amp;IF('Registro por Sessão'!$X323="","","S5 obs: "&amp;'Registro por Sessão'!$X323&amp;CHAR(10)))</f>
        <v/>
      </c>
      <c r="L67" s="2" t="n"/>
      <c r="M67" s="8">
        <f>IF(ISNUMBER('Registro por Sessão'!$J319),'Registro por Sessão'!$J319,"")</f>
        <v/>
      </c>
      <c r="N67" s="8">
        <f>IF(ISNUMBER('Registro por Sessão'!$J320),'Registro por Sessão'!$J320,"")</f>
        <v/>
      </c>
      <c r="O67" s="8">
        <f>IF(ISNUMBER('Registro por Sessão'!$J321),'Registro por Sessão'!$J321,"")</f>
        <v/>
      </c>
      <c r="P67" s="8">
        <f>IF(ISNUMBER('Registro por Sessão'!$J322),'Registro por Sessão'!$J322,"")</f>
        <v/>
      </c>
      <c r="Q67" s="8">
        <f>IF(ISNUMBER('Registro por Sessão'!$J323),'Registro por Sessão'!$J323,"")</f>
        <v/>
      </c>
      <c r="R67" s="8">
        <f>IF(ISNUMBER('Registro por Sessão'!$N319),'Registro por Sessão'!$N319,"")</f>
        <v/>
      </c>
      <c r="S67" s="8">
        <f>IF(ISNUMBER('Registro por Sessão'!$N320),'Registro por Sessão'!$N320,"")</f>
        <v/>
      </c>
      <c r="T67" s="8">
        <f>IF(ISNUMBER('Registro por Sessão'!$N321),'Registro por Sessão'!$N321,"")</f>
        <v/>
      </c>
      <c r="U67" s="8">
        <f>IF(ISNUMBER('Registro por Sessão'!$N322),'Registro por Sessão'!$N322,"")</f>
        <v/>
      </c>
      <c r="V67" s="8">
        <f>IF(ISNUMBER('Registro por Sessão'!$N323),'Registro por Sessão'!$N323,"")</f>
        <v/>
      </c>
      <c r="W67" s="8">
        <f>IF(ISNUMBER('Registro por Sessão'!$R319),'Registro por Sessão'!$R319,"")</f>
        <v/>
      </c>
      <c r="X67" s="8">
        <f>IF(ISNUMBER('Registro por Sessão'!$R320),'Registro por Sessão'!$R320,"")</f>
        <v/>
      </c>
      <c r="Y67" s="8">
        <f>IF(ISNUMBER('Registro por Sessão'!$R321),'Registro por Sessão'!$R321,"")</f>
        <v/>
      </c>
      <c r="Z67" s="8">
        <f>IF(ISNUMBER('Registro por Sessão'!$R322),'Registro por Sessão'!$R322,"")</f>
        <v/>
      </c>
      <c r="AA67" s="8">
        <f>IF(ISNUMBER('Registro por Sessão'!$R323),'Registro por Sessão'!$R323,"")</f>
        <v/>
      </c>
      <c r="AB67" s="8">
        <f>IF(ISNUMBER('Registro por Sessão'!$V319),'Registro por Sessão'!$V319,"")</f>
        <v/>
      </c>
      <c r="AC67" s="8">
        <f>IF(ISNUMBER('Registro por Sessão'!$V320),'Registro por Sessão'!$V320,"")</f>
        <v/>
      </c>
      <c r="AD67" s="8">
        <f>IF(ISNUMBER('Registro por Sessão'!$V321),'Registro por Sessão'!$V321,"")</f>
        <v/>
      </c>
      <c r="AE67" s="8">
        <f>IF(ISNUMBER('Registro por Sessão'!$V322),'Registro por Sessão'!$V322,"")</f>
        <v/>
      </c>
      <c r="AF67" s="8">
        <f>IF(ISNUMBER('Registro por Sessão'!$V323),'Registro por Sessão'!$V323,"")</f>
        <v/>
      </c>
    </row>
    <row r="68">
      <c r="A68" s="6">
        <f>IF($B68="","",ROW()-3)</f>
        <v/>
      </c>
      <c r="B68" s="7">
        <f>IF(Preenchimento!$B$74="","",Preenchimento!$B$74)</f>
        <v/>
      </c>
      <c r="C68" s="7">
        <f>IF($B68="","",IF(Preenchimento!$C$74="","-",Preenchimento!$C$74))</f>
        <v/>
      </c>
      <c r="D68" s="6">
        <f>IF($B68="","",IF(Preenchimento!$D$74="","-",Preenchimento!$D$74))</f>
        <v/>
      </c>
      <c r="E68" s="31">
        <f>IF($B68="","",IFERROR(AVERAGE(M68:Q68),"-"))</f>
        <v/>
      </c>
      <c r="F68" s="31">
        <f>IF($B68="","",IFERROR(AVERAGE(R68:V68),"-"))</f>
        <v/>
      </c>
      <c r="G68" s="31">
        <f>IF($B68="","",IFERROR(AVERAGE(W68:AA68),"-"))</f>
        <v/>
      </c>
      <c r="H68" s="31">
        <f>IF($B68="","",IFERROR(AVERAGE(AB68:AF68),"-"))</f>
        <v/>
      </c>
      <c r="I68" s="31">
        <f>IF($B68="","",IFERROR(AVERAGE(M68:AF68),"-"))</f>
        <v/>
      </c>
      <c r="J68" s="13">
        <f>IF($B68="","",IF('Registro por Sessão'!$G324="","","S1 D: "&amp;'Registro por Sessão'!$G324&amp;CHAR(10))&amp;IF('Registro por Sessão'!$K324="","","S1 F: "&amp;'Registro por Sessão'!$K324&amp;CHAR(10))&amp;IF('Registro por Sessão'!$O324="","","S1 C: "&amp;'Registro por Sessão'!$O324&amp;CHAR(10))&amp;IF('Registro por Sessão'!$S324="","","S1 P: "&amp;'Registro por Sessão'!$S324&amp;CHAR(10))&amp;IF('Registro por Sessão'!$G325="","","S2 D: "&amp;'Registro por Sessão'!$G325&amp;CHAR(10))&amp;IF('Registro por Sessão'!$K325="","","S2 F: "&amp;'Registro por Sessão'!$K325&amp;CHAR(10))&amp;IF('Registro por Sessão'!$O325="","","S2 C: "&amp;'Registro por Sessão'!$O325&amp;CHAR(10))&amp;IF('Registro por Sessão'!$S325="","","S2 P: "&amp;'Registro por Sessão'!$S325&amp;CHAR(10))&amp;IF('Registro por Sessão'!$G326="","","S3 D: "&amp;'Registro por Sessão'!$G326&amp;CHAR(10))&amp;IF('Registro por Sessão'!$K326="","","S3 F: "&amp;'Registro por Sessão'!$K326&amp;CHAR(10))&amp;IF('Registro por Sessão'!$O326="","","S3 C: "&amp;'Registro por Sessão'!$O326&amp;CHAR(10))&amp;IF('Registro por Sessão'!$S326="","","S3 P: "&amp;'Registro por Sessão'!$S326&amp;CHAR(10))&amp;IF('Registro por Sessão'!$G327="","","S4 D: "&amp;'Registro por Sessão'!$G327&amp;CHAR(10))&amp;IF('Registro por Sessão'!$K327="","","S4 F: "&amp;'Registro por Sessão'!$K327&amp;CHAR(10))&amp;IF('Registro por Sessão'!$O327="","","S4 C: "&amp;'Registro por Sessão'!$O327&amp;CHAR(10))&amp;IF('Registro por Sessão'!$S327="","","S4 P: "&amp;'Registro por Sessão'!$S327&amp;CHAR(10))&amp;IF('Registro por Sessão'!$G328="","","S5 D: "&amp;'Registro por Sessão'!$G328&amp;CHAR(10))&amp;IF('Registro por Sessão'!$K328="","","S5 F: "&amp;'Registro por Sessão'!$K328&amp;CHAR(10))&amp;IF('Registro por Sessão'!$O328="","","S5 C: "&amp;'Registro por Sessão'!$O328&amp;CHAR(10))&amp;IF('Registro por Sessão'!$S328="","","S5 P: "&amp;'Registro por Sessão'!$S328&amp;CHAR(10)))</f>
        <v/>
      </c>
      <c r="K68" s="13">
        <f>IF($B68="","",IF('Registro por Sessão'!$W324="","","S1: "&amp;'Registro por Sessão'!$W324&amp;CHAR(10))&amp;IF('Registro por Sessão'!$X324="","","S1 obs: "&amp;'Registro por Sessão'!$X324&amp;CHAR(10))&amp;IF('Registro por Sessão'!$W325="","","S2: "&amp;'Registro por Sessão'!$W325&amp;CHAR(10))&amp;IF('Registro por Sessão'!$X325="","","S2 obs: "&amp;'Registro por Sessão'!$X325&amp;CHAR(10))&amp;IF('Registro por Sessão'!$W326="","","S3: "&amp;'Registro por Sessão'!$W326&amp;CHAR(10))&amp;IF('Registro por Sessão'!$X326="","","S3 obs: "&amp;'Registro por Sessão'!$X326&amp;CHAR(10))&amp;IF('Registro por Sessão'!$W327="","","S4: "&amp;'Registro por Sessão'!$W327&amp;CHAR(10))&amp;IF('Registro por Sessão'!$X327="","","S4 obs: "&amp;'Registro por Sessão'!$X327&amp;CHAR(10))&amp;IF('Registro por Sessão'!$W328="","","S5: "&amp;'Registro por Sessão'!$W328&amp;CHAR(10))&amp;IF('Registro por Sessão'!$X328="","","S5 obs: "&amp;'Registro por Sessão'!$X328&amp;CHAR(10)))</f>
        <v/>
      </c>
      <c r="L68" s="2" t="n"/>
      <c r="M68" s="6">
        <f>IF(ISNUMBER('Registro por Sessão'!$J324),'Registro por Sessão'!$J324,"")</f>
        <v/>
      </c>
      <c r="N68" s="6">
        <f>IF(ISNUMBER('Registro por Sessão'!$J325),'Registro por Sessão'!$J325,"")</f>
        <v/>
      </c>
      <c r="O68" s="6">
        <f>IF(ISNUMBER('Registro por Sessão'!$J326),'Registro por Sessão'!$J326,"")</f>
        <v/>
      </c>
      <c r="P68" s="6">
        <f>IF(ISNUMBER('Registro por Sessão'!$J327),'Registro por Sessão'!$J327,"")</f>
        <v/>
      </c>
      <c r="Q68" s="6">
        <f>IF(ISNUMBER('Registro por Sessão'!$J328),'Registro por Sessão'!$J328,"")</f>
        <v/>
      </c>
      <c r="R68" s="6">
        <f>IF(ISNUMBER('Registro por Sessão'!$N324),'Registro por Sessão'!$N324,"")</f>
        <v/>
      </c>
      <c r="S68" s="6">
        <f>IF(ISNUMBER('Registro por Sessão'!$N325),'Registro por Sessão'!$N325,"")</f>
        <v/>
      </c>
      <c r="T68" s="6">
        <f>IF(ISNUMBER('Registro por Sessão'!$N326),'Registro por Sessão'!$N326,"")</f>
        <v/>
      </c>
      <c r="U68" s="6">
        <f>IF(ISNUMBER('Registro por Sessão'!$N327),'Registro por Sessão'!$N327,"")</f>
        <v/>
      </c>
      <c r="V68" s="6">
        <f>IF(ISNUMBER('Registro por Sessão'!$N328),'Registro por Sessão'!$N328,"")</f>
        <v/>
      </c>
      <c r="W68" s="6">
        <f>IF(ISNUMBER('Registro por Sessão'!$R324),'Registro por Sessão'!$R324,"")</f>
        <v/>
      </c>
      <c r="X68" s="6">
        <f>IF(ISNUMBER('Registro por Sessão'!$R325),'Registro por Sessão'!$R325,"")</f>
        <v/>
      </c>
      <c r="Y68" s="6">
        <f>IF(ISNUMBER('Registro por Sessão'!$R326),'Registro por Sessão'!$R326,"")</f>
        <v/>
      </c>
      <c r="Z68" s="6">
        <f>IF(ISNUMBER('Registro por Sessão'!$R327),'Registro por Sessão'!$R327,"")</f>
        <v/>
      </c>
      <c r="AA68" s="6">
        <f>IF(ISNUMBER('Registro por Sessão'!$R328),'Registro por Sessão'!$R328,"")</f>
        <v/>
      </c>
      <c r="AB68" s="6">
        <f>IF(ISNUMBER('Registro por Sessão'!$V324),'Registro por Sessão'!$V324,"")</f>
        <v/>
      </c>
      <c r="AC68" s="6">
        <f>IF(ISNUMBER('Registro por Sessão'!$V325),'Registro por Sessão'!$V325,"")</f>
        <v/>
      </c>
      <c r="AD68" s="6">
        <f>IF(ISNUMBER('Registro por Sessão'!$V326),'Registro por Sessão'!$V326,"")</f>
        <v/>
      </c>
      <c r="AE68" s="6">
        <f>IF(ISNUMBER('Registro por Sessão'!$V327),'Registro por Sessão'!$V327,"")</f>
        <v/>
      </c>
      <c r="AF68" s="6">
        <f>IF(ISNUMBER('Registro por Sessão'!$V328),'Registro por Sessão'!$V328,"")</f>
        <v/>
      </c>
    </row>
    <row r="69">
      <c r="A69" s="8">
        <f>IF($B69="","",ROW()-3)</f>
        <v/>
      </c>
      <c r="B69" s="9">
        <f>IF(Preenchimento!$B$75="","",Preenchimento!$B$75)</f>
        <v/>
      </c>
      <c r="C69" s="9">
        <f>IF($B69="","",IF(Preenchimento!$C$75="","-",Preenchimento!$C$75))</f>
        <v/>
      </c>
      <c r="D69" s="8">
        <f>IF($B69="","",IF(Preenchimento!$D$75="","-",Preenchimento!$D$75))</f>
        <v/>
      </c>
      <c r="E69" s="32">
        <f>IF($B69="","",IFERROR(AVERAGE(M69:Q69),"-"))</f>
        <v/>
      </c>
      <c r="F69" s="32">
        <f>IF($B69="","",IFERROR(AVERAGE(R69:V69),"-"))</f>
        <v/>
      </c>
      <c r="G69" s="32">
        <f>IF($B69="","",IFERROR(AVERAGE(W69:AA69),"-"))</f>
        <v/>
      </c>
      <c r="H69" s="32">
        <f>IF($B69="","",IFERROR(AVERAGE(AB69:AF69),"-"))</f>
        <v/>
      </c>
      <c r="I69" s="32">
        <f>IF($B69="","",IFERROR(AVERAGE(M69:AF69),"-"))</f>
        <v/>
      </c>
      <c r="J69" s="14">
        <f>IF($B69="","",IF('Registro por Sessão'!$G329="","","S1 D: "&amp;'Registro por Sessão'!$G329&amp;CHAR(10))&amp;IF('Registro por Sessão'!$K329="","","S1 F: "&amp;'Registro por Sessão'!$K329&amp;CHAR(10))&amp;IF('Registro por Sessão'!$O329="","","S1 C: "&amp;'Registro por Sessão'!$O329&amp;CHAR(10))&amp;IF('Registro por Sessão'!$S329="","","S1 P: "&amp;'Registro por Sessão'!$S329&amp;CHAR(10))&amp;IF('Registro por Sessão'!$G330="","","S2 D: "&amp;'Registro por Sessão'!$G330&amp;CHAR(10))&amp;IF('Registro por Sessão'!$K330="","","S2 F: "&amp;'Registro por Sessão'!$K330&amp;CHAR(10))&amp;IF('Registro por Sessão'!$O330="","","S2 C: "&amp;'Registro por Sessão'!$O330&amp;CHAR(10))&amp;IF('Registro por Sessão'!$S330="","","S2 P: "&amp;'Registro por Sessão'!$S330&amp;CHAR(10))&amp;IF('Registro por Sessão'!$G331="","","S3 D: "&amp;'Registro por Sessão'!$G331&amp;CHAR(10))&amp;IF('Registro por Sessão'!$K331="","","S3 F: "&amp;'Registro por Sessão'!$K331&amp;CHAR(10))&amp;IF('Registro por Sessão'!$O331="","","S3 C: "&amp;'Registro por Sessão'!$O331&amp;CHAR(10))&amp;IF('Registro por Sessão'!$S331="","","S3 P: "&amp;'Registro por Sessão'!$S331&amp;CHAR(10))&amp;IF('Registro por Sessão'!$G332="","","S4 D: "&amp;'Registro por Sessão'!$G332&amp;CHAR(10))&amp;IF('Registro por Sessão'!$K332="","","S4 F: "&amp;'Registro por Sessão'!$K332&amp;CHAR(10))&amp;IF('Registro por Sessão'!$O332="","","S4 C: "&amp;'Registro por Sessão'!$O332&amp;CHAR(10))&amp;IF('Registro por Sessão'!$S332="","","S4 P: "&amp;'Registro por Sessão'!$S332&amp;CHAR(10))&amp;IF('Registro por Sessão'!$G333="","","S5 D: "&amp;'Registro por Sessão'!$G333&amp;CHAR(10))&amp;IF('Registro por Sessão'!$K333="","","S5 F: "&amp;'Registro por Sessão'!$K333&amp;CHAR(10))&amp;IF('Registro por Sessão'!$O333="","","S5 C: "&amp;'Registro por Sessão'!$O333&amp;CHAR(10))&amp;IF('Registro por Sessão'!$S333="","","S5 P: "&amp;'Registro por Sessão'!$S333&amp;CHAR(10)))</f>
        <v/>
      </c>
      <c r="K69" s="14">
        <f>IF($B69="","",IF('Registro por Sessão'!$W329="","","S1: "&amp;'Registro por Sessão'!$W329&amp;CHAR(10))&amp;IF('Registro por Sessão'!$X329="","","S1 obs: "&amp;'Registro por Sessão'!$X329&amp;CHAR(10))&amp;IF('Registro por Sessão'!$W330="","","S2: "&amp;'Registro por Sessão'!$W330&amp;CHAR(10))&amp;IF('Registro por Sessão'!$X330="","","S2 obs: "&amp;'Registro por Sessão'!$X330&amp;CHAR(10))&amp;IF('Registro por Sessão'!$W331="","","S3: "&amp;'Registro por Sessão'!$W331&amp;CHAR(10))&amp;IF('Registro por Sessão'!$X331="","","S3 obs: "&amp;'Registro por Sessão'!$X331&amp;CHAR(10))&amp;IF('Registro por Sessão'!$W332="","","S4: "&amp;'Registro por Sessão'!$W332&amp;CHAR(10))&amp;IF('Registro por Sessão'!$X332="","","S4 obs: "&amp;'Registro por Sessão'!$X332&amp;CHAR(10))&amp;IF('Registro por Sessão'!$W333="","","S5: "&amp;'Registro por Sessão'!$W333&amp;CHAR(10))&amp;IF('Registro por Sessão'!$X333="","","S5 obs: "&amp;'Registro por Sessão'!$X333&amp;CHAR(10)))</f>
        <v/>
      </c>
      <c r="L69" s="2" t="n"/>
      <c r="M69" s="8">
        <f>IF(ISNUMBER('Registro por Sessão'!$J329),'Registro por Sessão'!$J329,"")</f>
        <v/>
      </c>
      <c r="N69" s="8">
        <f>IF(ISNUMBER('Registro por Sessão'!$J330),'Registro por Sessão'!$J330,"")</f>
        <v/>
      </c>
      <c r="O69" s="8">
        <f>IF(ISNUMBER('Registro por Sessão'!$J331),'Registro por Sessão'!$J331,"")</f>
        <v/>
      </c>
      <c r="P69" s="8">
        <f>IF(ISNUMBER('Registro por Sessão'!$J332),'Registro por Sessão'!$J332,"")</f>
        <v/>
      </c>
      <c r="Q69" s="8">
        <f>IF(ISNUMBER('Registro por Sessão'!$J333),'Registro por Sessão'!$J333,"")</f>
        <v/>
      </c>
      <c r="R69" s="8">
        <f>IF(ISNUMBER('Registro por Sessão'!$N329),'Registro por Sessão'!$N329,"")</f>
        <v/>
      </c>
      <c r="S69" s="8">
        <f>IF(ISNUMBER('Registro por Sessão'!$N330),'Registro por Sessão'!$N330,"")</f>
        <v/>
      </c>
      <c r="T69" s="8">
        <f>IF(ISNUMBER('Registro por Sessão'!$N331),'Registro por Sessão'!$N331,"")</f>
        <v/>
      </c>
      <c r="U69" s="8">
        <f>IF(ISNUMBER('Registro por Sessão'!$N332),'Registro por Sessão'!$N332,"")</f>
        <v/>
      </c>
      <c r="V69" s="8">
        <f>IF(ISNUMBER('Registro por Sessão'!$N333),'Registro por Sessão'!$N333,"")</f>
        <v/>
      </c>
      <c r="W69" s="8">
        <f>IF(ISNUMBER('Registro por Sessão'!$R329),'Registro por Sessão'!$R329,"")</f>
        <v/>
      </c>
      <c r="X69" s="8">
        <f>IF(ISNUMBER('Registro por Sessão'!$R330),'Registro por Sessão'!$R330,"")</f>
        <v/>
      </c>
      <c r="Y69" s="8">
        <f>IF(ISNUMBER('Registro por Sessão'!$R331),'Registro por Sessão'!$R331,"")</f>
        <v/>
      </c>
      <c r="Z69" s="8">
        <f>IF(ISNUMBER('Registro por Sessão'!$R332),'Registro por Sessão'!$R332,"")</f>
        <v/>
      </c>
      <c r="AA69" s="8">
        <f>IF(ISNUMBER('Registro por Sessão'!$R333),'Registro por Sessão'!$R333,"")</f>
        <v/>
      </c>
      <c r="AB69" s="8">
        <f>IF(ISNUMBER('Registro por Sessão'!$V329),'Registro por Sessão'!$V329,"")</f>
        <v/>
      </c>
      <c r="AC69" s="8">
        <f>IF(ISNUMBER('Registro por Sessão'!$V330),'Registro por Sessão'!$V330,"")</f>
        <v/>
      </c>
      <c r="AD69" s="8">
        <f>IF(ISNUMBER('Registro por Sessão'!$V331),'Registro por Sessão'!$V331,"")</f>
        <v/>
      </c>
      <c r="AE69" s="8">
        <f>IF(ISNUMBER('Registro por Sessão'!$V332),'Registro por Sessão'!$V332,"")</f>
        <v/>
      </c>
      <c r="AF69" s="8">
        <f>IF(ISNUMBER('Registro por Sessão'!$V333),'Registro por Sessão'!$V333,"")</f>
        <v/>
      </c>
    </row>
    <row r="70">
      <c r="A70" s="6">
        <f>IF($B70="","",ROW()-3)</f>
        <v/>
      </c>
      <c r="B70" s="7">
        <f>IF(Preenchimento!$B$76="","",Preenchimento!$B$76)</f>
        <v/>
      </c>
      <c r="C70" s="7">
        <f>IF($B70="","",IF(Preenchimento!$C$76="","-",Preenchimento!$C$76))</f>
        <v/>
      </c>
      <c r="D70" s="6">
        <f>IF($B70="","",IF(Preenchimento!$D$76="","-",Preenchimento!$D$76))</f>
        <v/>
      </c>
      <c r="E70" s="31">
        <f>IF($B70="","",IFERROR(AVERAGE(M70:Q70),"-"))</f>
        <v/>
      </c>
      <c r="F70" s="31">
        <f>IF($B70="","",IFERROR(AVERAGE(R70:V70),"-"))</f>
        <v/>
      </c>
      <c r="G70" s="31">
        <f>IF($B70="","",IFERROR(AVERAGE(W70:AA70),"-"))</f>
        <v/>
      </c>
      <c r="H70" s="31">
        <f>IF($B70="","",IFERROR(AVERAGE(AB70:AF70),"-"))</f>
        <v/>
      </c>
      <c r="I70" s="31">
        <f>IF($B70="","",IFERROR(AVERAGE(M70:AF70),"-"))</f>
        <v/>
      </c>
      <c r="J70" s="13">
        <f>IF($B70="","",IF('Registro por Sessão'!$G334="","","S1 D: "&amp;'Registro por Sessão'!$G334&amp;CHAR(10))&amp;IF('Registro por Sessão'!$K334="","","S1 F: "&amp;'Registro por Sessão'!$K334&amp;CHAR(10))&amp;IF('Registro por Sessão'!$O334="","","S1 C: "&amp;'Registro por Sessão'!$O334&amp;CHAR(10))&amp;IF('Registro por Sessão'!$S334="","","S1 P: "&amp;'Registro por Sessão'!$S334&amp;CHAR(10))&amp;IF('Registro por Sessão'!$G335="","","S2 D: "&amp;'Registro por Sessão'!$G335&amp;CHAR(10))&amp;IF('Registro por Sessão'!$K335="","","S2 F: "&amp;'Registro por Sessão'!$K335&amp;CHAR(10))&amp;IF('Registro por Sessão'!$O335="","","S2 C: "&amp;'Registro por Sessão'!$O335&amp;CHAR(10))&amp;IF('Registro por Sessão'!$S335="","","S2 P: "&amp;'Registro por Sessão'!$S335&amp;CHAR(10))&amp;IF('Registro por Sessão'!$G336="","","S3 D: "&amp;'Registro por Sessão'!$G336&amp;CHAR(10))&amp;IF('Registro por Sessão'!$K336="","","S3 F: "&amp;'Registro por Sessão'!$K336&amp;CHAR(10))&amp;IF('Registro por Sessão'!$O336="","","S3 C: "&amp;'Registro por Sessão'!$O336&amp;CHAR(10))&amp;IF('Registro por Sessão'!$S336="","","S3 P: "&amp;'Registro por Sessão'!$S336&amp;CHAR(10))&amp;IF('Registro por Sessão'!$G337="","","S4 D: "&amp;'Registro por Sessão'!$G337&amp;CHAR(10))&amp;IF('Registro por Sessão'!$K337="","","S4 F: "&amp;'Registro por Sessão'!$K337&amp;CHAR(10))&amp;IF('Registro por Sessão'!$O337="","","S4 C: "&amp;'Registro por Sessão'!$O337&amp;CHAR(10))&amp;IF('Registro por Sessão'!$S337="","","S4 P: "&amp;'Registro por Sessão'!$S337&amp;CHAR(10))&amp;IF('Registro por Sessão'!$G338="","","S5 D: "&amp;'Registro por Sessão'!$G338&amp;CHAR(10))&amp;IF('Registro por Sessão'!$K338="","","S5 F: "&amp;'Registro por Sessão'!$K338&amp;CHAR(10))&amp;IF('Registro por Sessão'!$O338="","","S5 C: "&amp;'Registro por Sessão'!$O338&amp;CHAR(10))&amp;IF('Registro por Sessão'!$S338="","","S5 P: "&amp;'Registro por Sessão'!$S338&amp;CHAR(10)))</f>
        <v/>
      </c>
      <c r="K70" s="13">
        <f>IF($B70="","",IF('Registro por Sessão'!$W334="","","S1: "&amp;'Registro por Sessão'!$W334&amp;CHAR(10))&amp;IF('Registro por Sessão'!$X334="","","S1 obs: "&amp;'Registro por Sessão'!$X334&amp;CHAR(10))&amp;IF('Registro por Sessão'!$W335="","","S2: "&amp;'Registro por Sessão'!$W335&amp;CHAR(10))&amp;IF('Registro por Sessão'!$X335="","","S2 obs: "&amp;'Registro por Sessão'!$X335&amp;CHAR(10))&amp;IF('Registro por Sessão'!$W336="","","S3: "&amp;'Registro por Sessão'!$W336&amp;CHAR(10))&amp;IF('Registro por Sessão'!$X336="","","S3 obs: "&amp;'Registro por Sessão'!$X336&amp;CHAR(10))&amp;IF('Registro por Sessão'!$W337="","","S4: "&amp;'Registro por Sessão'!$W337&amp;CHAR(10))&amp;IF('Registro por Sessão'!$X337="","","S4 obs: "&amp;'Registro por Sessão'!$X337&amp;CHAR(10))&amp;IF('Registro por Sessão'!$W338="","","S5: "&amp;'Registro por Sessão'!$W338&amp;CHAR(10))&amp;IF('Registro por Sessão'!$X338="","","S5 obs: "&amp;'Registro por Sessão'!$X338&amp;CHAR(10)))</f>
        <v/>
      </c>
      <c r="L70" s="2" t="n"/>
      <c r="M70" s="6">
        <f>IF(ISNUMBER('Registro por Sessão'!$J334),'Registro por Sessão'!$J334,"")</f>
        <v/>
      </c>
      <c r="N70" s="6">
        <f>IF(ISNUMBER('Registro por Sessão'!$J335),'Registro por Sessão'!$J335,"")</f>
        <v/>
      </c>
      <c r="O70" s="6">
        <f>IF(ISNUMBER('Registro por Sessão'!$J336),'Registro por Sessão'!$J336,"")</f>
        <v/>
      </c>
      <c r="P70" s="6">
        <f>IF(ISNUMBER('Registro por Sessão'!$J337),'Registro por Sessão'!$J337,"")</f>
        <v/>
      </c>
      <c r="Q70" s="6">
        <f>IF(ISNUMBER('Registro por Sessão'!$J338),'Registro por Sessão'!$J338,"")</f>
        <v/>
      </c>
      <c r="R70" s="6">
        <f>IF(ISNUMBER('Registro por Sessão'!$N334),'Registro por Sessão'!$N334,"")</f>
        <v/>
      </c>
      <c r="S70" s="6">
        <f>IF(ISNUMBER('Registro por Sessão'!$N335),'Registro por Sessão'!$N335,"")</f>
        <v/>
      </c>
      <c r="T70" s="6">
        <f>IF(ISNUMBER('Registro por Sessão'!$N336),'Registro por Sessão'!$N336,"")</f>
        <v/>
      </c>
      <c r="U70" s="6">
        <f>IF(ISNUMBER('Registro por Sessão'!$N337),'Registro por Sessão'!$N337,"")</f>
        <v/>
      </c>
      <c r="V70" s="6">
        <f>IF(ISNUMBER('Registro por Sessão'!$N338),'Registro por Sessão'!$N338,"")</f>
        <v/>
      </c>
      <c r="W70" s="6">
        <f>IF(ISNUMBER('Registro por Sessão'!$R334),'Registro por Sessão'!$R334,"")</f>
        <v/>
      </c>
      <c r="X70" s="6">
        <f>IF(ISNUMBER('Registro por Sessão'!$R335),'Registro por Sessão'!$R335,"")</f>
        <v/>
      </c>
      <c r="Y70" s="6">
        <f>IF(ISNUMBER('Registro por Sessão'!$R336),'Registro por Sessão'!$R336,"")</f>
        <v/>
      </c>
      <c r="Z70" s="6">
        <f>IF(ISNUMBER('Registro por Sessão'!$R337),'Registro por Sessão'!$R337,"")</f>
        <v/>
      </c>
      <c r="AA70" s="6">
        <f>IF(ISNUMBER('Registro por Sessão'!$R338),'Registro por Sessão'!$R338,"")</f>
        <v/>
      </c>
      <c r="AB70" s="6">
        <f>IF(ISNUMBER('Registro por Sessão'!$V334),'Registro por Sessão'!$V334,"")</f>
        <v/>
      </c>
      <c r="AC70" s="6">
        <f>IF(ISNUMBER('Registro por Sessão'!$V335),'Registro por Sessão'!$V335,"")</f>
        <v/>
      </c>
      <c r="AD70" s="6">
        <f>IF(ISNUMBER('Registro por Sessão'!$V336),'Registro por Sessão'!$V336,"")</f>
        <v/>
      </c>
      <c r="AE70" s="6">
        <f>IF(ISNUMBER('Registro por Sessão'!$V337),'Registro por Sessão'!$V337,"")</f>
        <v/>
      </c>
      <c r="AF70" s="6">
        <f>IF(ISNUMBER('Registro por Sessão'!$V338),'Registro por Sessão'!$V338,"")</f>
        <v/>
      </c>
    </row>
    <row r="71">
      <c r="A71" s="8">
        <f>IF($B71="","",ROW()-3)</f>
        <v/>
      </c>
      <c r="B71" s="9">
        <f>IF(Preenchimento!$B$77="","",Preenchimento!$B$77)</f>
        <v/>
      </c>
      <c r="C71" s="9">
        <f>IF($B71="","",IF(Preenchimento!$C$77="","-",Preenchimento!$C$77))</f>
        <v/>
      </c>
      <c r="D71" s="8">
        <f>IF($B71="","",IF(Preenchimento!$D$77="","-",Preenchimento!$D$77))</f>
        <v/>
      </c>
      <c r="E71" s="32">
        <f>IF($B71="","",IFERROR(AVERAGE(M71:Q71),"-"))</f>
        <v/>
      </c>
      <c r="F71" s="32">
        <f>IF($B71="","",IFERROR(AVERAGE(R71:V71),"-"))</f>
        <v/>
      </c>
      <c r="G71" s="32">
        <f>IF($B71="","",IFERROR(AVERAGE(W71:AA71),"-"))</f>
        <v/>
      </c>
      <c r="H71" s="32">
        <f>IF($B71="","",IFERROR(AVERAGE(AB71:AF71),"-"))</f>
        <v/>
      </c>
      <c r="I71" s="32">
        <f>IF($B71="","",IFERROR(AVERAGE(M71:AF71),"-"))</f>
        <v/>
      </c>
      <c r="J71" s="14">
        <f>IF($B71="","",IF('Registro por Sessão'!$G339="","","S1 D: "&amp;'Registro por Sessão'!$G339&amp;CHAR(10))&amp;IF('Registro por Sessão'!$K339="","","S1 F: "&amp;'Registro por Sessão'!$K339&amp;CHAR(10))&amp;IF('Registro por Sessão'!$O339="","","S1 C: "&amp;'Registro por Sessão'!$O339&amp;CHAR(10))&amp;IF('Registro por Sessão'!$S339="","","S1 P: "&amp;'Registro por Sessão'!$S339&amp;CHAR(10))&amp;IF('Registro por Sessão'!$G340="","","S2 D: "&amp;'Registro por Sessão'!$G340&amp;CHAR(10))&amp;IF('Registro por Sessão'!$K340="","","S2 F: "&amp;'Registro por Sessão'!$K340&amp;CHAR(10))&amp;IF('Registro por Sessão'!$O340="","","S2 C: "&amp;'Registro por Sessão'!$O340&amp;CHAR(10))&amp;IF('Registro por Sessão'!$S340="","","S2 P: "&amp;'Registro por Sessão'!$S340&amp;CHAR(10))&amp;IF('Registro por Sessão'!$G341="","","S3 D: "&amp;'Registro por Sessão'!$G341&amp;CHAR(10))&amp;IF('Registro por Sessão'!$K341="","","S3 F: "&amp;'Registro por Sessão'!$K341&amp;CHAR(10))&amp;IF('Registro por Sessão'!$O341="","","S3 C: "&amp;'Registro por Sessão'!$O341&amp;CHAR(10))&amp;IF('Registro por Sessão'!$S341="","","S3 P: "&amp;'Registro por Sessão'!$S341&amp;CHAR(10))&amp;IF('Registro por Sessão'!$G342="","","S4 D: "&amp;'Registro por Sessão'!$G342&amp;CHAR(10))&amp;IF('Registro por Sessão'!$K342="","","S4 F: "&amp;'Registro por Sessão'!$K342&amp;CHAR(10))&amp;IF('Registro por Sessão'!$O342="","","S4 C: "&amp;'Registro por Sessão'!$O342&amp;CHAR(10))&amp;IF('Registro por Sessão'!$S342="","","S4 P: "&amp;'Registro por Sessão'!$S342&amp;CHAR(10))&amp;IF('Registro por Sessão'!$G343="","","S5 D: "&amp;'Registro por Sessão'!$G343&amp;CHAR(10))&amp;IF('Registro por Sessão'!$K343="","","S5 F: "&amp;'Registro por Sessão'!$K343&amp;CHAR(10))&amp;IF('Registro por Sessão'!$O343="","","S5 C: "&amp;'Registro por Sessão'!$O343&amp;CHAR(10))&amp;IF('Registro por Sessão'!$S343="","","S5 P: "&amp;'Registro por Sessão'!$S343&amp;CHAR(10)))</f>
        <v/>
      </c>
      <c r="K71" s="14">
        <f>IF($B71="","",IF('Registro por Sessão'!$W339="","","S1: "&amp;'Registro por Sessão'!$W339&amp;CHAR(10))&amp;IF('Registro por Sessão'!$X339="","","S1 obs: "&amp;'Registro por Sessão'!$X339&amp;CHAR(10))&amp;IF('Registro por Sessão'!$W340="","","S2: "&amp;'Registro por Sessão'!$W340&amp;CHAR(10))&amp;IF('Registro por Sessão'!$X340="","","S2 obs: "&amp;'Registro por Sessão'!$X340&amp;CHAR(10))&amp;IF('Registro por Sessão'!$W341="","","S3: "&amp;'Registro por Sessão'!$W341&amp;CHAR(10))&amp;IF('Registro por Sessão'!$X341="","","S3 obs: "&amp;'Registro por Sessão'!$X341&amp;CHAR(10))&amp;IF('Registro por Sessão'!$W342="","","S4: "&amp;'Registro por Sessão'!$W342&amp;CHAR(10))&amp;IF('Registro por Sessão'!$X342="","","S4 obs: "&amp;'Registro por Sessão'!$X342&amp;CHAR(10))&amp;IF('Registro por Sessão'!$W343="","","S5: "&amp;'Registro por Sessão'!$W343&amp;CHAR(10))&amp;IF('Registro por Sessão'!$X343="","","S5 obs: "&amp;'Registro por Sessão'!$X343&amp;CHAR(10)))</f>
        <v/>
      </c>
      <c r="L71" s="2" t="n"/>
      <c r="M71" s="8">
        <f>IF(ISNUMBER('Registro por Sessão'!$J339),'Registro por Sessão'!$J339,"")</f>
        <v/>
      </c>
      <c r="N71" s="8">
        <f>IF(ISNUMBER('Registro por Sessão'!$J340),'Registro por Sessão'!$J340,"")</f>
        <v/>
      </c>
      <c r="O71" s="8">
        <f>IF(ISNUMBER('Registro por Sessão'!$J341),'Registro por Sessão'!$J341,"")</f>
        <v/>
      </c>
      <c r="P71" s="8">
        <f>IF(ISNUMBER('Registro por Sessão'!$J342),'Registro por Sessão'!$J342,"")</f>
        <v/>
      </c>
      <c r="Q71" s="8">
        <f>IF(ISNUMBER('Registro por Sessão'!$J343),'Registro por Sessão'!$J343,"")</f>
        <v/>
      </c>
      <c r="R71" s="8">
        <f>IF(ISNUMBER('Registro por Sessão'!$N339),'Registro por Sessão'!$N339,"")</f>
        <v/>
      </c>
      <c r="S71" s="8">
        <f>IF(ISNUMBER('Registro por Sessão'!$N340),'Registro por Sessão'!$N340,"")</f>
        <v/>
      </c>
      <c r="T71" s="8">
        <f>IF(ISNUMBER('Registro por Sessão'!$N341),'Registro por Sessão'!$N341,"")</f>
        <v/>
      </c>
      <c r="U71" s="8">
        <f>IF(ISNUMBER('Registro por Sessão'!$N342),'Registro por Sessão'!$N342,"")</f>
        <v/>
      </c>
      <c r="V71" s="8">
        <f>IF(ISNUMBER('Registro por Sessão'!$N343),'Registro por Sessão'!$N343,"")</f>
        <v/>
      </c>
      <c r="W71" s="8">
        <f>IF(ISNUMBER('Registro por Sessão'!$R339),'Registro por Sessão'!$R339,"")</f>
        <v/>
      </c>
      <c r="X71" s="8">
        <f>IF(ISNUMBER('Registro por Sessão'!$R340),'Registro por Sessão'!$R340,"")</f>
        <v/>
      </c>
      <c r="Y71" s="8">
        <f>IF(ISNUMBER('Registro por Sessão'!$R341),'Registro por Sessão'!$R341,"")</f>
        <v/>
      </c>
      <c r="Z71" s="8">
        <f>IF(ISNUMBER('Registro por Sessão'!$R342),'Registro por Sessão'!$R342,"")</f>
        <v/>
      </c>
      <c r="AA71" s="8">
        <f>IF(ISNUMBER('Registro por Sessão'!$R343),'Registro por Sessão'!$R343,"")</f>
        <v/>
      </c>
      <c r="AB71" s="8">
        <f>IF(ISNUMBER('Registro por Sessão'!$V339),'Registro por Sessão'!$V339,"")</f>
        <v/>
      </c>
      <c r="AC71" s="8">
        <f>IF(ISNUMBER('Registro por Sessão'!$V340),'Registro por Sessão'!$V340,"")</f>
        <v/>
      </c>
      <c r="AD71" s="8">
        <f>IF(ISNUMBER('Registro por Sessão'!$V341),'Registro por Sessão'!$V341,"")</f>
        <v/>
      </c>
      <c r="AE71" s="8">
        <f>IF(ISNUMBER('Registro por Sessão'!$V342),'Registro por Sessão'!$V342,"")</f>
        <v/>
      </c>
      <c r="AF71" s="8">
        <f>IF(ISNUMBER('Registro por Sessão'!$V343),'Registro por Sessão'!$V343,"")</f>
        <v/>
      </c>
    </row>
    <row r="72">
      <c r="A72" s="6">
        <f>IF($B72="","",ROW()-3)</f>
        <v/>
      </c>
      <c r="B72" s="7">
        <f>IF(Preenchimento!$B$78="","",Preenchimento!$B$78)</f>
        <v/>
      </c>
      <c r="C72" s="7">
        <f>IF($B72="","",IF(Preenchimento!$C$78="","-",Preenchimento!$C$78))</f>
        <v/>
      </c>
      <c r="D72" s="6">
        <f>IF($B72="","",IF(Preenchimento!$D$78="","-",Preenchimento!$D$78))</f>
        <v/>
      </c>
      <c r="E72" s="31">
        <f>IF($B72="","",IFERROR(AVERAGE(M72:Q72),"-"))</f>
        <v/>
      </c>
      <c r="F72" s="31">
        <f>IF($B72="","",IFERROR(AVERAGE(R72:V72),"-"))</f>
        <v/>
      </c>
      <c r="G72" s="31">
        <f>IF($B72="","",IFERROR(AVERAGE(W72:AA72),"-"))</f>
        <v/>
      </c>
      <c r="H72" s="31">
        <f>IF($B72="","",IFERROR(AVERAGE(AB72:AF72),"-"))</f>
        <v/>
      </c>
      <c r="I72" s="31">
        <f>IF($B72="","",IFERROR(AVERAGE(M72:AF72),"-"))</f>
        <v/>
      </c>
      <c r="J72" s="13">
        <f>IF($B72="","",IF('Registro por Sessão'!$G344="","","S1 D: "&amp;'Registro por Sessão'!$G344&amp;CHAR(10))&amp;IF('Registro por Sessão'!$K344="","","S1 F: "&amp;'Registro por Sessão'!$K344&amp;CHAR(10))&amp;IF('Registro por Sessão'!$O344="","","S1 C: "&amp;'Registro por Sessão'!$O344&amp;CHAR(10))&amp;IF('Registro por Sessão'!$S344="","","S1 P: "&amp;'Registro por Sessão'!$S344&amp;CHAR(10))&amp;IF('Registro por Sessão'!$G345="","","S2 D: "&amp;'Registro por Sessão'!$G345&amp;CHAR(10))&amp;IF('Registro por Sessão'!$K345="","","S2 F: "&amp;'Registro por Sessão'!$K345&amp;CHAR(10))&amp;IF('Registro por Sessão'!$O345="","","S2 C: "&amp;'Registro por Sessão'!$O345&amp;CHAR(10))&amp;IF('Registro por Sessão'!$S345="","","S2 P: "&amp;'Registro por Sessão'!$S345&amp;CHAR(10))&amp;IF('Registro por Sessão'!$G346="","","S3 D: "&amp;'Registro por Sessão'!$G346&amp;CHAR(10))&amp;IF('Registro por Sessão'!$K346="","","S3 F: "&amp;'Registro por Sessão'!$K346&amp;CHAR(10))&amp;IF('Registro por Sessão'!$O346="","","S3 C: "&amp;'Registro por Sessão'!$O346&amp;CHAR(10))&amp;IF('Registro por Sessão'!$S346="","","S3 P: "&amp;'Registro por Sessão'!$S346&amp;CHAR(10))&amp;IF('Registro por Sessão'!$G347="","","S4 D: "&amp;'Registro por Sessão'!$G347&amp;CHAR(10))&amp;IF('Registro por Sessão'!$K347="","","S4 F: "&amp;'Registro por Sessão'!$K347&amp;CHAR(10))&amp;IF('Registro por Sessão'!$O347="","","S4 C: "&amp;'Registro por Sessão'!$O347&amp;CHAR(10))&amp;IF('Registro por Sessão'!$S347="","","S4 P: "&amp;'Registro por Sessão'!$S347&amp;CHAR(10))&amp;IF('Registro por Sessão'!$G348="","","S5 D: "&amp;'Registro por Sessão'!$G348&amp;CHAR(10))&amp;IF('Registro por Sessão'!$K348="","","S5 F: "&amp;'Registro por Sessão'!$K348&amp;CHAR(10))&amp;IF('Registro por Sessão'!$O348="","","S5 C: "&amp;'Registro por Sessão'!$O348&amp;CHAR(10))&amp;IF('Registro por Sessão'!$S348="","","S5 P: "&amp;'Registro por Sessão'!$S348&amp;CHAR(10)))</f>
        <v/>
      </c>
      <c r="K72" s="13">
        <f>IF($B72="","",IF('Registro por Sessão'!$W344="","","S1: "&amp;'Registro por Sessão'!$W344&amp;CHAR(10))&amp;IF('Registro por Sessão'!$X344="","","S1 obs: "&amp;'Registro por Sessão'!$X344&amp;CHAR(10))&amp;IF('Registro por Sessão'!$W345="","","S2: "&amp;'Registro por Sessão'!$W345&amp;CHAR(10))&amp;IF('Registro por Sessão'!$X345="","","S2 obs: "&amp;'Registro por Sessão'!$X345&amp;CHAR(10))&amp;IF('Registro por Sessão'!$W346="","","S3: "&amp;'Registro por Sessão'!$W346&amp;CHAR(10))&amp;IF('Registro por Sessão'!$X346="","","S3 obs: "&amp;'Registro por Sessão'!$X346&amp;CHAR(10))&amp;IF('Registro por Sessão'!$W347="","","S4: "&amp;'Registro por Sessão'!$W347&amp;CHAR(10))&amp;IF('Registro por Sessão'!$X347="","","S4 obs: "&amp;'Registro por Sessão'!$X347&amp;CHAR(10))&amp;IF('Registro por Sessão'!$W348="","","S5: "&amp;'Registro por Sessão'!$W348&amp;CHAR(10))&amp;IF('Registro por Sessão'!$X348="","","S5 obs: "&amp;'Registro por Sessão'!$X348&amp;CHAR(10)))</f>
        <v/>
      </c>
      <c r="L72" s="2" t="n"/>
      <c r="M72" s="6">
        <f>IF(ISNUMBER('Registro por Sessão'!$J344),'Registro por Sessão'!$J344,"")</f>
        <v/>
      </c>
      <c r="N72" s="6">
        <f>IF(ISNUMBER('Registro por Sessão'!$J345),'Registro por Sessão'!$J345,"")</f>
        <v/>
      </c>
      <c r="O72" s="6">
        <f>IF(ISNUMBER('Registro por Sessão'!$J346),'Registro por Sessão'!$J346,"")</f>
        <v/>
      </c>
      <c r="P72" s="6">
        <f>IF(ISNUMBER('Registro por Sessão'!$J347),'Registro por Sessão'!$J347,"")</f>
        <v/>
      </c>
      <c r="Q72" s="6">
        <f>IF(ISNUMBER('Registro por Sessão'!$J348),'Registro por Sessão'!$J348,"")</f>
        <v/>
      </c>
      <c r="R72" s="6">
        <f>IF(ISNUMBER('Registro por Sessão'!$N344),'Registro por Sessão'!$N344,"")</f>
        <v/>
      </c>
      <c r="S72" s="6">
        <f>IF(ISNUMBER('Registro por Sessão'!$N345),'Registro por Sessão'!$N345,"")</f>
        <v/>
      </c>
      <c r="T72" s="6">
        <f>IF(ISNUMBER('Registro por Sessão'!$N346),'Registro por Sessão'!$N346,"")</f>
        <v/>
      </c>
      <c r="U72" s="6">
        <f>IF(ISNUMBER('Registro por Sessão'!$N347),'Registro por Sessão'!$N347,"")</f>
        <v/>
      </c>
      <c r="V72" s="6">
        <f>IF(ISNUMBER('Registro por Sessão'!$N348),'Registro por Sessão'!$N348,"")</f>
        <v/>
      </c>
      <c r="W72" s="6">
        <f>IF(ISNUMBER('Registro por Sessão'!$R344),'Registro por Sessão'!$R344,"")</f>
        <v/>
      </c>
      <c r="X72" s="6">
        <f>IF(ISNUMBER('Registro por Sessão'!$R345),'Registro por Sessão'!$R345,"")</f>
        <v/>
      </c>
      <c r="Y72" s="6">
        <f>IF(ISNUMBER('Registro por Sessão'!$R346),'Registro por Sessão'!$R346,"")</f>
        <v/>
      </c>
      <c r="Z72" s="6">
        <f>IF(ISNUMBER('Registro por Sessão'!$R347),'Registro por Sessão'!$R347,"")</f>
        <v/>
      </c>
      <c r="AA72" s="6">
        <f>IF(ISNUMBER('Registro por Sessão'!$R348),'Registro por Sessão'!$R348,"")</f>
        <v/>
      </c>
      <c r="AB72" s="6">
        <f>IF(ISNUMBER('Registro por Sessão'!$V344),'Registro por Sessão'!$V344,"")</f>
        <v/>
      </c>
      <c r="AC72" s="6">
        <f>IF(ISNUMBER('Registro por Sessão'!$V345),'Registro por Sessão'!$V345,"")</f>
        <v/>
      </c>
      <c r="AD72" s="6">
        <f>IF(ISNUMBER('Registro por Sessão'!$V346),'Registro por Sessão'!$V346,"")</f>
        <v/>
      </c>
      <c r="AE72" s="6">
        <f>IF(ISNUMBER('Registro por Sessão'!$V347),'Registro por Sessão'!$V347,"")</f>
        <v/>
      </c>
      <c r="AF72" s="6">
        <f>IF(ISNUMBER('Registro por Sessão'!$V348),'Registro por Sessão'!$V348,"")</f>
        <v/>
      </c>
    </row>
    <row r="73">
      <c r="A73" s="8">
        <f>IF($B73="","",ROW()-3)</f>
        <v/>
      </c>
      <c r="B73" s="9">
        <f>IF(Preenchimento!$B$79="","",Preenchimento!$B$79)</f>
        <v/>
      </c>
      <c r="C73" s="9">
        <f>IF($B73="","",IF(Preenchimento!$C$79="","-",Preenchimento!$C$79))</f>
        <v/>
      </c>
      <c r="D73" s="8">
        <f>IF($B73="","",IF(Preenchimento!$D$79="","-",Preenchimento!$D$79))</f>
        <v/>
      </c>
      <c r="E73" s="32">
        <f>IF($B73="","",IFERROR(AVERAGE(M73:Q73),"-"))</f>
        <v/>
      </c>
      <c r="F73" s="32">
        <f>IF($B73="","",IFERROR(AVERAGE(R73:V73),"-"))</f>
        <v/>
      </c>
      <c r="G73" s="32">
        <f>IF($B73="","",IFERROR(AVERAGE(W73:AA73),"-"))</f>
        <v/>
      </c>
      <c r="H73" s="32">
        <f>IF($B73="","",IFERROR(AVERAGE(AB73:AF73),"-"))</f>
        <v/>
      </c>
      <c r="I73" s="32">
        <f>IF($B73="","",IFERROR(AVERAGE(M73:AF73),"-"))</f>
        <v/>
      </c>
      <c r="J73" s="14">
        <f>IF($B73="","",IF('Registro por Sessão'!$G349="","","S1 D: "&amp;'Registro por Sessão'!$G349&amp;CHAR(10))&amp;IF('Registro por Sessão'!$K349="","","S1 F: "&amp;'Registro por Sessão'!$K349&amp;CHAR(10))&amp;IF('Registro por Sessão'!$O349="","","S1 C: "&amp;'Registro por Sessão'!$O349&amp;CHAR(10))&amp;IF('Registro por Sessão'!$S349="","","S1 P: "&amp;'Registro por Sessão'!$S349&amp;CHAR(10))&amp;IF('Registro por Sessão'!$G350="","","S2 D: "&amp;'Registro por Sessão'!$G350&amp;CHAR(10))&amp;IF('Registro por Sessão'!$K350="","","S2 F: "&amp;'Registro por Sessão'!$K350&amp;CHAR(10))&amp;IF('Registro por Sessão'!$O350="","","S2 C: "&amp;'Registro por Sessão'!$O350&amp;CHAR(10))&amp;IF('Registro por Sessão'!$S350="","","S2 P: "&amp;'Registro por Sessão'!$S350&amp;CHAR(10))&amp;IF('Registro por Sessão'!$G351="","","S3 D: "&amp;'Registro por Sessão'!$G351&amp;CHAR(10))&amp;IF('Registro por Sessão'!$K351="","","S3 F: "&amp;'Registro por Sessão'!$K351&amp;CHAR(10))&amp;IF('Registro por Sessão'!$O351="","","S3 C: "&amp;'Registro por Sessão'!$O351&amp;CHAR(10))&amp;IF('Registro por Sessão'!$S351="","","S3 P: "&amp;'Registro por Sessão'!$S351&amp;CHAR(10))&amp;IF('Registro por Sessão'!$G352="","","S4 D: "&amp;'Registro por Sessão'!$G352&amp;CHAR(10))&amp;IF('Registro por Sessão'!$K352="","","S4 F: "&amp;'Registro por Sessão'!$K352&amp;CHAR(10))&amp;IF('Registro por Sessão'!$O352="","","S4 C: "&amp;'Registro por Sessão'!$O352&amp;CHAR(10))&amp;IF('Registro por Sessão'!$S352="","","S4 P: "&amp;'Registro por Sessão'!$S352&amp;CHAR(10))&amp;IF('Registro por Sessão'!$G353="","","S5 D: "&amp;'Registro por Sessão'!$G353&amp;CHAR(10))&amp;IF('Registro por Sessão'!$K353="","","S5 F: "&amp;'Registro por Sessão'!$K353&amp;CHAR(10))&amp;IF('Registro por Sessão'!$O353="","","S5 C: "&amp;'Registro por Sessão'!$O353&amp;CHAR(10))&amp;IF('Registro por Sessão'!$S353="","","S5 P: "&amp;'Registro por Sessão'!$S353&amp;CHAR(10)))</f>
        <v/>
      </c>
      <c r="K73" s="14">
        <f>IF($B73="","",IF('Registro por Sessão'!$W349="","","S1: "&amp;'Registro por Sessão'!$W349&amp;CHAR(10))&amp;IF('Registro por Sessão'!$X349="","","S1 obs: "&amp;'Registro por Sessão'!$X349&amp;CHAR(10))&amp;IF('Registro por Sessão'!$W350="","","S2: "&amp;'Registro por Sessão'!$W350&amp;CHAR(10))&amp;IF('Registro por Sessão'!$X350="","","S2 obs: "&amp;'Registro por Sessão'!$X350&amp;CHAR(10))&amp;IF('Registro por Sessão'!$W351="","","S3: "&amp;'Registro por Sessão'!$W351&amp;CHAR(10))&amp;IF('Registro por Sessão'!$X351="","","S3 obs: "&amp;'Registro por Sessão'!$X351&amp;CHAR(10))&amp;IF('Registro por Sessão'!$W352="","","S4: "&amp;'Registro por Sessão'!$W352&amp;CHAR(10))&amp;IF('Registro por Sessão'!$X352="","","S4 obs: "&amp;'Registro por Sessão'!$X352&amp;CHAR(10))&amp;IF('Registro por Sessão'!$W353="","","S5: "&amp;'Registro por Sessão'!$W353&amp;CHAR(10))&amp;IF('Registro por Sessão'!$X353="","","S5 obs: "&amp;'Registro por Sessão'!$X353&amp;CHAR(10)))</f>
        <v/>
      </c>
      <c r="L73" s="2" t="n"/>
      <c r="M73" s="8">
        <f>IF(ISNUMBER('Registro por Sessão'!$J349),'Registro por Sessão'!$J349,"")</f>
        <v/>
      </c>
      <c r="N73" s="8">
        <f>IF(ISNUMBER('Registro por Sessão'!$J350),'Registro por Sessão'!$J350,"")</f>
        <v/>
      </c>
      <c r="O73" s="8">
        <f>IF(ISNUMBER('Registro por Sessão'!$J351),'Registro por Sessão'!$J351,"")</f>
        <v/>
      </c>
      <c r="P73" s="8">
        <f>IF(ISNUMBER('Registro por Sessão'!$J352),'Registro por Sessão'!$J352,"")</f>
        <v/>
      </c>
      <c r="Q73" s="8">
        <f>IF(ISNUMBER('Registro por Sessão'!$J353),'Registro por Sessão'!$J353,"")</f>
        <v/>
      </c>
      <c r="R73" s="8">
        <f>IF(ISNUMBER('Registro por Sessão'!$N349),'Registro por Sessão'!$N349,"")</f>
        <v/>
      </c>
      <c r="S73" s="8">
        <f>IF(ISNUMBER('Registro por Sessão'!$N350),'Registro por Sessão'!$N350,"")</f>
        <v/>
      </c>
      <c r="T73" s="8">
        <f>IF(ISNUMBER('Registro por Sessão'!$N351),'Registro por Sessão'!$N351,"")</f>
        <v/>
      </c>
      <c r="U73" s="8">
        <f>IF(ISNUMBER('Registro por Sessão'!$N352),'Registro por Sessão'!$N352,"")</f>
        <v/>
      </c>
      <c r="V73" s="8">
        <f>IF(ISNUMBER('Registro por Sessão'!$N353),'Registro por Sessão'!$N353,"")</f>
        <v/>
      </c>
      <c r="W73" s="8">
        <f>IF(ISNUMBER('Registro por Sessão'!$R349),'Registro por Sessão'!$R349,"")</f>
        <v/>
      </c>
      <c r="X73" s="8">
        <f>IF(ISNUMBER('Registro por Sessão'!$R350),'Registro por Sessão'!$R350,"")</f>
        <v/>
      </c>
      <c r="Y73" s="8">
        <f>IF(ISNUMBER('Registro por Sessão'!$R351),'Registro por Sessão'!$R351,"")</f>
        <v/>
      </c>
      <c r="Z73" s="8">
        <f>IF(ISNUMBER('Registro por Sessão'!$R352),'Registro por Sessão'!$R352,"")</f>
        <v/>
      </c>
      <c r="AA73" s="8">
        <f>IF(ISNUMBER('Registro por Sessão'!$R353),'Registro por Sessão'!$R353,"")</f>
        <v/>
      </c>
      <c r="AB73" s="8">
        <f>IF(ISNUMBER('Registro por Sessão'!$V349),'Registro por Sessão'!$V349,"")</f>
        <v/>
      </c>
      <c r="AC73" s="8">
        <f>IF(ISNUMBER('Registro por Sessão'!$V350),'Registro por Sessão'!$V350,"")</f>
        <v/>
      </c>
      <c r="AD73" s="8">
        <f>IF(ISNUMBER('Registro por Sessão'!$V351),'Registro por Sessão'!$V351,"")</f>
        <v/>
      </c>
      <c r="AE73" s="8">
        <f>IF(ISNUMBER('Registro por Sessão'!$V352),'Registro por Sessão'!$V352,"")</f>
        <v/>
      </c>
      <c r="AF73" s="8">
        <f>IF(ISNUMBER('Registro por Sessão'!$V353),'Registro por Sessão'!$V353,"")</f>
        <v/>
      </c>
    </row>
    <row r="74">
      <c r="A74" s="6">
        <f>IF($B74="","",ROW()-3)</f>
        <v/>
      </c>
      <c r="B74" s="7">
        <f>IF(Preenchimento!$B$80="","",Preenchimento!$B$80)</f>
        <v/>
      </c>
      <c r="C74" s="7">
        <f>IF($B74="","",IF(Preenchimento!$C$80="","-",Preenchimento!$C$80))</f>
        <v/>
      </c>
      <c r="D74" s="6">
        <f>IF($B74="","",IF(Preenchimento!$D$80="","-",Preenchimento!$D$80))</f>
        <v/>
      </c>
      <c r="E74" s="31">
        <f>IF($B74="","",IFERROR(AVERAGE(M74:Q74),"-"))</f>
        <v/>
      </c>
      <c r="F74" s="31">
        <f>IF($B74="","",IFERROR(AVERAGE(R74:V74),"-"))</f>
        <v/>
      </c>
      <c r="G74" s="31">
        <f>IF($B74="","",IFERROR(AVERAGE(W74:AA74),"-"))</f>
        <v/>
      </c>
      <c r="H74" s="31">
        <f>IF($B74="","",IFERROR(AVERAGE(AB74:AF74),"-"))</f>
        <v/>
      </c>
      <c r="I74" s="31">
        <f>IF($B74="","",IFERROR(AVERAGE(M74:AF74),"-"))</f>
        <v/>
      </c>
      <c r="J74" s="13">
        <f>IF($B74="","",IF('Registro por Sessão'!$G354="","","S1 D: "&amp;'Registro por Sessão'!$G354&amp;CHAR(10))&amp;IF('Registro por Sessão'!$K354="","","S1 F: "&amp;'Registro por Sessão'!$K354&amp;CHAR(10))&amp;IF('Registro por Sessão'!$O354="","","S1 C: "&amp;'Registro por Sessão'!$O354&amp;CHAR(10))&amp;IF('Registro por Sessão'!$S354="","","S1 P: "&amp;'Registro por Sessão'!$S354&amp;CHAR(10))&amp;IF('Registro por Sessão'!$G355="","","S2 D: "&amp;'Registro por Sessão'!$G355&amp;CHAR(10))&amp;IF('Registro por Sessão'!$K355="","","S2 F: "&amp;'Registro por Sessão'!$K355&amp;CHAR(10))&amp;IF('Registro por Sessão'!$O355="","","S2 C: "&amp;'Registro por Sessão'!$O355&amp;CHAR(10))&amp;IF('Registro por Sessão'!$S355="","","S2 P: "&amp;'Registro por Sessão'!$S355&amp;CHAR(10))&amp;IF('Registro por Sessão'!$G356="","","S3 D: "&amp;'Registro por Sessão'!$G356&amp;CHAR(10))&amp;IF('Registro por Sessão'!$K356="","","S3 F: "&amp;'Registro por Sessão'!$K356&amp;CHAR(10))&amp;IF('Registro por Sessão'!$O356="","","S3 C: "&amp;'Registro por Sessão'!$O356&amp;CHAR(10))&amp;IF('Registro por Sessão'!$S356="","","S3 P: "&amp;'Registro por Sessão'!$S356&amp;CHAR(10))&amp;IF('Registro por Sessão'!$G357="","","S4 D: "&amp;'Registro por Sessão'!$G357&amp;CHAR(10))&amp;IF('Registro por Sessão'!$K357="","","S4 F: "&amp;'Registro por Sessão'!$K357&amp;CHAR(10))&amp;IF('Registro por Sessão'!$O357="","","S4 C: "&amp;'Registro por Sessão'!$O357&amp;CHAR(10))&amp;IF('Registro por Sessão'!$S357="","","S4 P: "&amp;'Registro por Sessão'!$S357&amp;CHAR(10))&amp;IF('Registro por Sessão'!$G358="","","S5 D: "&amp;'Registro por Sessão'!$G358&amp;CHAR(10))&amp;IF('Registro por Sessão'!$K358="","","S5 F: "&amp;'Registro por Sessão'!$K358&amp;CHAR(10))&amp;IF('Registro por Sessão'!$O358="","","S5 C: "&amp;'Registro por Sessão'!$O358&amp;CHAR(10))&amp;IF('Registro por Sessão'!$S358="","","S5 P: "&amp;'Registro por Sessão'!$S358&amp;CHAR(10)))</f>
        <v/>
      </c>
      <c r="K74" s="13">
        <f>IF($B74="","",IF('Registro por Sessão'!$W354="","","S1: "&amp;'Registro por Sessão'!$W354&amp;CHAR(10))&amp;IF('Registro por Sessão'!$X354="","","S1 obs: "&amp;'Registro por Sessão'!$X354&amp;CHAR(10))&amp;IF('Registro por Sessão'!$W355="","","S2: "&amp;'Registro por Sessão'!$W355&amp;CHAR(10))&amp;IF('Registro por Sessão'!$X355="","","S2 obs: "&amp;'Registro por Sessão'!$X355&amp;CHAR(10))&amp;IF('Registro por Sessão'!$W356="","","S3: "&amp;'Registro por Sessão'!$W356&amp;CHAR(10))&amp;IF('Registro por Sessão'!$X356="","","S3 obs: "&amp;'Registro por Sessão'!$X356&amp;CHAR(10))&amp;IF('Registro por Sessão'!$W357="","","S4: "&amp;'Registro por Sessão'!$W357&amp;CHAR(10))&amp;IF('Registro por Sessão'!$X357="","","S4 obs: "&amp;'Registro por Sessão'!$X357&amp;CHAR(10))&amp;IF('Registro por Sessão'!$W358="","","S5: "&amp;'Registro por Sessão'!$W358&amp;CHAR(10))&amp;IF('Registro por Sessão'!$X358="","","S5 obs: "&amp;'Registro por Sessão'!$X358&amp;CHAR(10)))</f>
        <v/>
      </c>
      <c r="L74" s="2" t="n"/>
      <c r="M74" s="6">
        <f>IF(ISNUMBER('Registro por Sessão'!$J354),'Registro por Sessão'!$J354,"")</f>
        <v/>
      </c>
      <c r="N74" s="6">
        <f>IF(ISNUMBER('Registro por Sessão'!$J355),'Registro por Sessão'!$J355,"")</f>
        <v/>
      </c>
      <c r="O74" s="6">
        <f>IF(ISNUMBER('Registro por Sessão'!$J356),'Registro por Sessão'!$J356,"")</f>
        <v/>
      </c>
      <c r="P74" s="6">
        <f>IF(ISNUMBER('Registro por Sessão'!$J357),'Registro por Sessão'!$J357,"")</f>
        <v/>
      </c>
      <c r="Q74" s="6">
        <f>IF(ISNUMBER('Registro por Sessão'!$J358),'Registro por Sessão'!$J358,"")</f>
        <v/>
      </c>
      <c r="R74" s="6">
        <f>IF(ISNUMBER('Registro por Sessão'!$N354),'Registro por Sessão'!$N354,"")</f>
        <v/>
      </c>
      <c r="S74" s="6">
        <f>IF(ISNUMBER('Registro por Sessão'!$N355),'Registro por Sessão'!$N355,"")</f>
        <v/>
      </c>
      <c r="T74" s="6">
        <f>IF(ISNUMBER('Registro por Sessão'!$N356),'Registro por Sessão'!$N356,"")</f>
        <v/>
      </c>
      <c r="U74" s="6">
        <f>IF(ISNUMBER('Registro por Sessão'!$N357),'Registro por Sessão'!$N357,"")</f>
        <v/>
      </c>
      <c r="V74" s="6">
        <f>IF(ISNUMBER('Registro por Sessão'!$N358),'Registro por Sessão'!$N358,"")</f>
        <v/>
      </c>
      <c r="W74" s="6">
        <f>IF(ISNUMBER('Registro por Sessão'!$R354),'Registro por Sessão'!$R354,"")</f>
        <v/>
      </c>
      <c r="X74" s="6">
        <f>IF(ISNUMBER('Registro por Sessão'!$R355),'Registro por Sessão'!$R355,"")</f>
        <v/>
      </c>
      <c r="Y74" s="6">
        <f>IF(ISNUMBER('Registro por Sessão'!$R356),'Registro por Sessão'!$R356,"")</f>
        <v/>
      </c>
      <c r="Z74" s="6">
        <f>IF(ISNUMBER('Registro por Sessão'!$R357),'Registro por Sessão'!$R357,"")</f>
        <v/>
      </c>
      <c r="AA74" s="6">
        <f>IF(ISNUMBER('Registro por Sessão'!$R358),'Registro por Sessão'!$R358,"")</f>
        <v/>
      </c>
      <c r="AB74" s="6">
        <f>IF(ISNUMBER('Registro por Sessão'!$V354),'Registro por Sessão'!$V354,"")</f>
        <v/>
      </c>
      <c r="AC74" s="6">
        <f>IF(ISNUMBER('Registro por Sessão'!$V355),'Registro por Sessão'!$V355,"")</f>
        <v/>
      </c>
      <c r="AD74" s="6">
        <f>IF(ISNUMBER('Registro por Sessão'!$V356),'Registro por Sessão'!$V356,"")</f>
        <v/>
      </c>
      <c r="AE74" s="6">
        <f>IF(ISNUMBER('Registro por Sessão'!$V357),'Registro por Sessão'!$V357,"")</f>
        <v/>
      </c>
      <c r="AF74" s="6">
        <f>IF(ISNUMBER('Registro por Sessão'!$V358),'Registro por Sessão'!$V358,"")</f>
        <v/>
      </c>
    </row>
    <row r="75">
      <c r="A75" s="8">
        <f>IF($B75="","",ROW()-3)</f>
        <v/>
      </c>
      <c r="B75" s="9">
        <f>IF(Preenchimento!$B$81="","",Preenchimento!$B$81)</f>
        <v/>
      </c>
      <c r="C75" s="9">
        <f>IF($B75="","",IF(Preenchimento!$C$81="","-",Preenchimento!$C$81))</f>
        <v/>
      </c>
      <c r="D75" s="8">
        <f>IF($B75="","",IF(Preenchimento!$D$81="","-",Preenchimento!$D$81))</f>
        <v/>
      </c>
      <c r="E75" s="32">
        <f>IF($B75="","",IFERROR(AVERAGE(M75:Q75),"-"))</f>
        <v/>
      </c>
      <c r="F75" s="32">
        <f>IF($B75="","",IFERROR(AVERAGE(R75:V75),"-"))</f>
        <v/>
      </c>
      <c r="G75" s="32">
        <f>IF($B75="","",IFERROR(AVERAGE(W75:AA75),"-"))</f>
        <v/>
      </c>
      <c r="H75" s="32">
        <f>IF($B75="","",IFERROR(AVERAGE(AB75:AF75),"-"))</f>
        <v/>
      </c>
      <c r="I75" s="32">
        <f>IF($B75="","",IFERROR(AVERAGE(M75:AF75),"-"))</f>
        <v/>
      </c>
      <c r="J75" s="14">
        <f>IF($B75="","",IF('Registro por Sessão'!$G359="","","S1 D: "&amp;'Registro por Sessão'!$G359&amp;CHAR(10))&amp;IF('Registro por Sessão'!$K359="","","S1 F: "&amp;'Registro por Sessão'!$K359&amp;CHAR(10))&amp;IF('Registro por Sessão'!$O359="","","S1 C: "&amp;'Registro por Sessão'!$O359&amp;CHAR(10))&amp;IF('Registro por Sessão'!$S359="","","S1 P: "&amp;'Registro por Sessão'!$S359&amp;CHAR(10))&amp;IF('Registro por Sessão'!$G360="","","S2 D: "&amp;'Registro por Sessão'!$G360&amp;CHAR(10))&amp;IF('Registro por Sessão'!$K360="","","S2 F: "&amp;'Registro por Sessão'!$K360&amp;CHAR(10))&amp;IF('Registro por Sessão'!$O360="","","S2 C: "&amp;'Registro por Sessão'!$O360&amp;CHAR(10))&amp;IF('Registro por Sessão'!$S360="","","S2 P: "&amp;'Registro por Sessão'!$S360&amp;CHAR(10))&amp;IF('Registro por Sessão'!$G361="","","S3 D: "&amp;'Registro por Sessão'!$G361&amp;CHAR(10))&amp;IF('Registro por Sessão'!$K361="","","S3 F: "&amp;'Registro por Sessão'!$K361&amp;CHAR(10))&amp;IF('Registro por Sessão'!$O361="","","S3 C: "&amp;'Registro por Sessão'!$O361&amp;CHAR(10))&amp;IF('Registro por Sessão'!$S361="","","S3 P: "&amp;'Registro por Sessão'!$S361&amp;CHAR(10))&amp;IF('Registro por Sessão'!$G362="","","S4 D: "&amp;'Registro por Sessão'!$G362&amp;CHAR(10))&amp;IF('Registro por Sessão'!$K362="","","S4 F: "&amp;'Registro por Sessão'!$K362&amp;CHAR(10))&amp;IF('Registro por Sessão'!$O362="","","S4 C: "&amp;'Registro por Sessão'!$O362&amp;CHAR(10))&amp;IF('Registro por Sessão'!$S362="","","S4 P: "&amp;'Registro por Sessão'!$S362&amp;CHAR(10))&amp;IF('Registro por Sessão'!$G363="","","S5 D: "&amp;'Registro por Sessão'!$G363&amp;CHAR(10))&amp;IF('Registro por Sessão'!$K363="","","S5 F: "&amp;'Registro por Sessão'!$K363&amp;CHAR(10))&amp;IF('Registro por Sessão'!$O363="","","S5 C: "&amp;'Registro por Sessão'!$O363&amp;CHAR(10))&amp;IF('Registro por Sessão'!$S363="","","S5 P: "&amp;'Registro por Sessão'!$S363&amp;CHAR(10)))</f>
        <v/>
      </c>
      <c r="K75" s="14">
        <f>IF($B75="","",IF('Registro por Sessão'!$W359="","","S1: "&amp;'Registro por Sessão'!$W359&amp;CHAR(10))&amp;IF('Registro por Sessão'!$X359="","","S1 obs: "&amp;'Registro por Sessão'!$X359&amp;CHAR(10))&amp;IF('Registro por Sessão'!$W360="","","S2: "&amp;'Registro por Sessão'!$W360&amp;CHAR(10))&amp;IF('Registro por Sessão'!$X360="","","S2 obs: "&amp;'Registro por Sessão'!$X360&amp;CHAR(10))&amp;IF('Registro por Sessão'!$W361="","","S3: "&amp;'Registro por Sessão'!$W361&amp;CHAR(10))&amp;IF('Registro por Sessão'!$X361="","","S3 obs: "&amp;'Registro por Sessão'!$X361&amp;CHAR(10))&amp;IF('Registro por Sessão'!$W362="","","S4: "&amp;'Registro por Sessão'!$W362&amp;CHAR(10))&amp;IF('Registro por Sessão'!$X362="","","S4 obs: "&amp;'Registro por Sessão'!$X362&amp;CHAR(10))&amp;IF('Registro por Sessão'!$W363="","","S5: "&amp;'Registro por Sessão'!$W363&amp;CHAR(10))&amp;IF('Registro por Sessão'!$X363="","","S5 obs: "&amp;'Registro por Sessão'!$X363&amp;CHAR(10)))</f>
        <v/>
      </c>
      <c r="L75" s="2" t="n"/>
      <c r="M75" s="8">
        <f>IF(ISNUMBER('Registro por Sessão'!$J359),'Registro por Sessão'!$J359,"")</f>
        <v/>
      </c>
      <c r="N75" s="8">
        <f>IF(ISNUMBER('Registro por Sessão'!$J360),'Registro por Sessão'!$J360,"")</f>
        <v/>
      </c>
      <c r="O75" s="8">
        <f>IF(ISNUMBER('Registro por Sessão'!$J361),'Registro por Sessão'!$J361,"")</f>
        <v/>
      </c>
      <c r="P75" s="8">
        <f>IF(ISNUMBER('Registro por Sessão'!$J362),'Registro por Sessão'!$J362,"")</f>
        <v/>
      </c>
      <c r="Q75" s="8">
        <f>IF(ISNUMBER('Registro por Sessão'!$J363),'Registro por Sessão'!$J363,"")</f>
        <v/>
      </c>
      <c r="R75" s="8">
        <f>IF(ISNUMBER('Registro por Sessão'!$N359),'Registro por Sessão'!$N359,"")</f>
        <v/>
      </c>
      <c r="S75" s="8">
        <f>IF(ISNUMBER('Registro por Sessão'!$N360),'Registro por Sessão'!$N360,"")</f>
        <v/>
      </c>
      <c r="T75" s="8">
        <f>IF(ISNUMBER('Registro por Sessão'!$N361),'Registro por Sessão'!$N361,"")</f>
        <v/>
      </c>
      <c r="U75" s="8">
        <f>IF(ISNUMBER('Registro por Sessão'!$N362),'Registro por Sessão'!$N362,"")</f>
        <v/>
      </c>
      <c r="V75" s="8">
        <f>IF(ISNUMBER('Registro por Sessão'!$N363),'Registro por Sessão'!$N363,"")</f>
        <v/>
      </c>
      <c r="W75" s="8">
        <f>IF(ISNUMBER('Registro por Sessão'!$R359),'Registro por Sessão'!$R359,"")</f>
        <v/>
      </c>
      <c r="X75" s="8">
        <f>IF(ISNUMBER('Registro por Sessão'!$R360),'Registro por Sessão'!$R360,"")</f>
        <v/>
      </c>
      <c r="Y75" s="8">
        <f>IF(ISNUMBER('Registro por Sessão'!$R361),'Registro por Sessão'!$R361,"")</f>
        <v/>
      </c>
      <c r="Z75" s="8">
        <f>IF(ISNUMBER('Registro por Sessão'!$R362),'Registro por Sessão'!$R362,"")</f>
        <v/>
      </c>
      <c r="AA75" s="8">
        <f>IF(ISNUMBER('Registro por Sessão'!$R363),'Registro por Sessão'!$R363,"")</f>
        <v/>
      </c>
      <c r="AB75" s="8">
        <f>IF(ISNUMBER('Registro por Sessão'!$V359),'Registro por Sessão'!$V359,"")</f>
        <v/>
      </c>
      <c r="AC75" s="8">
        <f>IF(ISNUMBER('Registro por Sessão'!$V360),'Registro por Sessão'!$V360,"")</f>
        <v/>
      </c>
      <c r="AD75" s="8">
        <f>IF(ISNUMBER('Registro por Sessão'!$V361),'Registro por Sessão'!$V361,"")</f>
        <v/>
      </c>
      <c r="AE75" s="8">
        <f>IF(ISNUMBER('Registro por Sessão'!$V362),'Registro por Sessão'!$V362,"")</f>
        <v/>
      </c>
      <c r="AF75" s="8">
        <f>IF(ISNUMBER('Registro por Sessão'!$V363),'Registro por Sessão'!$V363,"")</f>
        <v/>
      </c>
    </row>
    <row r="76">
      <c r="A76" s="6">
        <f>IF($B76="","",ROW()-3)</f>
        <v/>
      </c>
      <c r="B76" s="7">
        <f>IF(Preenchimento!$B$82="","",Preenchimento!$B$82)</f>
        <v/>
      </c>
      <c r="C76" s="7">
        <f>IF($B76="","",IF(Preenchimento!$C$82="","-",Preenchimento!$C$82))</f>
        <v/>
      </c>
      <c r="D76" s="6">
        <f>IF($B76="","",IF(Preenchimento!$D$82="","-",Preenchimento!$D$82))</f>
        <v/>
      </c>
      <c r="E76" s="31">
        <f>IF($B76="","",IFERROR(AVERAGE(M76:Q76),"-"))</f>
        <v/>
      </c>
      <c r="F76" s="31">
        <f>IF($B76="","",IFERROR(AVERAGE(R76:V76),"-"))</f>
        <v/>
      </c>
      <c r="G76" s="31">
        <f>IF($B76="","",IFERROR(AVERAGE(W76:AA76),"-"))</f>
        <v/>
      </c>
      <c r="H76" s="31">
        <f>IF($B76="","",IFERROR(AVERAGE(AB76:AF76),"-"))</f>
        <v/>
      </c>
      <c r="I76" s="31">
        <f>IF($B76="","",IFERROR(AVERAGE(M76:AF76),"-"))</f>
        <v/>
      </c>
      <c r="J76" s="13">
        <f>IF($B76="","",IF('Registro por Sessão'!$G364="","","S1 D: "&amp;'Registro por Sessão'!$G364&amp;CHAR(10))&amp;IF('Registro por Sessão'!$K364="","","S1 F: "&amp;'Registro por Sessão'!$K364&amp;CHAR(10))&amp;IF('Registro por Sessão'!$O364="","","S1 C: "&amp;'Registro por Sessão'!$O364&amp;CHAR(10))&amp;IF('Registro por Sessão'!$S364="","","S1 P: "&amp;'Registro por Sessão'!$S364&amp;CHAR(10))&amp;IF('Registro por Sessão'!$G365="","","S2 D: "&amp;'Registro por Sessão'!$G365&amp;CHAR(10))&amp;IF('Registro por Sessão'!$K365="","","S2 F: "&amp;'Registro por Sessão'!$K365&amp;CHAR(10))&amp;IF('Registro por Sessão'!$O365="","","S2 C: "&amp;'Registro por Sessão'!$O365&amp;CHAR(10))&amp;IF('Registro por Sessão'!$S365="","","S2 P: "&amp;'Registro por Sessão'!$S365&amp;CHAR(10))&amp;IF('Registro por Sessão'!$G366="","","S3 D: "&amp;'Registro por Sessão'!$G366&amp;CHAR(10))&amp;IF('Registro por Sessão'!$K366="","","S3 F: "&amp;'Registro por Sessão'!$K366&amp;CHAR(10))&amp;IF('Registro por Sessão'!$O366="","","S3 C: "&amp;'Registro por Sessão'!$O366&amp;CHAR(10))&amp;IF('Registro por Sessão'!$S366="","","S3 P: "&amp;'Registro por Sessão'!$S366&amp;CHAR(10))&amp;IF('Registro por Sessão'!$G367="","","S4 D: "&amp;'Registro por Sessão'!$G367&amp;CHAR(10))&amp;IF('Registro por Sessão'!$K367="","","S4 F: "&amp;'Registro por Sessão'!$K367&amp;CHAR(10))&amp;IF('Registro por Sessão'!$O367="","","S4 C: "&amp;'Registro por Sessão'!$O367&amp;CHAR(10))&amp;IF('Registro por Sessão'!$S367="","","S4 P: "&amp;'Registro por Sessão'!$S367&amp;CHAR(10))&amp;IF('Registro por Sessão'!$G368="","","S5 D: "&amp;'Registro por Sessão'!$G368&amp;CHAR(10))&amp;IF('Registro por Sessão'!$K368="","","S5 F: "&amp;'Registro por Sessão'!$K368&amp;CHAR(10))&amp;IF('Registro por Sessão'!$O368="","","S5 C: "&amp;'Registro por Sessão'!$O368&amp;CHAR(10))&amp;IF('Registro por Sessão'!$S368="","","S5 P: "&amp;'Registro por Sessão'!$S368&amp;CHAR(10)))</f>
        <v/>
      </c>
      <c r="K76" s="13">
        <f>IF($B76="","",IF('Registro por Sessão'!$W364="","","S1: "&amp;'Registro por Sessão'!$W364&amp;CHAR(10))&amp;IF('Registro por Sessão'!$X364="","","S1 obs: "&amp;'Registro por Sessão'!$X364&amp;CHAR(10))&amp;IF('Registro por Sessão'!$W365="","","S2: "&amp;'Registro por Sessão'!$W365&amp;CHAR(10))&amp;IF('Registro por Sessão'!$X365="","","S2 obs: "&amp;'Registro por Sessão'!$X365&amp;CHAR(10))&amp;IF('Registro por Sessão'!$W366="","","S3: "&amp;'Registro por Sessão'!$W366&amp;CHAR(10))&amp;IF('Registro por Sessão'!$X366="","","S3 obs: "&amp;'Registro por Sessão'!$X366&amp;CHAR(10))&amp;IF('Registro por Sessão'!$W367="","","S4: "&amp;'Registro por Sessão'!$W367&amp;CHAR(10))&amp;IF('Registro por Sessão'!$X367="","","S4 obs: "&amp;'Registro por Sessão'!$X367&amp;CHAR(10))&amp;IF('Registro por Sessão'!$W368="","","S5: "&amp;'Registro por Sessão'!$W368&amp;CHAR(10))&amp;IF('Registro por Sessão'!$X368="","","S5 obs: "&amp;'Registro por Sessão'!$X368&amp;CHAR(10)))</f>
        <v/>
      </c>
      <c r="L76" s="2" t="n"/>
      <c r="M76" s="6">
        <f>IF(ISNUMBER('Registro por Sessão'!$J364),'Registro por Sessão'!$J364,"")</f>
        <v/>
      </c>
      <c r="N76" s="6">
        <f>IF(ISNUMBER('Registro por Sessão'!$J365),'Registro por Sessão'!$J365,"")</f>
        <v/>
      </c>
      <c r="O76" s="6">
        <f>IF(ISNUMBER('Registro por Sessão'!$J366),'Registro por Sessão'!$J366,"")</f>
        <v/>
      </c>
      <c r="P76" s="6">
        <f>IF(ISNUMBER('Registro por Sessão'!$J367),'Registro por Sessão'!$J367,"")</f>
        <v/>
      </c>
      <c r="Q76" s="6">
        <f>IF(ISNUMBER('Registro por Sessão'!$J368),'Registro por Sessão'!$J368,"")</f>
        <v/>
      </c>
      <c r="R76" s="6">
        <f>IF(ISNUMBER('Registro por Sessão'!$N364),'Registro por Sessão'!$N364,"")</f>
        <v/>
      </c>
      <c r="S76" s="6">
        <f>IF(ISNUMBER('Registro por Sessão'!$N365),'Registro por Sessão'!$N365,"")</f>
        <v/>
      </c>
      <c r="T76" s="6">
        <f>IF(ISNUMBER('Registro por Sessão'!$N366),'Registro por Sessão'!$N366,"")</f>
        <v/>
      </c>
      <c r="U76" s="6">
        <f>IF(ISNUMBER('Registro por Sessão'!$N367),'Registro por Sessão'!$N367,"")</f>
        <v/>
      </c>
      <c r="V76" s="6">
        <f>IF(ISNUMBER('Registro por Sessão'!$N368),'Registro por Sessão'!$N368,"")</f>
        <v/>
      </c>
      <c r="W76" s="6">
        <f>IF(ISNUMBER('Registro por Sessão'!$R364),'Registro por Sessão'!$R364,"")</f>
        <v/>
      </c>
      <c r="X76" s="6">
        <f>IF(ISNUMBER('Registro por Sessão'!$R365),'Registro por Sessão'!$R365,"")</f>
        <v/>
      </c>
      <c r="Y76" s="6">
        <f>IF(ISNUMBER('Registro por Sessão'!$R366),'Registro por Sessão'!$R366,"")</f>
        <v/>
      </c>
      <c r="Z76" s="6">
        <f>IF(ISNUMBER('Registro por Sessão'!$R367),'Registro por Sessão'!$R367,"")</f>
        <v/>
      </c>
      <c r="AA76" s="6">
        <f>IF(ISNUMBER('Registro por Sessão'!$R368),'Registro por Sessão'!$R368,"")</f>
        <v/>
      </c>
      <c r="AB76" s="6">
        <f>IF(ISNUMBER('Registro por Sessão'!$V364),'Registro por Sessão'!$V364,"")</f>
        <v/>
      </c>
      <c r="AC76" s="6">
        <f>IF(ISNUMBER('Registro por Sessão'!$V365),'Registro por Sessão'!$V365,"")</f>
        <v/>
      </c>
      <c r="AD76" s="6">
        <f>IF(ISNUMBER('Registro por Sessão'!$V366),'Registro por Sessão'!$V366,"")</f>
        <v/>
      </c>
      <c r="AE76" s="6">
        <f>IF(ISNUMBER('Registro por Sessão'!$V367),'Registro por Sessão'!$V367,"")</f>
        <v/>
      </c>
      <c r="AF76" s="6">
        <f>IF(ISNUMBER('Registro por Sessão'!$V368),'Registro por Sessão'!$V368,"")</f>
        <v/>
      </c>
    </row>
    <row r="77">
      <c r="A77" s="8">
        <f>IF($B77="","",ROW()-3)</f>
        <v/>
      </c>
      <c r="B77" s="9">
        <f>IF(Preenchimento!$B$83="","",Preenchimento!$B$83)</f>
        <v/>
      </c>
      <c r="C77" s="9">
        <f>IF($B77="","",IF(Preenchimento!$C$83="","-",Preenchimento!$C$83))</f>
        <v/>
      </c>
      <c r="D77" s="8">
        <f>IF($B77="","",IF(Preenchimento!$D$83="","-",Preenchimento!$D$83))</f>
        <v/>
      </c>
      <c r="E77" s="32">
        <f>IF($B77="","",IFERROR(AVERAGE(M77:Q77),"-"))</f>
        <v/>
      </c>
      <c r="F77" s="32">
        <f>IF($B77="","",IFERROR(AVERAGE(R77:V77),"-"))</f>
        <v/>
      </c>
      <c r="G77" s="32">
        <f>IF($B77="","",IFERROR(AVERAGE(W77:AA77),"-"))</f>
        <v/>
      </c>
      <c r="H77" s="32">
        <f>IF($B77="","",IFERROR(AVERAGE(AB77:AF77),"-"))</f>
        <v/>
      </c>
      <c r="I77" s="32">
        <f>IF($B77="","",IFERROR(AVERAGE(M77:AF77),"-"))</f>
        <v/>
      </c>
      <c r="J77" s="14">
        <f>IF($B77="","",IF('Registro por Sessão'!$G369="","","S1 D: "&amp;'Registro por Sessão'!$G369&amp;CHAR(10))&amp;IF('Registro por Sessão'!$K369="","","S1 F: "&amp;'Registro por Sessão'!$K369&amp;CHAR(10))&amp;IF('Registro por Sessão'!$O369="","","S1 C: "&amp;'Registro por Sessão'!$O369&amp;CHAR(10))&amp;IF('Registro por Sessão'!$S369="","","S1 P: "&amp;'Registro por Sessão'!$S369&amp;CHAR(10))&amp;IF('Registro por Sessão'!$G370="","","S2 D: "&amp;'Registro por Sessão'!$G370&amp;CHAR(10))&amp;IF('Registro por Sessão'!$K370="","","S2 F: "&amp;'Registro por Sessão'!$K370&amp;CHAR(10))&amp;IF('Registro por Sessão'!$O370="","","S2 C: "&amp;'Registro por Sessão'!$O370&amp;CHAR(10))&amp;IF('Registro por Sessão'!$S370="","","S2 P: "&amp;'Registro por Sessão'!$S370&amp;CHAR(10))&amp;IF('Registro por Sessão'!$G371="","","S3 D: "&amp;'Registro por Sessão'!$G371&amp;CHAR(10))&amp;IF('Registro por Sessão'!$K371="","","S3 F: "&amp;'Registro por Sessão'!$K371&amp;CHAR(10))&amp;IF('Registro por Sessão'!$O371="","","S3 C: "&amp;'Registro por Sessão'!$O371&amp;CHAR(10))&amp;IF('Registro por Sessão'!$S371="","","S3 P: "&amp;'Registro por Sessão'!$S371&amp;CHAR(10))&amp;IF('Registro por Sessão'!$G372="","","S4 D: "&amp;'Registro por Sessão'!$G372&amp;CHAR(10))&amp;IF('Registro por Sessão'!$K372="","","S4 F: "&amp;'Registro por Sessão'!$K372&amp;CHAR(10))&amp;IF('Registro por Sessão'!$O372="","","S4 C: "&amp;'Registro por Sessão'!$O372&amp;CHAR(10))&amp;IF('Registro por Sessão'!$S372="","","S4 P: "&amp;'Registro por Sessão'!$S372&amp;CHAR(10))&amp;IF('Registro por Sessão'!$G373="","","S5 D: "&amp;'Registro por Sessão'!$G373&amp;CHAR(10))&amp;IF('Registro por Sessão'!$K373="","","S5 F: "&amp;'Registro por Sessão'!$K373&amp;CHAR(10))&amp;IF('Registro por Sessão'!$O373="","","S5 C: "&amp;'Registro por Sessão'!$O373&amp;CHAR(10))&amp;IF('Registro por Sessão'!$S373="","","S5 P: "&amp;'Registro por Sessão'!$S373&amp;CHAR(10)))</f>
        <v/>
      </c>
      <c r="K77" s="14">
        <f>IF($B77="","",IF('Registro por Sessão'!$W369="","","S1: "&amp;'Registro por Sessão'!$W369&amp;CHAR(10))&amp;IF('Registro por Sessão'!$X369="","","S1 obs: "&amp;'Registro por Sessão'!$X369&amp;CHAR(10))&amp;IF('Registro por Sessão'!$W370="","","S2: "&amp;'Registro por Sessão'!$W370&amp;CHAR(10))&amp;IF('Registro por Sessão'!$X370="","","S2 obs: "&amp;'Registro por Sessão'!$X370&amp;CHAR(10))&amp;IF('Registro por Sessão'!$W371="","","S3: "&amp;'Registro por Sessão'!$W371&amp;CHAR(10))&amp;IF('Registro por Sessão'!$X371="","","S3 obs: "&amp;'Registro por Sessão'!$X371&amp;CHAR(10))&amp;IF('Registro por Sessão'!$W372="","","S4: "&amp;'Registro por Sessão'!$W372&amp;CHAR(10))&amp;IF('Registro por Sessão'!$X372="","","S4 obs: "&amp;'Registro por Sessão'!$X372&amp;CHAR(10))&amp;IF('Registro por Sessão'!$W373="","","S5: "&amp;'Registro por Sessão'!$W373&amp;CHAR(10))&amp;IF('Registro por Sessão'!$X373="","","S5 obs: "&amp;'Registro por Sessão'!$X373&amp;CHAR(10)))</f>
        <v/>
      </c>
      <c r="L77" s="2" t="n"/>
      <c r="M77" s="8">
        <f>IF(ISNUMBER('Registro por Sessão'!$J369),'Registro por Sessão'!$J369,"")</f>
        <v/>
      </c>
      <c r="N77" s="8">
        <f>IF(ISNUMBER('Registro por Sessão'!$J370),'Registro por Sessão'!$J370,"")</f>
        <v/>
      </c>
      <c r="O77" s="8">
        <f>IF(ISNUMBER('Registro por Sessão'!$J371),'Registro por Sessão'!$J371,"")</f>
        <v/>
      </c>
      <c r="P77" s="8">
        <f>IF(ISNUMBER('Registro por Sessão'!$J372),'Registro por Sessão'!$J372,"")</f>
        <v/>
      </c>
      <c r="Q77" s="8">
        <f>IF(ISNUMBER('Registro por Sessão'!$J373),'Registro por Sessão'!$J373,"")</f>
        <v/>
      </c>
      <c r="R77" s="8">
        <f>IF(ISNUMBER('Registro por Sessão'!$N369),'Registro por Sessão'!$N369,"")</f>
        <v/>
      </c>
      <c r="S77" s="8">
        <f>IF(ISNUMBER('Registro por Sessão'!$N370),'Registro por Sessão'!$N370,"")</f>
        <v/>
      </c>
      <c r="T77" s="8">
        <f>IF(ISNUMBER('Registro por Sessão'!$N371),'Registro por Sessão'!$N371,"")</f>
        <v/>
      </c>
      <c r="U77" s="8">
        <f>IF(ISNUMBER('Registro por Sessão'!$N372),'Registro por Sessão'!$N372,"")</f>
        <v/>
      </c>
      <c r="V77" s="8">
        <f>IF(ISNUMBER('Registro por Sessão'!$N373),'Registro por Sessão'!$N373,"")</f>
        <v/>
      </c>
      <c r="W77" s="8">
        <f>IF(ISNUMBER('Registro por Sessão'!$R369),'Registro por Sessão'!$R369,"")</f>
        <v/>
      </c>
      <c r="X77" s="8">
        <f>IF(ISNUMBER('Registro por Sessão'!$R370),'Registro por Sessão'!$R370,"")</f>
        <v/>
      </c>
      <c r="Y77" s="8">
        <f>IF(ISNUMBER('Registro por Sessão'!$R371),'Registro por Sessão'!$R371,"")</f>
        <v/>
      </c>
      <c r="Z77" s="8">
        <f>IF(ISNUMBER('Registro por Sessão'!$R372),'Registro por Sessão'!$R372,"")</f>
        <v/>
      </c>
      <c r="AA77" s="8">
        <f>IF(ISNUMBER('Registro por Sessão'!$R373),'Registro por Sessão'!$R373,"")</f>
        <v/>
      </c>
      <c r="AB77" s="8">
        <f>IF(ISNUMBER('Registro por Sessão'!$V369),'Registro por Sessão'!$V369,"")</f>
        <v/>
      </c>
      <c r="AC77" s="8">
        <f>IF(ISNUMBER('Registro por Sessão'!$V370),'Registro por Sessão'!$V370,"")</f>
        <v/>
      </c>
      <c r="AD77" s="8">
        <f>IF(ISNUMBER('Registro por Sessão'!$V371),'Registro por Sessão'!$V371,"")</f>
        <v/>
      </c>
      <c r="AE77" s="8">
        <f>IF(ISNUMBER('Registro por Sessão'!$V372),'Registro por Sessão'!$V372,"")</f>
        <v/>
      </c>
      <c r="AF77" s="8">
        <f>IF(ISNUMBER('Registro por Sessão'!$V373),'Registro por Sessão'!$V373,"")</f>
        <v/>
      </c>
    </row>
    <row r="78">
      <c r="A78" s="6">
        <f>IF($B78="","",ROW()-3)</f>
        <v/>
      </c>
      <c r="B78" s="7">
        <f>IF(Preenchimento!$B$84="","",Preenchimento!$B$84)</f>
        <v/>
      </c>
      <c r="C78" s="7">
        <f>IF($B78="","",IF(Preenchimento!$C$84="","-",Preenchimento!$C$84))</f>
        <v/>
      </c>
      <c r="D78" s="6">
        <f>IF($B78="","",IF(Preenchimento!$D$84="","-",Preenchimento!$D$84))</f>
        <v/>
      </c>
      <c r="E78" s="31">
        <f>IF($B78="","",IFERROR(AVERAGE(M78:Q78),"-"))</f>
        <v/>
      </c>
      <c r="F78" s="31">
        <f>IF($B78="","",IFERROR(AVERAGE(R78:V78),"-"))</f>
        <v/>
      </c>
      <c r="G78" s="31">
        <f>IF($B78="","",IFERROR(AVERAGE(W78:AA78),"-"))</f>
        <v/>
      </c>
      <c r="H78" s="31">
        <f>IF($B78="","",IFERROR(AVERAGE(AB78:AF78),"-"))</f>
        <v/>
      </c>
      <c r="I78" s="31">
        <f>IF($B78="","",IFERROR(AVERAGE(M78:AF78),"-"))</f>
        <v/>
      </c>
      <c r="J78" s="13">
        <f>IF($B78="","",IF('Registro por Sessão'!$G374="","","S1 D: "&amp;'Registro por Sessão'!$G374&amp;CHAR(10))&amp;IF('Registro por Sessão'!$K374="","","S1 F: "&amp;'Registro por Sessão'!$K374&amp;CHAR(10))&amp;IF('Registro por Sessão'!$O374="","","S1 C: "&amp;'Registro por Sessão'!$O374&amp;CHAR(10))&amp;IF('Registro por Sessão'!$S374="","","S1 P: "&amp;'Registro por Sessão'!$S374&amp;CHAR(10))&amp;IF('Registro por Sessão'!$G375="","","S2 D: "&amp;'Registro por Sessão'!$G375&amp;CHAR(10))&amp;IF('Registro por Sessão'!$K375="","","S2 F: "&amp;'Registro por Sessão'!$K375&amp;CHAR(10))&amp;IF('Registro por Sessão'!$O375="","","S2 C: "&amp;'Registro por Sessão'!$O375&amp;CHAR(10))&amp;IF('Registro por Sessão'!$S375="","","S2 P: "&amp;'Registro por Sessão'!$S375&amp;CHAR(10))&amp;IF('Registro por Sessão'!$G376="","","S3 D: "&amp;'Registro por Sessão'!$G376&amp;CHAR(10))&amp;IF('Registro por Sessão'!$K376="","","S3 F: "&amp;'Registro por Sessão'!$K376&amp;CHAR(10))&amp;IF('Registro por Sessão'!$O376="","","S3 C: "&amp;'Registro por Sessão'!$O376&amp;CHAR(10))&amp;IF('Registro por Sessão'!$S376="","","S3 P: "&amp;'Registro por Sessão'!$S376&amp;CHAR(10))&amp;IF('Registro por Sessão'!$G377="","","S4 D: "&amp;'Registro por Sessão'!$G377&amp;CHAR(10))&amp;IF('Registro por Sessão'!$K377="","","S4 F: "&amp;'Registro por Sessão'!$K377&amp;CHAR(10))&amp;IF('Registro por Sessão'!$O377="","","S4 C: "&amp;'Registro por Sessão'!$O377&amp;CHAR(10))&amp;IF('Registro por Sessão'!$S377="","","S4 P: "&amp;'Registro por Sessão'!$S377&amp;CHAR(10))&amp;IF('Registro por Sessão'!$G378="","","S5 D: "&amp;'Registro por Sessão'!$G378&amp;CHAR(10))&amp;IF('Registro por Sessão'!$K378="","","S5 F: "&amp;'Registro por Sessão'!$K378&amp;CHAR(10))&amp;IF('Registro por Sessão'!$O378="","","S5 C: "&amp;'Registro por Sessão'!$O378&amp;CHAR(10))&amp;IF('Registro por Sessão'!$S378="","","S5 P: "&amp;'Registro por Sessão'!$S378&amp;CHAR(10)))</f>
        <v/>
      </c>
      <c r="K78" s="13">
        <f>IF($B78="","",IF('Registro por Sessão'!$W374="","","S1: "&amp;'Registro por Sessão'!$W374&amp;CHAR(10))&amp;IF('Registro por Sessão'!$X374="","","S1 obs: "&amp;'Registro por Sessão'!$X374&amp;CHAR(10))&amp;IF('Registro por Sessão'!$W375="","","S2: "&amp;'Registro por Sessão'!$W375&amp;CHAR(10))&amp;IF('Registro por Sessão'!$X375="","","S2 obs: "&amp;'Registro por Sessão'!$X375&amp;CHAR(10))&amp;IF('Registro por Sessão'!$W376="","","S3: "&amp;'Registro por Sessão'!$W376&amp;CHAR(10))&amp;IF('Registro por Sessão'!$X376="","","S3 obs: "&amp;'Registro por Sessão'!$X376&amp;CHAR(10))&amp;IF('Registro por Sessão'!$W377="","","S4: "&amp;'Registro por Sessão'!$W377&amp;CHAR(10))&amp;IF('Registro por Sessão'!$X377="","","S4 obs: "&amp;'Registro por Sessão'!$X377&amp;CHAR(10))&amp;IF('Registro por Sessão'!$W378="","","S5: "&amp;'Registro por Sessão'!$W378&amp;CHAR(10))&amp;IF('Registro por Sessão'!$X378="","","S5 obs: "&amp;'Registro por Sessão'!$X378&amp;CHAR(10)))</f>
        <v/>
      </c>
      <c r="L78" s="2" t="n"/>
      <c r="M78" s="6">
        <f>IF(ISNUMBER('Registro por Sessão'!$J374),'Registro por Sessão'!$J374,"")</f>
        <v/>
      </c>
      <c r="N78" s="6">
        <f>IF(ISNUMBER('Registro por Sessão'!$J375),'Registro por Sessão'!$J375,"")</f>
        <v/>
      </c>
      <c r="O78" s="6">
        <f>IF(ISNUMBER('Registro por Sessão'!$J376),'Registro por Sessão'!$J376,"")</f>
        <v/>
      </c>
      <c r="P78" s="6">
        <f>IF(ISNUMBER('Registro por Sessão'!$J377),'Registro por Sessão'!$J377,"")</f>
        <v/>
      </c>
      <c r="Q78" s="6">
        <f>IF(ISNUMBER('Registro por Sessão'!$J378),'Registro por Sessão'!$J378,"")</f>
        <v/>
      </c>
      <c r="R78" s="6">
        <f>IF(ISNUMBER('Registro por Sessão'!$N374),'Registro por Sessão'!$N374,"")</f>
        <v/>
      </c>
      <c r="S78" s="6">
        <f>IF(ISNUMBER('Registro por Sessão'!$N375),'Registro por Sessão'!$N375,"")</f>
        <v/>
      </c>
      <c r="T78" s="6">
        <f>IF(ISNUMBER('Registro por Sessão'!$N376),'Registro por Sessão'!$N376,"")</f>
        <v/>
      </c>
      <c r="U78" s="6">
        <f>IF(ISNUMBER('Registro por Sessão'!$N377),'Registro por Sessão'!$N377,"")</f>
        <v/>
      </c>
      <c r="V78" s="6">
        <f>IF(ISNUMBER('Registro por Sessão'!$N378),'Registro por Sessão'!$N378,"")</f>
        <v/>
      </c>
      <c r="W78" s="6">
        <f>IF(ISNUMBER('Registro por Sessão'!$R374),'Registro por Sessão'!$R374,"")</f>
        <v/>
      </c>
      <c r="X78" s="6">
        <f>IF(ISNUMBER('Registro por Sessão'!$R375),'Registro por Sessão'!$R375,"")</f>
        <v/>
      </c>
      <c r="Y78" s="6">
        <f>IF(ISNUMBER('Registro por Sessão'!$R376),'Registro por Sessão'!$R376,"")</f>
        <v/>
      </c>
      <c r="Z78" s="6">
        <f>IF(ISNUMBER('Registro por Sessão'!$R377),'Registro por Sessão'!$R377,"")</f>
        <v/>
      </c>
      <c r="AA78" s="6">
        <f>IF(ISNUMBER('Registro por Sessão'!$R378),'Registro por Sessão'!$R378,"")</f>
        <v/>
      </c>
      <c r="AB78" s="6">
        <f>IF(ISNUMBER('Registro por Sessão'!$V374),'Registro por Sessão'!$V374,"")</f>
        <v/>
      </c>
      <c r="AC78" s="6">
        <f>IF(ISNUMBER('Registro por Sessão'!$V375),'Registro por Sessão'!$V375,"")</f>
        <v/>
      </c>
      <c r="AD78" s="6">
        <f>IF(ISNUMBER('Registro por Sessão'!$V376),'Registro por Sessão'!$V376,"")</f>
        <v/>
      </c>
      <c r="AE78" s="6">
        <f>IF(ISNUMBER('Registro por Sessão'!$V377),'Registro por Sessão'!$V377,"")</f>
        <v/>
      </c>
      <c r="AF78" s="6">
        <f>IF(ISNUMBER('Registro por Sessão'!$V378),'Registro por Sessão'!$V378,"")</f>
        <v/>
      </c>
    </row>
    <row r="79">
      <c r="A79" s="8">
        <f>IF($B79="","",ROW()-3)</f>
        <v/>
      </c>
      <c r="B79" s="9">
        <f>IF(Preenchimento!$B$85="","",Preenchimento!$B$85)</f>
        <v/>
      </c>
      <c r="C79" s="9">
        <f>IF($B79="","",IF(Preenchimento!$C$85="","-",Preenchimento!$C$85))</f>
        <v/>
      </c>
      <c r="D79" s="8">
        <f>IF($B79="","",IF(Preenchimento!$D$85="","-",Preenchimento!$D$85))</f>
        <v/>
      </c>
      <c r="E79" s="32">
        <f>IF($B79="","",IFERROR(AVERAGE(M79:Q79),"-"))</f>
        <v/>
      </c>
      <c r="F79" s="32">
        <f>IF($B79="","",IFERROR(AVERAGE(R79:V79),"-"))</f>
        <v/>
      </c>
      <c r="G79" s="32">
        <f>IF($B79="","",IFERROR(AVERAGE(W79:AA79),"-"))</f>
        <v/>
      </c>
      <c r="H79" s="32">
        <f>IF($B79="","",IFERROR(AVERAGE(AB79:AF79),"-"))</f>
        <v/>
      </c>
      <c r="I79" s="32">
        <f>IF($B79="","",IFERROR(AVERAGE(M79:AF79),"-"))</f>
        <v/>
      </c>
      <c r="J79" s="14">
        <f>IF($B79="","",IF('Registro por Sessão'!$G379="","","S1 D: "&amp;'Registro por Sessão'!$G379&amp;CHAR(10))&amp;IF('Registro por Sessão'!$K379="","","S1 F: "&amp;'Registro por Sessão'!$K379&amp;CHAR(10))&amp;IF('Registro por Sessão'!$O379="","","S1 C: "&amp;'Registro por Sessão'!$O379&amp;CHAR(10))&amp;IF('Registro por Sessão'!$S379="","","S1 P: "&amp;'Registro por Sessão'!$S379&amp;CHAR(10))&amp;IF('Registro por Sessão'!$G380="","","S2 D: "&amp;'Registro por Sessão'!$G380&amp;CHAR(10))&amp;IF('Registro por Sessão'!$K380="","","S2 F: "&amp;'Registro por Sessão'!$K380&amp;CHAR(10))&amp;IF('Registro por Sessão'!$O380="","","S2 C: "&amp;'Registro por Sessão'!$O380&amp;CHAR(10))&amp;IF('Registro por Sessão'!$S380="","","S2 P: "&amp;'Registro por Sessão'!$S380&amp;CHAR(10))&amp;IF('Registro por Sessão'!$G381="","","S3 D: "&amp;'Registro por Sessão'!$G381&amp;CHAR(10))&amp;IF('Registro por Sessão'!$K381="","","S3 F: "&amp;'Registro por Sessão'!$K381&amp;CHAR(10))&amp;IF('Registro por Sessão'!$O381="","","S3 C: "&amp;'Registro por Sessão'!$O381&amp;CHAR(10))&amp;IF('Registro por Sessão'!$S381="","","S3 P: "&amp;'Registro por Sessão'!$S381&amp;CHAR(10))&amp;IF('Registro por Sessão'!$G382="","","S4 D: "&amp;'Registro por Sessão'!$G382&amp;CHAR(10))&amp;IF('Registro por Sessão'!$K382="","","S4 F: "&amp;'Registro por Sessão'!$K382&amp;CHAR(10))&amp;IF('Registro por Sessão'!$O382="","","S4 C: "&amp;'Registro por Sessão'!$O382&amp;CHAR(10))&amp;IF('Registro por Sessão'!$S382="","","S4 P: "&amp;'Registro por Sessão'!$S382&amp;CHAR(10))&amp;IF('Registro por Sessão'!$G383="","","S5 D: "&amp;'Registro por Sessão'!$G383&amp;CHAR(10))&amp;IF('Registro por Sessão'!$K383="","","S5 F: "&amp;'Registro por Sessão'!$K383&amp;CHAR(10))&amp;IF('Registro por Sessão'!$O383="","","S5 C: "&amp;'Registro por Sessão'!$O383&amp;CHAR(10))&amp;IF('Registro por Sessão'!$S383="","","S5 P: "&amp;'Registro por Sessão'!$S383&amp;CHAR(10)))</f>
        <v/>
      </c>
      <c r="K79" s="14">
        <f>IF($B79="","",IF('Registro por Sessão'!$W379="","","S1: "&amp;'Registro por Sessão'!$W379&amp;CHAR(10))&amp;IF('Registro por Sessão'!$X379="","","S1 obs: "&amp;'Registro por Sessão'!$X379&amp;CHAR(10))&amp;IF('Registro por Sessão'!$W380="","","S2: "&amp;'Registro por Sessão'!$W380&amp;CHAR(10))&amp;IF('Registro por Sessão'!$X380="","","S2 obs: "&amp;'Registro por Sessão'!$X380&amp;CHAR(10))&amp;IF('Registro por Sessão'!$W381="","","S3: "&amp;'Registro por Sessão'!$W381&amp;CHAR(10))&amp;IF('Registro por Sessão'!$X381="","","S3 obs: "&amp;'Registro por Sessão'!$X381&amp;CHAR(10))&amp;IF('Registro por Sessão'!$W382="","","S4: "&amp;'Registro por Sessão'!$W382&amp;CHAR(10))&amp;IF('Registro por Sessão'!$X382="","","S4 obs: "&amp;'Registro por Sessão'!$X382&amp;CHAR(10))&amp;IF('Registro por Sessão'!$W383="","","S5: "&amp;'Registro por Sessão'!$W383&amp;CHAR(10))&amp;IF('Registro por Sessão'!$X383="","","S5 obs: "&amp;'Registro por Sessão'!$X383&amp;CHAR(10)))</f>
        <v/>
      </c>
      <c r="L79" s="2" t="n"/>
      <c r="M79" s="8">
        <f>IF(ISNUMBER('Registro por Sessão'!$J379),'Registro por Sessão'!$J379,"")</f>
        <v/>
      </c>
      <c r="N79" s="8">
        <f>IF(ISNUMBER('Registro por Sessão'!$J380),'Registro por Sessão'!$J380,"")</f>
        <v/>
      </c>
      <c r="O79" s="8">
        <f>IF(ISNUMBER('Registro por Sessão'!$J381),'Registro por Sessão'!$J381,"")</f>
        <v/>
      </c>
      <c r="P79" s="8">
        <f>IF(ISNUMBER('Registro por Sessão'!$J382),'Registro por Sessão'!$J382,"")</f>
        <v/>
      </c>
      <c r="Q79" s="8">
        <f>IF(ISNUMBER('Registro por Sessão'!$J383),'Registro por Sessão'!$J383,"")</f>
        <v/>
      </c>
      <c r="R79" s="8">
        <f>IF(ISNUMBER('Registro por Sessão'!$N379),'Registro por Sessão'!$N379,"")</f>
        <v/>
      </c>
      <c r="S79" s="8">
        <f>IF(ISNUMBER('Registro por Sessão'!$N380),'Registro por Sessão'!$N380,"")</f>
        <v/>
      </c>
      <c r="T79" s="8">
        <f>IF(ISNUMBER('Registro por Sessão'!$N381),'Registro por Sessão'!$N381,"")</f>
        <v/>
      </c>
      <c r="U79" s="8">
        <f>IF(ISNUMBER('Registro por Sessão'!$N382),'Registro por Sessão'!$N382,"")</f>
        <v/>
      </c>
      <c r="V79" s="8">
        <f>IF(ISNUMBER('Registro por Sessão'!$N383),'Registro por Sessão'!$N383,"")</f>
        <v/>
      </c>
      <c r="W79" s="8">
        <f>IF(ISNUMBER('Registro por Sessão'!$R379),'Registro por Sessão'!$R379,"")</f>
        <v/>
      </c>
      <c r="X79" s="8">
        <f>IF(ISNUMBER('Registro por Sessão'!$R380),'Registro por Sessão'!$R380,"")</f>
        <v/>
      </c>
      <c r="Y79" s="8">
        <f>IF(ISNUMBER('Registro por Sessão'!$R381),'Registro por Sessão'!$R381,"")</f>
        <v/>
      </c>
      <c r="Z79" s="8">
        <f>IF(ISNUMBER('Registro por Sessão'!$R382),'Registro por Sessão'!$R382,"")</f>
        <v/>
      </c>
      <c r="AA79" s="8">
        <f>IF(ISNUMBER('Registro por Sessão'!$R383),'Registro por Sessão'!$R383,"")</f>
        <v/>
      </c>
      <c r="AB79" s="8">
        <f>IF(ISNUMBER('Registro por Sessão'!$V379),'Registro por Sessão'!$V379,"")</f>
        <v/>
      </c>
      <c r="AC79" s="8">
        <f>IF(ISNUMBER('Registro por Sessão'!$V380),'Registro por Sessão'!$V380,"")</f>
        <v/>
      </c>
      <c r="AD79" s="8">
        <f>IF(ISNUMBER('Registro por Sessão'!$V381),'Registro por Sessão'!$V381,"")</f>
        <v/>
      </c>
      <c r="AE79" s="8">
        <f>IF(ISNUMBER('Registro por Sessão'!$V382),'Registro por Sessão'!$V382,"")</f>
        <v/>
      </c>
      <c r="AF79" s="8">
        <f>IF(ISNUMBER('Registro por Sessão'!$V383),'Registro por Sessão'!$V383,"")</f>
        <v/>
      </c>
    </row>
    <row r="80">
      <c r="A80" s="6">
        <f>IF($B80="","",ROW()-3)</f>
        <v/>
      </c>
      <c r="B80" s="7">
        <f>IF(Preenchimento!$B$86="","",Preenchimento!$B$86)</f>
        <v/>
      </c>
      <c r="C80" s="7">
        <f>IF($B80="","",IF(Preenchimento!$C$86="","-",Preenchimento!$C$86))</f>
        <v/>
      </c>
      <c r="D80" s="6">
        <f>IF($B80="","",IF(Preenchimento!$D$86="","-",Preenchimento!$D$86))</f>
        <v/>
      </c>
      <c r="E80" s="31">
        <f>IF($B80="","",IFERROR(AVERAGE(M80:Q80),"-"))</f>
        <v/>
      </c>
      <c r="F80" s="31">
        <f>IF($B80="","",IFERROR(AVERAGE(R80:V80),"-"))</f>
        <v/>
      </c>
      <c r="G80" s="31">
        <f>IF($B80="","",IFERROR(AVERAGE(W80:AA80),"-"))</f>
        <v/>
      </c>
      <c r="H80" s="31">
        <f>IF($B80="","",IFERROR(AVERAGE(AB80:AF80),"-"))</f>
        <v/>
      </c>
      <c r="I80" s="31">
        <f>IF($B80="","",IFERROR(AVERAGE(M80:AF80),"-"))</f>
        <v/>
      </c>
      <c r="J80" s="13">
        <f>IF($B80="","",IF('Registro por Sessão'!$G384="","","S1 D: "&amp;'Registro por Sessão'!$G384&amp;CHAR(10))&amp;IF('Registro por Sessão'!$K384="","","S1 F: "&amp;'Registro por Sessão'!$K384&amp;CHAR(10))&amp;IF('Registro por Sessão'!$O384="","","S1 C: "&amp;'Registro por Sessão'!$O384&amp;CHAR(10))&amp;IF('Registro por Sessão'!$S384="","","S1 P: "&amp;'Registro por Sessão'!$S384&amp;CHAR(10))&amp;IF('Registro por Sessão'!$G385="","","S2 D: "&amp;'Registro por Sessão'!$G385&amp;CHAR(10))&amp;IF('Registro por Sessão'!$K385="","","S2 F: "&amp;'Registro por Sessão'!$K385&amp;CHAR(10))&amp;IF('Registro por Sessão'!$O385="","","S2 C: "&amp;'Registro por Sessão'!$O385&amp;CHAR(10))&amp;IF('Registro por Sessão'!$S385="","","S2 P: "&amp;'Registro por Sessão'!$S385&amp;CHAR(10))&amp;IF('Registro por Sessão'!$G386="","","S3 D: "&amp;'Registro por Sessão'!$G386&amp;CHAR(10))&amp;IF('Registro por Sessão'!$K386="","","S3 F: "&amp;'Registro por Sessão'!$K386&amp;CHAR(10))&amp;IF('Registro por Sessão'!$O386="","","S3 C: "&amp;'Registro por Sessão'!$O386&amp;CHAR(10))&amp;IF('Registro por Sessão'!$S386="","","S3 P: "&amp;'Registro por Sessão'!$S386&amp;CHAR(10))&amp;IF('Registro por Sessão'!$G387="","","S4 D: "&amp;'Registro por Sessão'!$G387&amp;CHAR(10))&amp;IF('Registro por Sessão'!$K387="","","S4 F: "&amp;'Registro por Sessão'!$K387&amp;CHAR(10))&amp;IF('Registro por Sessão'!$O387="","","S4 C: "&amp;'Registro por Sessão'!$O387&amp;CHAR(10))&amp;IF('Registro por Sessão'!$S387="","","S4 P: "&amp;'Registro por Sessão'!$S387&amp;CHAR(10))&amp;IF('Registro por Sessão'!$G388="","","S5 D: "&amp;'Registro por Sessão'!$G388&amp;CHAR(10))&amp;IF('Registro por Sessão'!$K388="","","S5 F: "&amp;'Registro por Sessão'!$K388&amp;CHAR(10))&amp;IF('Registro por Sessão'!$O388="","","S5 C: "&amp;'Registro por Sessão'!$O388&amp;CHAR(10))&amp;IF('Registro por Sessão'!$S388="","","S5 P: "&amp;'Registro por Sessão'!$S388&amp;CHAR(10)))</f>
        <v/>
      </c>
      <c r="K80" s="13">
        <f>IF($B80="","",IF('Registro por Sessão'!$W384="","","S1: "&amp;'Registro por Sessão'!$W384&amp;CHAR(10))&amp;IF('Registro por Sessão'!$X384="","","S1 obs: "&amp;'Registro por Sessão'!$X384&amp;CHAR(10))&amp;IF('Registro por Sessão'!$W385="","","S2: "&amp;'Registro por Sessão'!$W385&amp;CHAR(10))&amp;IF('Registro por Sessão'!$X385="","","S2 obs: "&amp;'Registro por Sessão'!$X385&amp;CHAR(10))&amp;IF('Registro por Sessão'!$W386="","","S3: "&amp;'Registro por Sessão'!$W386&amp;CHAR(10))&amp;IF('Registro por Sessão'!$X386="","","S3 obs: "&amp;'Registro por Sessão'!$X386&amp;CHAR(10))&amp;IF('Registro por Sessão'!$W387="","","S4: "&amp;'Registro por Sessão'!$W387&amp;CHAR(10))&amp;IF('Registro por Sessão'!$X387="","","S4 obs: "&amp;'Registro por Sessão'!$X387&amp;CHAR(10))&amp;IF('Registro por Sessão'!$W388="","","S5: "&amp;'Registro por Sessão'!$W388&amp;CHAR(10))&amp;IF('Registro por Sessão'!$X388="","","S5 obs: "&amp;'Registro por Sessão'!$X388&amp;CHAR(10)))</f>
        <v/>
      </c>
      <c r="L80" s="2" t="n"/>
      <c r="M80" s="6">
        <f>IF(ISNUMBER('Registro por Sessão'!$J384),'Registro por Sessão'!$J384,"")</f>
        <v/>
      </c>
      <c r="N80" s="6">
        <f>IF(ISNUMBER('Registro por Sessão'!$J385),'Registro por Sessão'!$J385,"")</f>
        <v/>
      </c>
      <c r="O80" s="6">
        <f>IF(ISNUMBER('Registro por Sessão'!$J386),'Registro por Sessão'!$J386,"")</f>
        <v/>
      </c>
      <c r="P80" s="6">
        <f>IF(ISNUMBER('Registro por Sessão'!$J387),'Registro por Sessão'!$J387,"")</f>
        <v/>
      </c>
      <c r="Q80" s="6">
        <f>IF(ISNUMBER('Registro por Sessão'!$J388),'Registro por Sessão'!$J388,"")</f>
        <v/>
      </c>
      <c r="R80" s="6">
        <f>IF(ISNUMBER('Registro por Sessão'!$N384),'Registro por Sessão'!$N384,"")</f>
        <v/>
      </c>
      <c r="S80" s="6">
        <f>IF(ISNUMBER('Registro por Sessão'!$N385),'Registro por Sessão'!$N385,"")</f>
        <v/>
      </c>
      <c r="T80" s="6">
        <f>IF(ISNUMBER('Registro por Sessão'!$N386),'Registro por Sessão'!$N386,"")</f>
        <v/>
      </c>
      <c r="U80" s="6">
        <f>IF(ISNUMBER('Registro por Sessão'!$N387),'Registro por Sessão'!$N387,"")</f>
        <v/>
      </c>
      <c r="V80" s="6">
        <f>IF(ISNUMBER('Registro por Sessão'!$N388),'Registro por Sessão'!$N388,"")</f>
        <v/>
      </c>
      <c r="W80" s="6">
        <f>IF(ISNUMBER('Registro por Sessão'!$R384),'Registro por Sessão'!$R384,"")</f>
        <v/>
      </c>
      <c r="X80" s="6">
        <f>IF(ISNUMBER('Registro por Sessão'!$R385),'Registro por Sessão'!$R385,"")</f>
        <v/>
      </c>
      <c r="Y80" s="6">
        <f>IF(ISNUMBER('Registro por Sessão'!$R386),'Registro por Sessão'!$R386,"")</f>
        <v/>
      </c>
      <c r="Z80" s="6">
        <f>IF(ISNUMBER('Registro por Sessão'!$R387),'Registro por Sessão'!$R387,"")</f>
        <v/>
      </c>
      <c r="AA80" s="6">
        <f>IF(ISNUMBER('Registro por Sessão'!$R388),'Registro por Sessão'!$R388,"")</f>
        <v/>
      </c>
      <c r="AB80" s="6">
        <f>IF(ISNUMBER('Registro por Sessão'!$V384),'Registro por Sessão'!$V384,"")</f>
        <v/>
      </c>
      <c r="AC80" s="6">
        <f>IF(ISNUMBER('Registro por Sessão'!$V385),'Registro por Sessão'!$V385,"")</f>
        <v/>
      </c>
      <c r="AD80" s="6">
        <f>IF(ISNUMBER('Registro por Sessão'!$V386),'Registro por Sessão'!$V386,"")</f>
        <v/>
      </c>
      <c r="AE80" s="6">
        <f>IF(ISNUMBER('Registro por Sessão'!$V387),'Registro por Sessão'!$V387,"")</f>
        <v/>
      </c>
      <c r="AF80" s="6">
        <f>IF(ISNUMBER('Registro por Sessão'!$V388),'Registro por Sessão'!$V388,"")</f>
        <v/>
      </c>
    </row>
    <row r="81">
      <c r="A81" s="8">
        <f>IF($B81="","",ROW()-3)</f>
        <v/>
      </c>
      <c r="B81" s="9">
        <f>IF(Preenchimento!$B$87="","",Preenchimento!$B$87)</f>
        <v/>
      </c>
      <c r="C81" s="9">
        <f>IF($B81="","",IF(Preenchimento!$C$87="","-",Preenchimento!$C$87))</f>
        <v/>
      </c>
      <c r="D81" s="8">
        <f>IF($B81="","",IF(Preenchimento!$D$87="","-",Preenchimento!$D$87))</f>
        <v/>
      </c>
      <c r="E81" s="32">
        <f>IF($B81="","",IFERROR(AVERAGE(M81:Q81),"-"))</f>
        <v/>
      </c>
      <c r="F81" s="32">
        <f>IF($B81="","",IFERROR(AVERAGE(R81:V81),"-"))</f>
        <v/>
      </c>
      <c r="G81" s="32">
        <f>IF($B81="","",IFERROR(AVERAGE(W81:AA81),"-"))</f>
        <v/>
      </c>
      <c r="H81" s="32">
        <f>IF($B81="","",IFERROR(AVERAGE(AB81:AF81),"-"))</f>
        <v/>
      </c>
      <c r="I81" s="32">
        <f>IF($B81="","",IFERROR(AVERAGE(M81:AF81),"-"))</f>
        <v/>
      </c>
      <c r="J81" s="14">
        <f>IF($B81="","",IF('Registro por Sessão'!$G389="","","S1 D: "&amp;'Registro por Sessão'!$G389&amp;CHAR(10))&amp;IF('Registro por Sessão'!$K389="","","S1 F: "&amp;'Registro por Sessão'!$K389&amp;CHAR(10))&amp;IF('Registro por Sessão'!$O389="","","S1 C: "&amp;'Registro por Sessão'!$O389&amp;CHAR(10))&amp;IF('Registro por Sessão'!$S389="","","S1 P: "&amp;'Registro por Sessão'!$S389&amp;CHAR(10))&amp;IF('Registro por Sessão'!$G390="","","S2 D: "&amp;'Registro por Sessão'!$G390&amp;CHAR(10))&amp;IF('Registro por Sessão'!$K390="","","S2 F: "&amp;'Registro por Sessão'!$K390&amp;CHAR(10))&amp;IF('Registro por Sessão'!$O390="","","S2 C: "&amp;'Registro por Sessão'!$O390&amp;CHAR(10))&amp;IF('Registro por Sessão'!$S390="","","S2 P: "&amp;'Registro por Sessão'!$S390&amp;CHAR(10))&amp;IF('Registro por Sessão'!$G391="","","S3 D: "&amp;'Registro por Sessão'!$G391&amp;CHAR(10))&amp;IF('Registro por Sessão'!$K391="","","S3 F: "&amp;'Registro por Sessão'!$K391&amp;CHAR(10))&amp;IF('Registro por Sessão'!$O391="","","S3 C: "&amp;'Registro por Sessão'!$O391&amp;CHAR(10))&amp;IF('Registro por Sessão'!$S391="","","S3 P: "&amp;'Registro por Sessão'!$S391&amp;CHAR(10))&amp;IF('Registro por Sessão'!$G392="","","S4 D: "&amp;'Registro por Sessão'!$G392&amp;CHAR(10))&amp;IF('Registro por Sessão'!$K392="","","S4 F: "&amp;'Registro por Sessão'!$K392&amp;CHAR(10))&amp;IF('Registro por Sessão'!$O392="","","S4 C: "&amp;'Registro por Sessão'!$O392&amp;CHAR(10))&amp;IF('Registro por Sessão'!$S392="","","S4 P: "&amp;'Registro por Sessão'!$S392&amp;CHAR(10))&amp;IF('Registro por Sessão'!$G393="","","S5 D: "&amp;'Registro por Sessão'!$G393&amp;CHAR(10))&amp;IF('Registro por Sessão'!$K393="","","S5 F: "&amp;'Registro por Sessão'!$K393&amp;CHAR(10))&amp;IF('Registro por Sessão'!$O393="","","S5 C: "&amp;'Registro por Sessão'!$O393&amp;CHAR(10))&amp;IF('Registro por Sessão'!$S393="","","S5 P: "&amp;'Registro por Sessão'!$S393&amp;CHAR(10)))</f>
        <v/>
      </c>
      <c r="K81" s="14">
        <f>IF($B81="","",IF('Registro por Sessão'!$W389="","","S1: "&amp;'Registro por Sessão'!$W389&amp;CHAR(10))&amp;IF('Registro por Sessão'!$X389="","","S1 obs: "&amp;'Registro por Sessão'!$X389&amp;CHAR(10))&amp;IF('Registro por Sessão'!$W390="","","S2: "&amp;'Registro por Sessão'!$W390&amp;CHAR(10))&amp;IF('Registro por Sessão'!$X390="","","S2 obs: "&amp;'Registro por Sessão'!$X390&amp;CHAR(10))&amp;IF('Registro por Sessão'!$W391="","","S3: "&amp;'Registro por Sessão'!$W391&amp;CHAR(10))&amp;IF('Registro por Sessão'!$X391="","","S3 obs: "&amp;'Registro por Sessão'!$X391&amp;CHAR(10))&amp;IF('Registro por Sessão'!$W392="","","S4: "&amp;'Registro por Sessão'!$W392&amp;CHAR(10))&amp;IF('Registro por Sessão'!$X392="","","S4 obs: "&amp;'Registro por Sessão'!$X392&amp;CHAR(10))&amp;IF('Registro por Sessão'!$W393="","","S5: "&amp;'Registro por Sessão'!$W393&amp;CHAR(10))&amp;IF('Registro por Sessão'!$X393="","","S5 obs: "&amp;'Registro por Sessão'!$X393&amp;CHAR(10)))</f>
        <v/>
      </c>
      <c r="L81" s="2" t="n"/>
      <c r="M81" s="8">
        <f>IF(ISNUMBER('Registro por Sessão'!$J389),'Registro por Sessão'!$J389,"")</f>
        <v/>
      </c>
      <c r="N81" s="8">
        <f>IF(ISNUMBER('Registro por Sessão'!$J390),'Registro por Sessão'!$J390,"")</f>
        <v/>
      </c>
      <c r="O81" s="8">
        <f>IF(ISNUMBER('Registro por Sessão'!$J391),'Registro por Sessão'!$J391,"")</f>
        <v/>
      </c>
      <c r="P81" s="8">
        <f>IF(ISNUMBER('Registro por Sessão'!$J392),'Registro por Sessão'!$J392,"")</f>
        <v/>
      </c>
      <c r="Q81" s="8">
        <f>IF(ISNUMBER('Registro por Sessão'!$J393),'Registro por Sessão'!$J393,"")</f>
        <v/>
      </c>
      <c r="R81" s="8">
        <f>IF(ISNUMBER('Registro por Sessão'!$N389),'Registro por Sessão'!$N389,"")</f>
        <v/>
      </c>
      <c r="S81" s="8">
        <f>IF(ISNUMBER('Registro por Sessão'!$N390),'Registro por Sessão'!$N390,"")</f>
        <v/>
      </c>
      <c r="T81" s="8">
        <f>IF(ISNUMBER('Registro por Sessão'!$N391),'Registro por Sessão'!$N391,"")</f>
        <v/>
      </c>
      <c r="U81" s="8">
        <f>IF(ISNUMBER('Registro por Sessão'!$N392),'Registro por Sessão'!$N392,"")</f>
        <v/>
      </c>
      <c r="V81" s="8">
        <f>IF(ISNUMBER('Registro por Sessão'!$N393),'Registro por Sessão'!$N393,"")</f>
        <v/>
      </c>
      <c r="W81" s="8">
        <f>IF(ISNUMBER('Registro por Sessão'!$R389),'Registro por Sessão'!$R389,"")</f>
        <v/>
      </c>
      <c r="X81" s="8">
        <f>IF(ISNUMBER('Registro por Sessão'!$R390),'Registro por Sessão'!$R390,"")</f>
        <v/>
      </c>
      <c r="Y81" s="8">
        <f>IF(ISNUMBER('Registro por Sessão'!$R391),'Registro por Sessão'!$R391,"")</f>
        <v/>
      </c>
      <c r="Z81" s="8">
        <f>IF(ISNUMBER('Registro por Sessão'!$R392),'Registro por Sessão'!$R392,"")</f>
        <v/>
      </c>
      <c r="AA81" s="8">
        <f>IF(ISNUMBER('Registro por Sessão'!$R393),'Registro por Sessão'!$R393,"")</f>
        <v/>
      </c>
      <c r="AB81" s="8">
        <f>IF(ISNUMBER('Registro por Sessão'!$V389),'Registro por Sessão'!$V389,"")</f>
        <v/>
      </c>
      <c r="AC81" s="8">
        <f>IF(ISNUMBER('Registro por Sessão'!$V390),'Registro por Sessão'!$V390,"")</f>
        <v/>
      </c>
      <c r="AD81" s="8">
        <f>IF(ISNUMBER('Registro por Sessão'!$V391),'Registro por Sessão'!$V391,"")</f>
        <v/>
      </c>
      <c r="AE81" s="8">
        <f>IF(ISNUMBER('Registro por Sessão'!$V392),'Registro por Sessão'!$V392,"")</f>
        <v/>
      </c>
      <c r="AF81" s="8">
        <f>IF(ISNUMBER('Registro por Sessão'!$V393),'Registro por Sessão'!$V393,"")</f>
        <v/>
      </c>
    </row>
    <row r="82">
      <c r="A82" s="6">
        <f>IF($B82="","",ROW()-3)</f>
        <v/>
      </c>
      <c r="B82" s="7">
        <f>IF(Preenchimento!$B$88="","",Preenchimento!$B$88)</f>
        <v/>
      </c>
      <c r="C82" s="7">
        <f>IF($B82="","",IF(Preenchimento!$C$88="","-",Preenchimento!$C$88))</f>
        <v/>
      </c>
      <c r="D82" s="6">
        <f>IF($B82="","",IF(Preenchimento!$D$88="","-",Preenchimento!$D$88))</f>
        <v/>
      </c>
      <c r="E82" s="31">
        <f>IF($B82="","",IFERROR(AVERAGE(M82:Q82),"-"))</f>
        <v/>
      </c>
      <c r="F82" s="31">
        <f>IF($B82="","",IFERROR(AVERAGE(R82:V82),"-"))</f>
        <v/>
      </c>
      <c r="G82" s="31">
        <f>IF($B82="","",IFERROR(AVERAGE(W82:AA82),"-"))</f>
        <v/>
      </c>
      <c r="H82" s="31">
        <f>IF($B82="","",IFERROR(AVERAGE(AB82:AF82),"-"))</f>
        <v/>
      </c>
      <c r="I82" s="31">
        <f>IF($B82="","",IFERROR(AVERAGE(M82:AF82),"-"))</f>
        <v/>
      </c>
      <c r="J82" s="13">
        <f>IF($B82="","",IF('Registro por Sessão'!$G394="","","S1 D: "&amp;'Registro por Sessão'!$G394&amp;CHAR(10))&amp;IF('Registro por Sessão'!$K394="","","S1 F: "&amp;'Registro por Sessão'!$K394&amp;CHAR(10))&amp;IF('Registro por Sessão'!$O394="","","S1 C: "&amp;'Registro por Sessão'!$O394&amp;CHAR(10))&amp;IF('Registro por Sessão'!$S394="","","S1 P: "&amp;'Registro por Sessão'!$S394&amp;CHAR(10))&amp;IF('Registro por Sessão'!$G395="","","S2 D: "&amp;'Registro por Sessão'!$G395&amp;CHAR(10))&amp;IF('Registro por Sessão'!$K395="","","S2 F: "&amp;'Registro por Sessão'!$K395&amp;CHAR(10))&amp;IF('Registro por Sessão'!$O395="","","S2 C: "&amp;'Registro por Sessão'!$O395&amp;CHAR(10))&amp;IF('Registro por Sessão'!$S395="","","S2 P: "&amp;'Registro por Sessão'!$S395&amp;CHAR(10))&amp;IF('Registro por Sessão'!$G396="","","S3 D: "&amp;'Registro por Sessão'!$G396&amp;CHAR(10))&amp;IF('Registro por Sessão'!$K396="","","S3 F: "&amp;'Registro por Sessão'!$K396&amp;CHAR(10))&amp;IF('Registro por Sessão'!$O396="","","S3 C: "&amp;'Registro por Sessão'!$O396&amp;CHAR(10))&amp;IF('Registro por Sessão'!$S396="","","S3 P: "&amp;'Registro por Sessão'!$S396&amp;CHAR(10))&amp;IF('Registro por Sessão'!$G397="","","S4 D: "&amp;'Registro por Sessão'!$G397&amp;CHAR(10))&amp;IF('Registro por Sessão'!$K397="","","S4 F: "&amp;'Registro por Sessão'!$K397&amp;CHAR(10))&amp;IF('Registro por Sessão'!$O397="","","S4 C: "&amp;'Registro por Sessão'!$O397&amp;CHAR(10))&amp;IF('Registro por Sessão'!$S397="","","S4 P: "&amp;'Registro por Sessão'!$S397&amp;CHAR(10))&amp;IF('Registro por Sessão'!$G398="","","S5 D: "&amp;'Registro por Sessão'!$G398&amp;CHAR(10))&amp;IF('Registro por Sessão'!$K398="","","S5 F: "&amp;'Registro por Sessão'!$K398&amp;CHAR(10))&amp;IF('Registro por Sessão'!$O398="","","S5 C: "&amp;'Registro por Sessão'!$O398&amp;CHAR(10))&amp;IF('Registro por Sessão'!$S398="","","S5 P: "&amp;'Registro por Sessão'!$S398&amp;CHAR(10)))</f>
        <v/>
      </c>
      <c r="K82" s="13">
        <f>IF($B82="","",IF('Registro por Sessão'!$W394="","","S1: "&amp;'Registro por Sessão'!$W394&amp;CHAR(10))&amp;IF('Registro por Sessão'!$X394="","","S1 obs: "&amp;'Registro por Sessão'!$X394&amp;CHAR(10))&amp;IF('Registro por Sessão'!$W395="","","S2: "&amp;'Registro por Sessão'!$W395&amp;CHAR(10))&amp;IF('Registro por Sessão'!$X395="","","S2 obs: "&amp;'Registro por Sessão'!$X395&amp;CHAR(10))&amp;IF('Registro por Sessão'!$W396="","","S3: "&amp;'Registro por Sessão'!$W396&amp;CHAR(10))&amp;IF('Registro por Sessão'!$X396="","","S3 obs: "&amp;'Registro por Sessão'!$X396&amp;CHAR(10))&amp;IF('Registro por Sessão'!$W397="","","S4: "&amp;'Registro por Sessão'!$W397&amp;CHAR(10))&amp;IF('Registro por Sessão'!$X397="","","S4 obs: "&amp;'Registro por Sessão'!$X397&amp;CHAR(10))&amp;IF('Registro por Sessão'!$W398="","","S5: "&amp;'Registro por Sessão'!$W398&amp;CHAR(10))&amp;IF('Registro por Sessão'!$X398="","","S5 obs: "&amp;'Registro por Sessão'!$X398&amp;CHAR(10)))</f>
        <v/>
      </c>
      <c r="L82" s="2" t="n"/>
      <c r="M82" s="6">
        <f>IF(ISNUMBER('Registro por Sessão'!$J394),'Registro por Sessão'!$J394,"")</f>
        <v/>
      </c>
      <c r="N82" s="6">
        <f>IF(ISNUMBER('Registro por Sessão'!$J395),'Registro por Sessão'!$J395,"")</f>
        <v/>
      </c>
      <c r="O82" s="6">
        <f>IF(ISNUMBER('Registro por Sessão'!$J396),'Registro por Sessão'!$J396,"")</f>
        <v/>
      </c>
      <c r="P82" s="6">
        <f>IF(ISNUMBER('Registro por Sessão'!$J397),'Registro por Sessão'!$J397,"")</f>
        <v/>
      </c>
      <c r="Q82" s="6">
        <f>IF(ISNUMBER('Registro por Sessão'!$J398),'Registro por Sessão'!$J398,"")</f>
        <v/>
      </c>
      <c r="R82" s="6">
        <f>IF(ISNUMBER('Registro por Sessão'!$N394),'Registro por Sessão'!$N394,"")</f>
        <v/>
      </c>
      <c r="S82" s="6">
        <f>IF(ISNUMBER('Registro por Sessão'!$N395),'Registro por Sessão'!$N395,"")</f>
        <v/>
      </c>
      <c r="T82" s="6">
        <f>IF(ISNUMBER('Registro por Sessão'!$N396),'Registro por Sessão'!$N396,"")</f>
        <v/>
      </c>
      <c r="U82" s="6">
        <f>IF(ISNUMBER('Registro por Sessão'!$N397),'Registro por Sessão'!$N397,"")</f>
        <v/>
      </c>
      <c r="V82" s="6">
        <f>IF(ISNUMBER('Registro por Sessão'!$N398),'Registro por Sessão'!$N398,"")</f>
        <v/>
      </c>
      <c r="W82" s="6">
        <f>IF(ISNUMBER('Registro por Sessão'!$R394),'Registro por Sessão'!$R394,"")</f>
        <v/>
      </c>
      <c r="X82" s="6">
        <f>IF(ISNUMBER('Registro por Sessão'!$R395),'Registro por Sessão'!$R395,"")</f>
        <v/>
      </c>
      <c r="Y82" s="6">
        <f>IF(ISNUMBER('Registro por Sessão'!$R396),'Registro por Sessão'!$R396,"")</f>
        <v/>
      </c>
      <c r="Z82" s="6">
        <f>IF(ISNUMBER('Registro por Sessão'!$R397),'Registro por Sessão'!$R397,"")</f>
        <v/>
      </c>
      <c r="AA82" s="6">
        <f>IF(ISNUMBER('Registro por Sessão'!$R398),'Registro por Sessão'!$R398,"")</f>
        <v/>
      </c>
      <c r="AB82" s="6">
        <f>IF(ISNUMBER('Registro por Sessão'!$V394),'Registro por Sessão'!$V394,"")</f>
        <v/>
      </c>
      <c r="AC82" s="6">
        <f>IF(ISNUMBER('Registro por Sessão'!$V395),'Registro por Sessão'!$V395,"")</f>
        <v/>
      </c>
      <c r="AD82" s="6">
        <f>IF(ISNUMBER('Registro por Sessão'!$V396),'Registro por Sessão'!$V396,"")</f>
        <v/>
      </c>
      <c r="AE82" s="6">
        <f>IF(ISNUMBER('Registro por Sessão'!$V397),'Registro por Sessão'!$V397,"")</f>
        <v/>
      </c>
      <c r="AF82" s="6">
        <f>IF(ISNUMBER('Registro por Sessão'!$V398),'Registro por Sessão'!$V398,"")</f>
        <v/>
      </c>
    </row>
    <row r="83">
      <c r="A83" s="8">
        <f>IF($B83="","",ROW()-3)</f>
        <v/>
      </c>
      <c r="B83" s="9">
        <f>IF(Preenchimento!$B$89="","",Preenchimento!$B$89)</f>
        <v/>
      </c>
      <c r="C83" s="9">
        <f>IF($B83="","",IF(Preenchimento!$C$89="","-",Preenchimento!$C$89))</f>
        <v/>
      </c>
      <c r="D83" s="8">
        <f>IF($B83="","",IF(Preenchimento!$D$89="","-",Preenchimento!$D$89))</f>
        <v/>
      </c>
      <c r="E83" s="32">
        <f>IF($B83="","",IFERROR(AVERAGE(M83:Q83),"-"))</f>
        <v/>
      </c>
      <c r="F83" s="32">
        <f>IF($B83="","",IFERROR(AVERAGE(R83:V83),"-"))</f>
        <v/>
      </c>
      <c r="G83" s="32">
        <f>IF($B83="","",IFERROR(AVERAGE(W83:AA83),"-"))</f>
        <v/>
      </c>
      <c r="H83" s="32">
        <f>IF($B83="","",IFERROR(AVERAGE(AB83:AF83),"-"))</f>
        <v/>
      </c>
      <c r="I83" s="32">
        <f>IF($B83="","",IFERROR(AVERAGE(M83:AF83),"-"))</f>
        <v/>
      </c>
      <c r="J83" s="14">
        <f>IF($B83="","",IF('Registro por Sessão'!$G399="","","S1 D: "&amp;'Registro por Sessão'!$G399&amp;CHAR(10))&amp;IF('Registro por Sessão'!$K399="","","S1 F: "&amp;'Registro por Sessão'!$K399&amp;CHAR(10))&amp;IF('Registro por Sessão'!$O399="","","S1 C: "&amp;'Registro por Sessão'!$O399&amp;CHAR(10))&amp;IF('Registro por Sessão'!$S399="","","S1 P: "&amp;'Registro por Sessão'!$S399&amp;CHAR(10))&amp;IF('Registro por Sessão'!$G400="","","S2 D: "&amp;'Registro por Sessão'!$G400&amp;CHAR(10))&amp;IF('Registro por Sessão'!$K400="","","S2 F: "&amp;'Registro por Sessão'!$K400&amp;CHAR(10))&amp;IF('Registro por Sessão'!$O400="","","S2 C: "&amp;'Registro por Sessão'!$O400&amp;CHAR(10))&amp;IF('Registro por Sessão'!$S400="","","S2 P: "&amp;'Registro por Sessão'!$S400&amp;CHAR(10))&amp;IF('Registro por Sessão'!$G401="","","S3 D: "&amp;'Registro por Sessão'!$G401&amp;CHAR(10))&amp;IF('Registro por Sessão'!$K401="","","S3 F: "&amp;'Registro por Sessão'!$K401&amp;CHAR(10))&amp;IF('Registro por Sessão'!$O401="","","S3 C: "&amp;'Registro por Sessão'!$O401&amp;CHAR(10))&amp;IF('Registro por Sessão'!$S401="","","S3 P: "&amp;'Registro por Sessão'!$S401&amp;CHAR(10))&amp;IF('Registro por Sessão'!$G402="","","S4 D: "&amp;'Registro por Sessão'!$G402&amp;CHAR(10))&amp;IF('Registro por Sessão'!$K402="","","S4 F: "&amp;'Registro por Sessão'!$K402&amp;CHAR(10))&amp;IF('Registro por Sessão'!$O402="","","S4 C: "&amp;'Registro por Sessão'!$O402&amp;CHAR(10))&amp;IF('Registro por Sessão'!$S402="","","S4 P: "&amp;'Registro por Sessão'!$S402&amp;CHAR(10))&amp;IF('Registro por Sessão'!$G403="","","S5 D: "&amp;'Registro por Sessão'!$G403&amp;CHAR(10))&amp;IF('Registro por Sessão'!$K403="","","S5 F: "&amp;'Registro por Sessão'!$K403&amp;CHAR(10))&amp;IF('Registro por Sessão'!$O403="","","S5 C: "&amp;'Registro por Sessão'!$O403&amp;CHAR(10))&amp;IF('Registro por Sessão'!$S403="","","S5 P: "&amp;'Registro por Sessão'!$S403&amp;CHAR(10)))</f>
        <v/>
      </c>
      <c r="K83" s="14">
        <f>IF($B83="","",IF('Registro por Sessão'!$W399="","","S1: "&amp;'Registro por Sessão'!$W399&amp;CHAR(10))&amp;IF('Registro por Sessão'!$X399="","","S1 obs: "&amp;'Registro por Sessão'!$X399&amp;CHAR(10))&amp;IF('Registro por Sessão'!$W400="","","S2: "&amp;'Registro por Sessão'!$W400&amp;CHAR(10))&amp;IF('Registro por Sessão'!$X400="","","S2 obs: "&amp;'Registro por Sessão'!$X400&amp;CHAR(10))&amp;IF('Registro por Sessão'!$W401="","","S3: "&amp;'Registro por Sessão'!$W401&amp;CHAR(10))&amp;IF('Registro por Sessão'!$X401="","","S3 obs: "&amp;'Registro por Sessão'!$X401&amp;CHAR(10))&amp;IF('Registro por Sessão'!$W402="","","S4: "&amp;'Registro por Sessão'!$W402&amp;CHAR(10))&amp;IF('Registro por Sessão'!$X402="","","S4 obs: "&amp;'Registro por Sessão'!$X402&amp;CHAR(10))&amp;IF('Registro por Sessão'!$W403="","","S5: "&amp;'Registro por Sessão'!$W403&amp;CHAR(10))&amp;IF('Registro por Sessão'!$X403="","","S5 obs: "&amp;'Registro por Sessão'!$X403&amp;CHAR(10)))</f>
        <v/>
      </c>
      <c r="L83" s="2" t="n"/>
      <c r="M83" s="8">
        <f>IF(ISNUMBER('Registro por Sessão'!$J399),'Registro por Sessão'!$J399,"")</f>
        <v/>
      </c>
      <c r="N83" s="8">
        <f>IF(ISNUMBER('Registro por Sessão'!$J400),'Registro por Sessão'!$J400,"")</f>
        <v/>
      </c>
      <c r="O83" s="8">
        <f>IF(ISNUMBER('Registro por Sessão'!$J401),'Registro por Sessão'!$J401,"")</f>
        <v/>
      </c>
      <c r="P83" s="8">
        <f>IF(ISNUMBER('Registro por Sessão'!$J402),'Registro por Sessão'!$J402,"")</f>
        <v/>
      </c>
      <c r="Q83" s="8">
        <f>IF(ISNUMBER('Registro por Sessão'!$J403),'Registro por Sessão'!$J403,"")</f>
        <v/>
      </c>
      <c r="R83" s="8">
        <f>IF(ISNUMBER('Registro por Sessão'!$N399),'Registro por Sessão'!$N399,"")</f>
        <v/>
      </c>
      <c r="S83" s="8">
        <f>IF(ISNUMBER('Registro por Sessão'!$N400),'Registro por Sessão'!$N400,"")</f>
        <v/>
      </c>
      <c r="T83" s="8">
        <f>IF(ISNUMBER('Registro por Sessão'!$N401),'Registro por Sessão'!$N401,"")</f>
        <v/>
      </c>
      <c r="U83" s="8">
        <f>IF(ISNUMBER('Registro por Sessão'!$N402),'Registro por Sessão'!$N402,"")</f>
        <v/>
      </c>
      <c r="V83" s="8">
        <f>IF(ISNUMBER('Registro por Sessão'!$N403),'Registro por Sessão'!$N403,"")</f>
        <v/>
      </c>
      <c r="W83" s="8">
        <f>IF(ISNUMBER('Registro por Sessão'!$R399),'Registro por Sessão'!$R399,"")</f>
        <v/>
      </c>
      <c r="X83" s="8">
        <f>IF(ISNUMBER('Registro por Sessão'!$R400),'Registro por Sessão'!$R400,"")</f>
        <v/>
      </c>
      <c r="Y83" s="8">
        <f>IF(ISNUMBER('Registro por Sessão'!$R401),'Registro por Sessão'!$R401,"")</f>
        <v/>
      </c>
      <c r="Z83" s="8">
        <f>IF(ISNUMBER('Registro por Sessão'!$R402),'Registro por Sessão'!$R402,"")</f>
        <v/>
      </c>
      <c r="AA83" s="8">
        <f>IF(ISNUMBER('Registro por Sessão'!$R403),'Registro por Sessão'!$R403,"")</f>
        <v/>
      </c>
      <c r="AB83" s="8">
        <f>IF(ISNUMBER('Registro por Sessão'!$V399),'Registro por Sessão'!$V399,"")</f>
        <v/>
      </c>
      <c r="AC83" s="8">
        <f>IF(ISNUMBER('Registro por Sessão'!$V400),'Registro por Sessão'!$V400,"")</f>
        <v/>
      </c>
      <c r="AD83" s="8">
        <f>IF(ISNUMBER('Registro por Sessão'!$V401),'Registro por Sessão'!$V401,"")</f>
        <v/>
      </c>
      <c r="AE83" s="8">
        <f>IF(ISNUMBER('Registro por Sessão'!$V402),'Registro por Sessão'!$V402,"")</f>
        <v/>
      </c>
      <c r="AF83" s="8">
        <f>IF(ISNUMBER('Registro por Sessão'!$V403),'Registro por Sessão'!$V403,"")</f>
        <v/>
      </c>
    </row>
    <row r="84">
      <c r="A84" s="6">
        <f>IF($B84="","",ROW()-3)</f>
        <v/>
      </c>
      <c r="B84" s="7">
        <f>IF(Preenchimento!$B$90="","",Preenchimento!$B$90)</f>
        <v/>
      </c>
      <c r="C84" s="7">
        <f>IF($B84="","",IF(Preenchimento!$C$90="","-",Preenchimento!$C$90))</f>
        <v/>
      </c>
      <c r="D84" s="6">
        <f>IF($B84="","",IF(Preenchimento!$D$90="","-",Preenchimento!$D$90))</f>
        <v/>
      </c>
      <c r="E84" s="31">
        <f>IF($B84="","",IFERROR(AVERAGE(M84:Q84),"-"))</f>
        <v/>
      </c>
      <c r="F84" s="31">
        <f>IF($B84="","",IFERROR(AVERAGE(R84:V84),"-"))</f>
        <v/>
      </c>
      <c r="G84" s="31">
        <f>IF($B84="","",IFERROR(AVERAGE(W84:AA84),"-"))</f>
        <v/>
      </c>
      <c r="H84" s="31">
        <f>IF($B84="","",IFERROR(AVERAGE(AB84:AF84),"-"))</f>
        <v/>
      </c>
      <c r="I84" s="31">
        <f>IF($B84="","",IFERROR(AVERAGE(M84:AF84),"-"))</f>
        <v/>
      </c>
      <c r="J84" s="13">
        <f>IF($B84="","",IF('Registro por Sessão'!$G404="","","S1 D: "&amp;'Registro por Sessão'!$G404&amp;CHAR(10))&amp;IF('Registro por Sessão'!$K404="","","S1 F: "&amp;'Registro por Sessão'!$K404&amp;CHAR(10))&amp;IF('Registro por Sessão'!$O404="","","S1 C: "&amp;'Registro por Sessão'!$O404&amp;CHAR(10))&amp;IF('Registro por Sessão'!$S404="","","S1 P: "&amp;'Registro por Sessão'!$S404&amp;CHAR(10))&amp;IF('Registro por Sessão'!$G405="","","S2 D: "&amp;'Registro por Sessão'!$G405&amp;CHAR(10))&amp;IF('Registro por Sessão'!$K405="","","S2 F: "&amp;'Registro por Sessão'!$K405&amp;CHAR(10))&amp;IF('Registro por Sessão'!$O405="","","S2 C: "&amp;'Registro por Sessão'!$O405&amp;CHAR(10))&amp;IF('Registro por Sessão'!$S405="","","S2 P: "&amp;'Registro por Sessão'!$S405&amp;CHAR(10))&amp;IF('Registro por Sessão'!$G406="","","S3 D: "&amp;'Registro por Sessão'!$G406&amp;CHAR(10))&amp;IF('Registro por Sessão'!$K406="","","S3 F: "&amp;'Registro por Sessão'!$K406&amp;CHAR(10))&amp;IF('Registro por Sessão'!$O406="","","S3 C: "&amp;'Registro por Sessão'!$O406&amp;CHAR(10))&amp;IF('Registro por Sessão'!$S406="","","S3 P: "&amp;'Registro por Sessão'!$S406&amp;CHAR(10))&amp;IF('Registro por Sessão'!$G407="","","S4 D: "&amp;'Registro por Sessão'!$G407&amp;CHAR(10))&amp;IF('Registro por Sessão'!$K407="","","S4 F: "&amp;'Registro por Sessão'!$K407&amp;CHAR(10))&amp;IF('Registro por Sessão'!$O407="","","S4 C: "&amp;'Registro por Sessão'!$O407&amp;CHAR(10))&amp;IF('Registro por Sessão'!$S407="","","S4 P: "&amp;'Registro por Sessão'!$S407&amp;CHAR(10))&amp;IF('Registro por Sessão'!$G408="","","S5 D: "&amp;'Registro por Sessão'!$G408&amp;CHAR(10))&amp;IF('Registro por Sessão'!$K408="","","S5 F: "&amp;'Registro por Sessão'!$K408&amp;CHAR(10))&amp;IF('Registro por Sessão'!$O408="","","S5 C: "&amp;'Registro por Sessão'!$O408&amp;CHAR(10))&amp;IF('Registro por Sessão'!$S408="","","S5 P: "&amp;'Registro por Sessão'!$S408&amp;CHAR(10)))</f>
        <v/>
      </c>
      <c r="K84" s="13">
        <f>IF($B84="","",IF('Registro por Sessão'!$W404="","","S1: "&amp;'Registro por Sessão'!$W404&amp;CHAR(10))&amp;IF('Registro por Sessão'!$X404="","","S1 obs: "&amp;'Registro por Sessão'!$X404&amp;CHAR(10))&amp;IF('Registro por Sessão'!$W405="","","S2: "&amp;'Registro por Sessão'!$W405&amp;CHAR(10))&amp;IF('Registro por Sessão'!$X405="","","S2 obs: "&amp;'Registro por Sessão'!$X405&amp;CHAR(10))&amp;IF('Registro por Sessão'!$W406="","","S3: "&amp;'Registro por Sessão'!$W406&amp;CHAR(10))&amp;IF('Registro por Sessão'!$X406="","","S3 obs: "&amp;'Registro por Sessão'!$X406&amp;CHAR(10))&amp;IF('Registro por Sessão'!$W407="","","S4: "&amp;'Registro por Sessão'!$W407&amp;CHAR(10))&amp;IF('Registro por Sessão'!$X407="","","S4 obs: "&amp;'Registro por Sessão'!$X407&amp;CHAR(10))&amp;IF('Registro por Sessão'!$W408="","","S5: "&amp;'Registro por Sessão'!$W408&amp;CHAR(10))&amp;IF('Registro por Sessão'!$X408="","","S5 obs: "&amp;'Registro por Sessão'!$X408&amp;CHAR(10)))</f>
        <v/>
      </c>
      <c r="L84" s="2" t="n"/>
      <c r="M84" s="6">
        <f>IF(ISNUMBER('Registro por Sessão'!$J404),'Registro por Sessão'!$J404,"")</f>
        <v/>
      </c>
      <c r="N84" s="6">
        <f>IF(ISNUMBER('Registro por Sessão'!$J405),'Registro por Sessão'!$J405,"")</f>
        <v/>
      </c>
      <c r="O84" s="6">
        <f>IF(ISNUMBER('Registro por Sessão'!$J406),'Registro por Sessão'!$J406,"")</f>
        <v/>
      </c>
      <c r="P84" s="6">
        <f>IF(ISNUMBER('Registro por Sessão'!$J407),'Registro por Sessão'!$J407,"")</f>
        <v/>
      </c>
      <c r="Q84" s="6">
        <f>IF(ISNUMBER('Registro por Sessão'!$J408),'Registro por Sessão'!$J408,"")</f>
        <v/>
      </c>
      <c r="R84" s="6">
        <f>IF(ISNUMBER('Registro por Sessão'!$N404),'Registro por Sessão'!$N404,"")</f>
        <v/>
      </c>
      <c r="S84" s="6">
        <f>IF(ISNUMBER('Registro por Sessão'!$N405),'Registro por Sessão'!$N405,"")</f>
        <v/>
      </c>
      <c r="T84" s="6">
        <f>IF(ISNUMBER('Registro por Sessão'!$N406),'Registro por Sessão'!$N406,"")</f>
        <v/>
      </c>
      <c r="U84" s="6">
        <f>IF(ISNUMBER('Registro por Sessão'!$N407),'Registro por Sessão'!$N407,"")</f>
        <v/>
      </c>
      <c r="V84" s="6">
        <f>IF(ISNUMBER('Registro por Sessão'!$N408),'Registro por Sessão'!$N408,"")</f>
        <v/>
      </c>
      <c r="W84" s="6">
        <f>IF(ISNUMBER('Registro por Sessão'!$R404),'Registro por Sessão'!$R404,"")</f>
        <v/>
      </c>
      <c r="X84" s="6">
        <f>IF(ISNUMBER('Registro por Sessão'!$R405),'Registro por Sessão'!$R405,"")</f>
        <v/>
      </c>
      <c r="Y84" s="6">
        <f>IF(ISNUMBER('Registro por Sessão'!$R406),'Registro por Sessão'!$R406,"")</f>
        <v/>
      </c>
      <c r="Z84" s="6">
        <f>IF(ISNUMBER('Registro por Sessão'!$R407),'Registro por Sessão'!$R407,"")</f>
        <v/>
      </c>
      <c r="AA84" s="6">
        <f>IF(ISNUMBER('Registro por Sessão'!$R408),'Registro por Sessão'!$R408,"")</f>
        <v/>
      </c>
      <c r="AB84" s="6">
        <f>IF(ISNUMBER('Registro por Sessão'!$V404),'Registro por Sessão'!$V404,"")</f>
        <v/>
      </c>
      <c r="AC84" s="6">
        <f>IF(ISNUMBER('Registro por Sessão'!$V405),'Registro por Sessão'!$V405,"")</f>
        <v/>
      </c>
      <c r="AD84" s="6">
        <f>IF(ISNUMBER('Registro por Sessão'!$V406),'Registro por Sessão'!$V406,"")</f>
        <v/>
      </c>
      <c r="AE84" s="6">
        <f>IF(ISNUMBER('Registro por Sessão'!$V407),'Registro por Sessão'!$V407,"")</f>
        <v/>
      </c>
      <c r="AF84" s="6">
        <f>IF(ISNUMBER('Registro por Sessão'!$V408),'Registro por Sessão'!$V408,"")</f>
        <v/>
      </c>
    </row>
    <row r="85">
      <c r="A85" s="8">
        <f>IF($B85="","",ROW()-3)</f>
        <v/>
      </c>
      <c r="B85" s="9">
        <f>IF(Preenchimento!$B$91="","",Preenchimento!$B$91)</f>
        <v/>
      </c>
      <c r="C85" s="9">
        <f>IF($B85="","",IF(Preenchimento!$C$91="","-",Preenchimento!$C$91))</f>
        <v/>
      </c>
      <c r="D85" s="8">
        <f>IF($B85="","",IF(Preenchimento!$D$91="","-",Preenchimento!$D$91))</f>
        <v/>
      </c>
      <c r="E85" s="32">
        <f>IF($B85="","",IFERROR(AVERAGE(M85:Q85),"-"))</f>
        <v/>
      </c>
      <c r="F85" s="32">
        <f>IF($B85="","",IFERROR(AVERAGE(R85:V85),"-"))</f>
        <v/>
      </c>
      <c r="G85" s="32">
        <f>IF($B85="","",IFERROR(AVERAGE(W85:AA85),"-"))</f>
        <v/>
      </c>
      <c r="H85" s="32">
        <f>IF($B85="","",IFERROR(AVERAGE(AB85:AF85),"-"))</f>
        <v/>
      </c>
      <c r="I85" s="32">
        <f>IF($B85="","",IFERROR(AVERAGE(M85:AF85),"-"))</f>
        <v/>
      </c>
      <c r="J85" s="14">
        <f>IF($B85="","",IF('Registro por Sessão'!$G409="","","S1 D: "&amp;'Registro por Sessão'!$G409&amp;CHAR(10))&amp;IF('Registro por Sessão'!$K409="","","S1 F: "&amp;'Registro por Sessão'!$K409&amp;CHAR(10))&amp;IF('Registro por Sessão'!$O409="","","S1 C: "&amp;'Registro por Sessão'!$O409&amp;CHAR(10))&amp;IF('Registro por Sessão'!$S409="","","S1 P: "&amp;'Registro por Sessão'!$S409&amp;CHAR(10))&amp;IF('Registro por Sessão'!$G410="","","S2 D: "&amp;'Registro por Sessão'!$G410&amp;CHAR(10))&amp;IF('Registro por Sessão'!$K410="","","S2 F: "&amp;'Registro por Sessão'!$K410&amp;CHAR(10))&amp;IF('Registro por Sessão'!$O410="","","S2 C: "&amp;'Registro por Sessão'!$O410&amp;CHAR(10))&amp;IF('Registro por Sessão'!$S410="","","S2 P: "&amp;'Registro por Sessão'!$S410&amp;CHAR(10))&amp;IF('Registro por Sessão'!$G411="","","S3 D: "&amp;'Registro por Sessão'!$G411&amp;CHAR(10))&amp;IF('Registro por Sessão'!$K411="","","S3 F: "&amp;'Registro por Sessão'!$K411&amp;CHAR(10))&amp;IF('Registro por Sessão'!$O411="","","S3 C: "&amp;'Registro por Sessão'!$O411&amp;CHAR(10))&amp;IF('Registro por Sessão'!$S411="","","S3 P: "&amp;'Registro por Sessão'!$S411&amp;CHAR(10))&amp;IF('Registro por Sessão'!$G412="","","S4 D: "&amp;'Registro por Sessão'!$G412&amp;CHAR(10))&amp;IF('Registro por Sessão'!$K412="","","S4 F: "&amp;'Registro por Sessão'!$K412&amp;CHAR(10))&amp;IF('Registro por Sessão'!$O412="","","S4 C: "&amp;'Registro por Sessão'!$O412&amp;CHAR(10))&amp;IF('Registro por Sessão'!$S412="","","S4 P: "&amp;'Registro por Sessão'!$S412&amp;CHAR(10))&amp;IF('Registro por Sessão'!$G413="","","S5 D: "&amp;'Registro por Sessão'!$G413&amp;CHAR(10))&amp;IF('Registro por Sessão'!$K413="","","S5 F: "&amp;'Registro por Sessão'!$K413&amp;CHAR(10))&amp;IF('Registro por Sessão'!$O413="","","S5 C: "&amp;'Registro por Sessão'!$O413&amp;CHAR(10))&amp;IF('Registro por Sessão'!$S413="","","S5 P: "&amp;'Registro por Sessão'!$S413&amp;CHAR(10)))</f>
        <v/>
      </c>
      <c r="K85" s="14">
        <f>IF($B85="","",IF('Registro por Sessão'!$W409="","","S1: "&amp;'Registro por Sessão'!$W409&amp;CHAR(10))&amp;IF('Registro por Sessão'!$X409="","","S1 obs: "&amp;'Registro por Sessão'!$X409&amp;CHAR(10))&amp;IF('Registro por Sessão'!$W410="","","S2: "&amp;'Registro por Sessão'!$W410&amp;CHAR(10))&amp;IF('Registro por Sessão'!$X410="","","S2 obs: "&amp;'Registro por Sessão'!$X410&amp;CHAR(10))&amp;IF('Registro por Sessão'!$W411="","","S3: "&amp;'Registro por Sessão'!$W411&amp;CHAR(10))&amp;IF('Registro por Sessão'!$X411="","","S3 obs: "&amp;'Registro por Sessão'!$X411&amp;CHAR(10))&amp;IF('Registro por Sessão'!$W412="","","S4: "&amp;'Registro por Sessão'!$W412&amp;CHAR(10))&amp;IF('Registro por Sessão'!$X412="","","S4 obs: "&amp;'Registro por Sessão'!$X412&amp;CHAR(10))&amp;IF('Registro por Sessão'!$W413="","","S5: "&amp;'Registro por Sessão'!$W413&amp;CHAR(10))&amp;IF('Registro por Sessão'!$X413="","","S5 obs: "&amp;'Registro por Sessão'!$X413&amp;CHAR(10)))</f>
        <v/>
      </c>
      <c r="L85" s="2" t="n"/>
      <c r="M85" s="8">
        <f>IF(ISNUMBER('Registro por Sessão'!$J409),'Registro por Sessão'!$J409,"")</f>
        <v/>
      </c>
      <c r="N85" s="8">
        <f>IF(ISNUMBER('Registro por Sessão'!$J410),'Registro por Sessão'!$J410,"")</f>
        <v/>
      </c>
      <c r="O85" s="8">
        <f>IF(ISNUMBER('Registro por Sessão'!$J411),'Registro por Sessão'!$J411,"")</f>
        <v/>
      </c>
      <c r="P85" s="8">
        <f>IF(ISNUMBER('Registro por Sessão'!$J412),'Registro por Sessão'!$J412,"")</f>
        <v/>
      </c>
      <c r="Q85" s="8">
        <f>IF(ISNUMBER('Registro por Sessão'!$J413),'Registro por Sessão'!$J413,"")</f>
        <v/>
      </c>
      <c r="R85" s="8">
        <f>IF(ISNUMBER('Registro por Sessão'!$N409),'Registro por Sessão'!$N409,"")</f>
        <v/>
      </c>
      <c r="S85" s="8">
        <f>IF(ISNUMBER('Registro por Sessão'!$N410),'Registro por Sessão'!$N410,"")</f>
        <v/>
      </c>
      <c r="T85" s="8">
        <f>IF(ISNUMBER('Registro por Sessão'!$N411),'Registro por Sessão'!$N411,"")</f>
        <v/>
      </c>
      <c r="U85" s="8">
        <f>IF(ISNUMBER('Registro por Sessão'!$N412),'Registro por Sessão'!$N412,"")</f>
        <v/>
      </c>
      <c r="V85" s="8">
        <f>IF(ISNUMBER('Registro por Sessão'!$N413),'Registro por Sessão'!$N413,"")</f>
        <v/>
      </c>
      <c r="W85" s="8">
        <f>IF(ISNUMBER('Registro por Sessão'!$R409),'Registro por Sessão'!$R409,"")</f>
        <v/>
      </c>
      <c r="X85" s="8">
        <f>IF(ISNUMBER('Registro por Sessão'!$R410),'Registro por Sessão'!$R410,"")</f>
        <v/>
      </c>
      <c r="Y85" s="8">
        <f>IF(ISNUMBER('Registro por Sessão'!$R411),'Registro por Sessão'!$R411,"")</f>
        <v/>
      </c>
      <c r="Z85" s="8">
        <f>IF(ISNUMBER('Registro por Sessão'!$R412),'Registro por Sessão'!$R412,"")</f>
        <v/>
      </c>
      <c r="AA85" s="8">
        <f>IF(ISNUMBER('Registro por Sessão'!$R413),'Registro por Sessão'!$R413,"")</f>
        <v/>
      </c>
      <c r="AB85" s="8">
        <f>IF(ISNUMBER('Registro por Sessão'!$V409),'Registro por Sessão'!$V409,"")</f>
        <v/>
      </c>
      <c r="AC85" s="8">
        <f>IF(ISNUMBER('Registro por Sessão'!$V410),'Registro por Sessão'!$V410,"")</f>
        <v/>
      </c>
      <c r="AD85" s="8">
        <f>IF(ISNUMBER('Registro por Sessão'!$V411),'Registro por Sessão'!$V411,"")</f>
        <v/>
      </c>
      <c r="AE85" s="8">
        <f>IF(ISNUMBER('Registro por Sessão'!$V412),'Registro por Sessão'!$V412,"")</f>
        <v/>
      </c>
      <c r="AF85" s="8">
        <f>IF(ISNUMBER('Registro por Sessão'!$V413),'Registro por Sessão'!$V413,"")</f>
        <v/>
      </c>
    </row>
    <row r="86">
      <c r="A86" s="6">
        <f>IF($B86="","",ROW()-3)</f>
        <v/>
      </c>
      <c r="B86" s="7">
        <f>IF(Preenchimento!$B$92="","",Preenchimento!$B$92)</f>
        <v/>
      </c>
      <c r="C86" s="7">
        <f>IF($B86="","",IF(Preenchimento!$C$92="","-",Preenchimento!$C$92))</f>
        <v/>
      </c>
      <c r="D86" s="6">
        <f>IF($B86="","",IF(Preenchimento!$D$92="","-",Preenchimento!$D$92))</f>
        <v/>
      </c>
      <c r="E86" s="31">
        <f>IF($B86="","",IFERROR(AVERAGE(M86:Q86),"-"))</f>
        <v/>
      </c>
      <c r="F86" s="31">
        <f>IF($B86="","",IFERROR(AVERAGE(R86:V86),"-"))</f>
        <v/>
      </c>
      <c r="G86" s="31">
        <f>IF($B86="","",IFERROR(AVERAGE(W86:AA86),"-"))</f>
        <v/>
      </c>
      <c r="H86" s="31">
        <f>IF($B86="","",IFERROR(AVERAGE(AB86:AF86),"-"))</f>
        <v/>
      </c>
      <c r="I86" s="31">
        <f>IF($B86="","",IFERROR(AVERAGE(M86:AF86),"-"))</f>
        <v/>
      </c>
      <c r="J86" s="13">
        <f>IF($B86="","",IF('Registro por Sessão'!$G414="","","S1 D: "&amp;'Registro por Sessão'!$G414&amp;CHAR(10))&amp;IF('Registro por Sessão'!$K414="","","S1 F: "&amp;'Registro por Sessão'!$K414&amp;CHAR(10))&amp;IF('Registro por Sessão'!$O414="","","S1 C: "&amp;'Registro por Sessão'!$O414&amp;CHAR(10))&amp;IF('Registro por Sessão'!$S414="","","S1 P: "&amp;'Registro por Sessão'!$S414&amp;CHAR(10))&amp;IF('Registro por Sessão'!$G415="","","S2 D: "&amp;'Registro por Sessão'!$G415&amp;CHAR(10))&amp;IF('Registro por Sessão'!$K415="","","S2 F: "&amp;'Registro por Sessão'!$K415&amp;CHAR(10))&amp;IF('Registro por Sessão'!$O415="","","S2 C: "&amp;'Registro por Sessão'!$O415&amp;CHAR(10))&amp;IF('Registro por Sessão'!$S415="","","S2 P: "&amp;'Registro por Sessão'!$S415&amp;CHAR(10))&amp;IF('Registro por Sessão'!$G416="","","S3 D: "&amp;'Registro por Sessão'!$G416&amp;CHAR(10))&amp;IF('Registro por Sessão'!$K416="","","S3 F: "&amp;'Registro por Sessão'!$K416&amp;CHAR(10))&amp;IF('Registro por Sessão'!$O416="","","S3 C: "&amp;'Registro por Sessão'!$O416&amp;CHAR(10))&amp;IF('Registro por Sessão'!$S416="","","S3 P: "&amp;'Registro por Sessão'!$S416&amp;CHAR(10))&amp;IF('Registro por Sessão'!$G417="","","S4 D: "&amp;'Registro por Sessão'!$G417&amp;CHAR(10))&amp;IF('Registro por Sessão'!$K417="","","S4 F: "&amp;'Registro por Sessão'!$K417&amp;CHAR(10))&amp;IF('Registro por Sessão'!$O417="","","S4 C: "&amp;'Registro por Sessão'!$O417&amp;CHAR(10))&amp;IF('Registro por Sessão'!$S417="","","S4 P: "&amp;'Registro por Sessão'!$S417&amp;CHAR(10))&amp;IF('Registro por Sessão'!$G418="","","S5 D: "&amp;'Registro por Sessão'!$G418&amp;CHAR(10))&amp;IF('Registro por Sessão'!$K418="","","S5 F: "&amp;'Registro por Sessão'!$K418&amp;CHAR(10))&amp;IF('Registro por Sessão'!$O418="","","S5 C: "&amp;'Registro por Sessão'!$O418&amp;CHAR(10))&amp;IF('Registro por Sessão'!$S418="","","S5 P: "&amp;'Registro por Sessão'!$S418&amp;CHAR(10)))</f>
        <v/>
      </c>
      <c r="K86" s="13">
        <f>IF($B86="","",IF('Registro por Sessão'!$W414="","","S1: "&amp;'Registro por Sessão'!$W414&amp;CHAR(10))&amp;IF('Registro por Sessão'!$X414="","","S1 obs: "&amp;'Registro por Sessão'!$X414&amp;CHAR(10))&amp;IF('Registro por Sessão'!$W415="","","S2: "&amp;'Registro por Sessão'!$W415&amp;CHAR(10))&amp;IF('Registro por Sessão'!$X415="","","S2 obs: "&amp;'Registro por Sessão'!$X415&amp;CHAR(10))&amp;IF('Registro por Sessão'!$W416="","","S3: "&amp;'Registro por Sessão'!$W416&amp;CHAR(10))&amp;IF('Registro por Sessão'!$X416="","","S3 obs: "&amp;'Registro por Sessão'!$X416&amp;CHAR(10))&amp;IF('Registro por Sessão'!$W417="","","S4: "&amp;'Registro por Sessão'!$W417&amp;CHAR(10))&amp;IF('Registro por Sessão'!$X417="","","S4 obs: "&amp;'Registro por Sessão'!$X417&amp;CHAR(10))&amp;IF('Registro por Sessão'!$W418="","","S5: "&amp;'Registro por Sessão'!$W418&amp;CHAR(10))&amp;IF('Registro por Sessão'!$X418="","","S5 obs: "&amp;'Registro por Sessão'!$X418&amp;CHAR(10)))</f>
        <v/>
      </c>
      <c r="L86" s="2" t="n"/>
      <c r="M86" s="6">
        <f>IF(ISNUMBER('Registro por Sessão'!$J414),'Registro por Sessão'!$J414,"")</f>
        <v/>
      </c>
      <c r="N86" s="6">
        <f>IF(ISNUMBER('Registro por Sessão'!$J415),'Registro por Sessão'!$J415,"")</f>
        <v/>
      </c>
      <c r="O86" s="6">
        <f>IF(ISNUMBER('Registro por Sessão'!$J416),'Registro por Sessão'!$J416,"")</f>
        <v/>
      </c>
      <c r="P86" s="6">
        <f>IF(ISNUMBER('Registro por Sessão'!$J417),'Registro por Sessão'!$J417,"")</f>
        <v/>
      </c>
      <c r="Q86" s="6">
        <f>IF(ISNUMBER('Registro por Sessão'!$J418),'Registro por Sessão'!$J418,"")</f>
        <v/>
      </c>
      <c r="R86" s="6">
        <f>IF(ISNUMBER('Registro por Sessão'!$N414),'Registro por Sessão'!$N414,"")</f>
        <v/>
      </c>
      <c r="S86" s="6">
        <f>IF(ISNUMBER('Registro por Sessão'!$N415),'Registro por Sessão'!$N415,"")</f>
        <v/>
      </c>
      <c r="T86" s="6">
        <f>IF(ISNUMBER('Registro por Sessão'!$N416),'Registro por Sessão'!$N416,"")</f>
        <v/>
      </c>
      <c r="U86" s="6">
        <f>IF(ISNUMBER('Registro por Sessão'!$N417),'Registro por Sessão'!$N417,"")</f>
        <v/>
      </c>
      <c r="V86" s="6">
        <f>IF(ISNUMBER('Registro por Sessão'!$N418),'Registro por Sessão'!$N418,"")</f>
        <v/>
      </c>
      <c r="W86" s="6">
        <f>IF(ISNUMBER('Registro por Sessão'!$R414),'Registro por Sessão'!$R414,"")</f>
        <v/>
      </c>
      <c r="X86" s="6">
        <f>IF(ISNUMBER('Registro por Sessão'!$R415),'Registro por Sessão'!$R415,"")</f>
        <v/>
      </c>
      <c r="Y86" s="6">
        <f>IF(ISNUMBER('Registro por Sessão'!$R416),'Registro por Sessão'!$R416,"")</f>
        <v/>
      </c>
      <c r="Z86" s="6">
        <f>IF(ISNUMBER('Registro por Sessão'!$R417),'Registro por Sessão'!$R417,"")</f>
        <v/>
      </c>
      <c r="AA86" s="6">
        <f>IF(ISNUMBER('Registro por Sessão'!$R418),'Registro por Sessão'!$R418,"")</f>
        <v/>
      </c>
      <c r="AB86" s="6">
        <f>IF(ISNUMBER('Registro por Sessão'!$V414),'Registro por Sessão'!$V414,"")</f>
        <v/>
      </c>
      <c r="AC86" s="6">
        <f>IF(ISNUMBER('Registro por Sessão'!$V415),'Registro por Sessão'!$V415,"")</f>
        <v/>
      </c>
      <c r="AD86" s="6">
        <f>IF(ISNUMBER('Registro por Sessão'!$V416),'Registro por Sessão'!$V416,"")</f>
        <v/>
      </c>
      <c r="AE86" s="6">
        <f>IF(ISNUMBER('Registro por Sessão'!$V417),'Registro por Sessão'!$V417,"")</f>
        <v/>
      </c>
      <c r="AF86" s="6">
        <f>IF(ISNUMBER('Registro por Sessão'!$V418),'Registro por Sessão'!$V418,"")</f>
        <v/>
      </c>
    </row>
    <row r="87">
      <c r="A87" s="8">
        <f>IF($B87="","",ROW()-3)</f>
        <v/>
      </c>
      <c r="B87" s="9">
        <f>IF(Preenchimento!$B$93="","",Preenchimento!$B$93)</f>
        <v/>
      </c>
      <c r="C87" s="9">
        <f>IF($B87="","",IF(Preenchimento!$C$93="","-",Preenchimento!$C$93))</f>
        <v/>
      </c>
      <c r="D87" s="8">
        <f>IF($B87="","",IF(Preenchimento!$D$93="","-",Preenchimento!$D$93))</f>
        <v/>
      </c>
      <c r="E87" s="32">
        <f>IF($B87="","",IFERROR(AVERAGE(M87:Q87),"-"))</f>
        <v/>
      </c>
      <c r="F87" s="32">
        <f>IF($B87="","",IFERROR(AVERAGE(R87:V87),"-"))</f>
        <v/>
      </c>
      <c r="G87" s="32">
        <f>IF($B87="","",IFERROR(AVERAGE(W87:AA87),"-"))</f>
        <v/>
      </c>
      <c r="H87" s="32">
        <f>IF($B87="","",IFERROR(AVERAGE(AB87:AF87),"-"))</f>
        <v/>
      </c>
      <c r="I87" s="32">
        <f>IF($B87="","",IFERROR(AVERAGE(M87:AF87),"-"))</f>
        <v/>
      </c>
      <c r="J87" s="14">
        <f>IF($B87="","",IF('Registro por Sessão'!$G419="","","S1 D: "&amp;'Registro por Sessão'!$G419&amp;CHAR(10))&amp;IF('Registro por Sessão'!$K419="","","S1 F: "&amp;'Registro por Sessão'!$K419&amp;CHAR(10))&amp;IF('Registro por Sessão'!$O419="","","S1 C: "&amp;'Registro por Sessão'!$O419&amp;CHAR(10))&amp;IF('Registro por Sessão'!$S419="","","S1 P: "&amp;'Registro por Sessão'!$S419&amp;CHAR(10))&amp;IF('Registro por Sessão'!$G420="","","S2 D: "&amp;'Registro por Sessão'!$G420&amp;CHAR(10))&amp;IF('Registro por Sessão'!$K420="","","S2 F: "&amp;'Registro por Sessão'!$K420&amp;CHAR(10))&amp;IF('Registro por Sessão'!$O420="","","S2 C: "&amp;'Registro por Sessão'!$O420&amp;CHAR(10))&amp;IF('Registro por Sessão'!$S420="","","S2 P: "&amp;'Registro por Sessão'!$S420&amp;CHAR(10))&amp;IF('Registro por Sessão'!$G421="","","S3 D: "&amp;'Registro por Sessão'!$G421&amp;CHAR(10))&amp;IF('Registro por Sessão'!$K421="","","S3 F: "&amp;'Registro por Sessão'!$K421&amp;CHAR(10))&amp;IF('Registro por Sessão'!$O421="","","S3 C: "&amp;'Registro por Sessão'!$O421&amp;CHAR(10))&amp;IF('Registro por Sessão'!$S421="","","S3 P: "&amp;'Registro por Sessão'!$S421&amp;CHAR(10))&amp;IF('Registro por Sessão'!$G422="","","S4 D: "&amp;'Registro por Sessão'!$G422&amp;CHAR(10))&amp;IF('Registro por Sessão'!$K422="","","S4 F: "&amp;'Registro por Sessão'!$K422&amp;CHAR(10))&amp;IF('Registro por Sessão'!$O422="","","S4 C: "&amp;'Registro por Sessão'!$O422&amp;CHAR(10))&amp;IF('Registro por Sessão'!$S422="","","S4 P: "&amp;'Registro por Sessão'!$S422&amp;CHAR(10))&amp;IF('Registro por Sessão'!$G423="","","S5 D: "&amp;'Registro por Sessão'!$G423&amp;CHAR(10))&amp;IF('Registro por Sessão'!$K423="","","S5 F: "&amp;'Registro por Sessão'!$K423&amp;CHAR(10))&amp;IF('Registro por Sessão'!$O423="","","S5 C: "&amp;'Registro por Sessão'!$O423&amp;CHAR(10))&amp;IF('Registro por Sessão'!$S423="","","S5 P: "&amp;'Registro por Sessão'!$S423&amp;CHAR(10)))</f>
        <v/>
      </c>
      <c r="K87" s="14">
        <f>IF($B87="","",IF('Registro por Sessão'!$W419="","","S1: "&amp;'Registro por Sessão'!$W419&amp;CHAR(10))&amp;IF('Registro por Sessão'!$X419="","","S1 obs: "&amp;'Registro por Sessão'!$X419&amp;CHAR(10))&amp;IF('Registro por Sessão'!$W420="","","S2: "&amp;'Registro por Sessão'!$W420&amp;CHAR(10))&amp;IF('Registro por Sessão'!$X420="","","S2 obs: "&amp;'Registro por Sessão'!$X420&amp;CHAR(10))&amp;IF('Registro por Sessão'!$W421="","","S3: "&amp;'Registro por Sessão'!$W421&amp;CHAR(10))&amp;IF('Registro por Sessão'!$X421="","","S3 obs: "&amp;'Registro por Sessão'!$X421&amp;CHAR(10))&amp;IF('Registro por Sessão'!$W422="","","S4: "&amp;'Registro por Sessão'!$W422&amp;CHAR(10))&amp;IF('Registro por Sessão'!$X422="","","S4 obs: "&amp;'Registro por Sessão'!$X422&amp;CHAR(10))&amp;IF('Registro por Sessão'!$W423="","","S5: "&amp;'Registro por Sessão'!$W423&amp;CHAR(10))&amp;IF('Registro por Sessão'!$X423="","","S5 obs: "&amp;'Registro por Sessão'!$X423&amp;CHAR(10)))</f>
        <v/>
      </c>
      <c r="L87" s="2" t="n"/>
      <c r="M87" s="8">
        <f>IF(ISNUMBER('Registro por Sessão'!$J419),'Registro por Sessão'!$J419,"")</f>
        <v/>
      </c>
      <c r="N87" s="8">
        <f>IF(ISNUMBER('Registro por Sessão'!$J420),'Registro por Sessão'!$J420,"")</f>
        <v/>
      </c>
      <c r="O87" s="8">
        <f>IF(ISNUMBER('Registro por Sessão'!$J421),'Registro por Sessão'!$J421,"")</f>
        <v/>
      </c>
      <c r="P87" s="8">
        <f>IF(ISNUMBER('Registro por Sessão'!$J422),'Registro por Sessão'!$J422,"")</f>
        <v/>
      </c>
      <c r="Q87" s="8">
        <f>IF(ISNUMBER('Registro por Sessão'!$J423),'Registro por Sessão'!$J423,"")</f>
        <v/>
      </c>
      <c r="R87" s="8">
        <f>IF(ISNUMBER('Registro por Sessão'!$N419),'Registro por Sessão'!$N419,"")</f>
        <v/>
      </c>
      <c r="S87" s="8">
        <f>IF(ISNUMBER('Registro por Sessão'!$N420),'Registro por Sessão'!$N420,"")</f>
        <v/>
      </c>
      <c r="T87" s="8">
        <f>IF(ISNUMBER('Registro por Sessão'!$N421),'Registro por Sessão'!$N421,"")</f>
        <v/>
      </c>
      <c r="U87" s="8">
        <f>IF(ISNUMBER('Registro por Sessão'!$N422),'Registro por Sessão'!$N422,"")</f>
        <v/>
      </c>
      <c r="V87" s="8">
        <f>IF(ISNUMBER('Registro por Sessão'!$N423),'Registro por Sessão'!$N423,"")</f>
        <v/>
      </c>
      <c r="W87" s="8">
        <f>IF(ISNUMBER('Registro por Sessão'!$R419),'Registro por Sessão'!$R419,"")</f>
        <v/>
      </c>
      <c r="X87" s="8">
        <f>IF(ISNUMBER('Registro por Sessão'!$R420),'Registro por Sessão'!$R420,"")</f>
        <v/>
      </c>
      <c r="Y87" s="8">
        <f>IF(ISNUMBER('Registro por Sessão'!$R421),'Registro por Sessão'!$R421,"")</f>
        <v/>
      </c>
      <c r="Z87" s="8">
        <f>IF(ISNUMBER('Registro por Sessão'!$R422),'Registro por Sessão'!$R422,"")</f>
        <v/>
      </c>
      <c r="AA87" s="8">
        <f>IF(ISNUMBER('Registro por Sessão'!$R423),'Registro por Sessão'!$R423,"")</f>
        <v/>
      </c>
      <c r="AB87" s="8">
        <f>IF(ISNUMBER('Registro por Sessão'!$V419),'Registro por Sessão'!$V419,"")</f>
        <v/>
      </c>
      <c r="AC87" s="8">
        <f>IF(ISNUMBER('Registro por Sessão'!$V420),'Registro por Sessão'!$V420,"")</f>
        <v/>
      </c>
      <c r="AD87" s="8">
        <f>IF(ISNUMBER('Registro por Sessão'!$V421),'Registro por Sessão'!$V421,"")</f>
        <v/>
      </c>
      <c r="AE87" s="8">
        <f>IF(ISNUMBER('Registro por Sessão'!$V422),'Registro por Sessão'!$V422,"")</f>
        <v/>
      </c>
      <c r="AF87" s="8">
        <f>IF(ISNUMBER('Registro por Sessão'!$V423),'Registro por Sessão'!$V423,"")</f>
        <v/>
      </c>
    </row>
    <row r="88">
      <c r="A88" s="6">
        <f>IF($B88="","",ROW()-3)</f>
        <v/>
      </c>
      <c r="B88" s="7">
        <f>IF(Preenchimento!$B$94="","",Preenchimento!$B$94)</f>
        <v/>
      </c>
      <c r="C88" s="7">
        <f>IF($B88="","",IF(Preenchimento!$C$94="","-",Preenchimento!$C$94))</f>
        <v/>
      </c>
      <c r="D88" s="6">
        <f>IF($B88="","",IF(Preenchimento!$D$94="","-",Preenchimento!$D$94))</f>
        <v/>
      </c>
      <c r="E88" s="31">
        <f>IF($B88="","",IFERROR(AVERAGE(M88:Q88),"-"))</f>
        <v/>
      </c>
      <c r="F88" s="31">
        <f>IF($B88="","",IFERROR(AVERAGE(R88:V88),"-"))</f>
        <v/>
      </c>
      <c r="G88" s="31">
        <f>IF($B88="","",IFERROR(AVERAGE(W88:AA88),"-"))</f>
        <v/>
      </c>
      <c r="H88" s="31">
        <f>IF($B88="","",IFERROR(AVERAGE(AB88:AF88),"-"))</f>
        <v/>
      </c>
      <c r="I88" s="31">
        <f>IF($B88="","",IFERROR(AVERAGE(M88:AF88),"-"))</f>
        <v/>
      </c>
      <c r="J88" s="13">
        <f>IF($B88="","",IF('Registro por Sessão'!$G424="","","S1 D: "&amp;'Registro por Sessão'!$G424&amp;CHAR(10))&amp;IF('Registro por Sessão'!$K424="","","S1 F: "&amp;'Registro por Sessão'!$K424&amp;CHAR(10))&amp;IF('Registro por Sessão'!$O424="","","S1 C: "&amp;'Registro por Sessão'!$O424&amp;CHAR(10))&amp;IF('Registro por Sessão'!$S424="","","S1 P: "&amp;'Registro por Sessão'!$S424&amp;CHAR(10))&amp;IF('Registro por Sessão'!$G425="","","S2 D: "&amp;'Registro por Sessão'!$G425&amp;CHAR(10))&amp;IF('Registro por Sessão'!$K425="","","S2 F: "&amp;'Registro por Sessão'!$K425&amp;CHAR(10))&amp;IF('Registro por Sessão'!$O425="","","S2 C: "&amp;'Registro por Sessão'!$O425&amp;CHAR(10))&amp;IF('Registro por Sessão'!$S425="","","S2 P: "&amp;'Registro por Sessão'!$S425&amp;CHAR(10))&amp;IF('Registro por Sessão'!$G426="","","S3 D: "&amp;'Registro por Sessão'!$G426&amp;CHAR(10))&amp;IF('Registro por Sessão'!$K426="","","S3 F: "&amp;'Registro por Sessão'!$K426&amp;CHAR(10))&amp;IF('Registro por Sessão'!$O426="","","S3 C: "&amp;'Registro por Sessão'!$O426&amp;CHAR(10))&amp;IF('Registro por Sessão'!$S426="","","S3 P: "&amp;'Registro por Sessão'!$S426&amp;CHAR(10))&amp;IF('Registro por Sessão'!$G427="","","S4 D: "&amp;'Registro por Sessão'!$G427&amp;CHAR(10))&amp;IF('Registro por Sessão'!$K427="","","S4 F: "&amp;'Registro por Sessão'!$K427&amp;CHAR(10))&amp;IF('Registro por Sessão'!$O427="","","S4 C: "&amp;'Registro por Sessão'!$O427&amp;CHAR(10))&amp;IF('Registro por Sessão'!$S427="","","S4 P: "&amp;'Registro por Sessão'!$S427&amp;CHAR(10))&amp;IF('Registro por Sessão'!$G428="","","S5 D: "&amp;'Registro por Sessão'!$G428&amp;CHAR(10))&amp;IF('Registro por Sessão'!$K428="","","S5 F: "&amp;'Registro por Sessão'!$K428&amp;CHAR(10))&amp;IF('Registro por Sessão'!$O428="","","S5 C: "&amp;'Registro por Sessão'!$O428&amp;CHAR(10))&amp;IF('Registro por Sessão'!$S428="","","S5 P: "&amp;'Registro por Sessão'!$S428&amp;CHAR(10)))</f>
        <v/>
      </c>
      <c r="K88" s="13">
        <f>IF($B88="","",IF('Registro por Sessão'!$W424="","","S1: "&amp;'Registro por Sessão'!$W424&amp;CHAR(10))&amp;IF('Registro por Sessão'!$X424="","","S1 obs: "&amp;'Registro por Sessão'!$X424&amp;CHAR(10))&amp;IF('Registro por Sessão'!$W425="","","S2: "&amp;'Registro por Sessão'!$W425&amp;CHAR(10))&amp;IF('Registro por Sessão'!$X425="","","S2 obs: "&amp;'Registro por Sessão'!$X425&amp;CHAR(10))&amp;IF('Registro por Sessão'!$W426="","","S3: "&amp;'Registro por Sessão'!$W426&amp;CHAR(10))&amp;IF('Registro por Sessão'!$X426="","","S3 obs: "&amp;'Registro por Sessão'!$X426&amp;CHAR(10))&amp;IF('Registro por Sessão'!$W427="","","S4: "&amp;'Registro por Sessão'!$W427&amp;CHAR(10))&amp;IF('Registro por Sessão'!$X427="","","S4 obs: "&amp;'Registro por Sessão'!$X427&amp;CHAR(10))&amp;IF('Registro por Sessão'!$W428="","","S5: "&amp;'Registro por Sessão'!$W428&amp;CHAR(10))&amp;IF('Registro por Sessão'!$X428="","","S5 obs: "&amp;'Registro por Sessão'!$X428&amp;CHAR(10)))</f>
        <v/>
      </c>
      <c r="L88" s="2" t="n"/>
      <c r="M88" s="6">
        <f>IF(ISNUMBER('Registro por Sessão'!$J424),'Registro por Sessão'!$J424,"")</f>
        <v/>
      </c>
      <c r="N88" s="6">
        <f>IF(ISNUMBER('Registro por Sessão'!$J425),'Registro por Sessão'!$J425,"")</f>
        <v/>
      </c>
      <c r="O88" s="6">
        <f>IF(ISNUMBER('Registro por Sessão'!$J426),'Registro por Sessão'!$J426,"")</f>
        <v/>
      </c>
      <c r="P88" s="6">
        <f>IF(ISNUMBER('Registro por Sessão'!$J427),'Registro por Sessão'!$J427,"")</f>
        <v/>
      </c>
      <c r="Q88" s="6">
        <f>IF(ISNUMBER('Registro por Sessão'!$J428),'Registro por Sessão'!$J428,"")</f>
        <v/>
      </c>
      <c r="R88" s="6">
        <f>IF(ISNUMBER('Registro por Sessão'!$N424),'Registro por Sessão'!$N424,"")</f>
        <v/>
      </c>
      <c r="S88" s="6">
        <f>IF(ISNUMBER('Registro por Sessão'!$N425),'Registro por Sessão'!$N425,"")</f>
        <v/>
      </c>
      <c r="T88" s="6">
        <f>IF(ISNUMBER('Registro por Sessão'!$N426),'Registro por Sessão'!$N426,"")</f>
        <v/>
      </c>
      <c r="U88" s="6">
        <f>IF(ISNUMBER('Registro por Sessão'!$N427),'Registro por Sessão'!$N427,"")</f>
        <v/>
      </c>
      <c r="V88" s="6">
        <f>IF(ISNUMBER('Registro por Sessão'!$N428),'Registro por Sessão'!$N428,"")</f>
        <v/>
      </c>
      <c r="W88" s="6">
        <f>IF(ISNUMBER('Registro por Sessão'!$R424),'Registro por Sessão'!$R424,"")</f>
        <v/>
      </c>
      <c r="X88" s="6">
        <f>IF(ISNUMBER('Registro por Sessão'!$R425),'Registro por Sessão'!$R425,"")</f>
        <v/>
      </c>
      <c r="Y88" s="6">
        <f>IF(ISNUMBER('Registro por Sessão'!$R426),'Registro por Sessão'!$R426,"")</f>
        <v/>
      </c>
      <c r="Z88" s="6">
        <f>IF(ISNUMBER('Registro por Sessão'!$R427),'Registro por Sessão'!$R427,"")</f>
        <v/>
      </c>
      <c r="AA88" s="6">
        <f>IF(ISNUMBER('Registro por Sessão'!$R428),'Registro por Sessão'!$R428,"")</f>
        <v/>
      </c>
      <c r="AB88" s="6">
        <f>IF(ISNUMBER('Registro por Sessão'!$V424),'Registro por Sessão'!$V424,"")</f>
        <v/>
      </c>
      <c r="AC88" s="6">
        <f>IF(ISNUMBER('Registro por Sessão'!$V425),'Registro por Sessão'!$V425,"")</f>
        <v/>
      </c>
      <c r="AD88" s="6">
        <f>IF(ISNUMBER('Registro por Sessão'!$V426),'Registro por Sessão'!$V426,"")</f>
        <v/>
      </c>
      <c r="AE88" s="6">
        <f>IF(ISNUMBER('Registro por Sessão'!$V427),'Registro por Sessão'!$V427,"")</f>
        <v/>
      </c>
      <c r="AF88" s="6">
        <f>IF(ISNUMBER('Registro por Sessão'!$V428),'Registro por Sessão'!$V428,"")</f>
        <v/>
      </c>
    </row>
    <row r="89">
      <c r="A89" s="8">
        <f>IF($B89="","",ROW()-3)</f>
        <v/>
      </c>
      <c r="B89" s="9">
        <f>IF(Preenchimento!$B$95="","",Preenchimento!$B$95)</f>
        <v/>
      </c>
      <c r="C89" s="9">
        <f>IF($B89="","",IF(Preenchimento!$C$95="","-",Preenchimento!$C$95))</f>
        <v/>
      </c>
      <c r="D89" s="8">
        <f>IF($B89="","",IF(Preenchimento!$D$95="","-",Preenchimento!$D$95))</f>
        <v/>
      </c>
      <c r="E89" s="32">
        <f>IF($B89="","",IFERROR(AVERAGE(M89:Q89),"-"))</f>
        <v/>
      </c>
      <c r="F89" s="32">
        <f>IF($B89="","",IFERROR(AVERAGE(R89:V89),"-"))</f>
        <v/>
      </c>
      <c r="G89" s="32">
        <f>IF($B89="","",IFERROR(AVERAGE(W89:AA89),"-"))</f>
        <v/>
      </c>
      <c r="H89" s="32">
        <f>IF($B89="","",IFERROR(AVERAGE(AB89:AF89),"-"))</f>
        <v/>
      </c>
      <c r="I89" s="32">
        <f>IF($B89="","",IFERROR(AVERAGE(M89:AF89),"-"))</f>
        <v/>
      </c>
      <c r="J89" s="14">
        <f>IF($B89="","",IF('Registro por Sessão'!$G429="","","S1 D: "&amp;'Registro por Sessão'!$G429&amp;CHAR(10))&amp;IF('Registro por Sessão'!$K429="","","S1 F: "&amp;'Registro por Sessão'!$K429&amp;CHAR(10))&amp;IF('Registro por Sessão'!$O429="","","S1 C: "&amp;'Registro por Sessão'!$O429&amp;CHAR(10))&amp;IF('Registro por Sessão'!$S429="","","S1 P: "&amp;'Registro por Sessão'!$S429&amp;CHAR(10))&amp;IF('Registro por Sessão'!$G430="","","S2 D: "&amp;'Registro por Sessão'!$G430&amp;CHAR(10))&amp;IF('Registro por Sessão'!$K430="","","S2 F: "&amp;'Registro por Sessão'!$K430&amp;CHAR(10))&amp;IF('Registro por Sessão'!$O430="","","S2 C: "&amp;'Registro por Sessão'!$O430&amp;CHAR(10))&amp;IF('Registro por Sessão'!$S430="","","S2 P: "&amp;'Registro por Sessão'!$S430&amp;CHAR(10))&amp;IF('Registro por Sessão'!$G431="","","S3 D: "&amp;'Registro por Sessão'!$G431&amp;CHAR(10))&amp;IF('Registro por Sessão'!$K431="","","S3 F: "&amp;'Registro por Sessão'!$K431&amp;CHAR(10))&amp;IF('Registro por Sessão'!$O431="","","S3 C: "&amp;'Registro por Sessão'!$O431&amp;CHAR(10))&amp;IF('Registro por Sessão'!$S431="","","S3 P: "&amp;'Registro por Sessão'!$S431&amp;CHAR(10))&amp;IF('Registro por Sessão'!$G432="","","S4 D: "&amp;'Registro por Sessão'!$G432&amp;CHAR(10))&amp;IF('Registro por Sessão'!$K432="","","S4 F: "&amp;'Registro por Sessão'!$K432&amp;CHAR(10))&amp;IF('Registro por Sessão'!$O432="","","S4 C: "&amp;'Registro por Sessão'!$O432&amp;CHAR(10))&amp;IF('Registro por Sessão'!$S432="","","S4 P: "&amp;'Registro por Sessão'!$S432&amp;CHAR(10))&amp;IF('Registro por Sessão'!$G433="","","S5 D: "&amp;'Registro por Sessão'!$G433&amp;CHAR(10))&amp;IF('Registro por Sessão'!$K433="","","S5 F: "&amp;'Registro por Sessão'!$K433&amp;CHAR(10))&amp;IF('Registro por Sessão'!$O433="","","S5 C: "&amp;'Registro por Sessão'!$O433&amp;CHAR(10))&amp;IF('Registro por Sessão'!$S433="","","S5 P: "&amp;'Registro por Sessão'!$S433&amp;CHAR(10)))</f>
        <v/>
      </c>
      <c r="K89" s="14">
        <f>IF($B89="","",IF('Registro por Sessão'!$W429="","","S1: "&amp;'Registro por Sessão'!$W429&amp;CHAR(10))&amp;IF('Registro por Sessão'!$X429="","","S1 obs: "&amp;'Registro por Sessão'!$X429&amp;CHAR(10))&amp;IF('Registro por Sessão'!$W430="","","S2: "&amp;'Registro por Sessão'!$W430&amp;CHAR(10))&amp;IF('Registro por Sessão'!$X430="","","S2 obs: "&amp;'Registro por Sessão'!$X430&amp;CHAR(10))&amp;IF('Registro por Sessão'!$W431="","","S3: "&amp;'Registro por Sessão'!$W431&amp;CHAR(10))&amp;IF('Registro por Sessão'!$X431="","","S3 obs: "&amp;'Registro por Sessão'!$X431&amp;CHAR(10))&amp;IF('Registro por Sessão'!$W432="","","S4: "&amp;'Registro por Sessão'!$W432&amp;CHAR(10))&amp;IF('Registro por Sessão'!$X432="","","S4 obs: "&amp;'Registro por Sessão'!$X432&amp;CHAR(10))&amp;IF('Registro por Sessão'!$W433="","","S5: "&amp;'Registro por Sessão'!$W433&amp;CHAR(10))&amp;IF('Registro por Sessão'!$X433="","","S5 obs: "&amp;'Registro por Sessão'!$X433&amp;CHAR(10)))</f>
        <v/>
      </c>
      <c r="L89" s="2" t="n"/>
      <c r="M89" s="8">
        <f>IF(ISNUMBER('Registro por Sessão'!$J429),'Registro por Sessão'!$J429,"")</f>
        <v/>
      </c>
      <c r="N89" s="8">
        <f>IF(ISNUMBER('Registro por Sessão'!$J430),'Registro por Sessão'!$J430,"")</f>
        <v/>
      </c>
      <c r="O89" s="8">
        <f>IF(ISNUMBER('Registro por Sessão'!$J431),'Registro por Sessão'!$J431,"")</f>
        <v/>
      </c>
      <c r="P89" s="8">
        <f>IF(ISNUMBER('Registro por Sessão'!$J432),'Registro por Sessão'!$J432,"")</f>
        <v/>
      </c>
      <c r="Q89" s="8">
        <f>IF(ISNUMBER('Registro por Sessão'!$J433),'Registro por Sessão'!$J433,"")</f>
        <v/>
      </c>
      <c r="R89" s="8">
        <f>IF(ISNUMBER('Registro por Sessão'!$N429),'Registro por Sessão'!$N429,"")</f>
        <v/>
      </c>
      <c r="S89" s="8">
        <f>IF(ISNUMBER('Registro por Sessão'!$N430),'Registro por Sessão'!$N430,"")</f>
        <v/>
      </c>
      <c r="T89" s="8">
        <f>IF(ISNUMBER('Registro por Sessão'!$N431),'Registro por Sessão'!$N431,"")</f>
        <v/>
      </c>
      <c r="U89" s="8">
        <f>IF(ISNUMBER('Registro por Sessão'!$N432),'Registro por Sessão'!$N432,"")</f>
        <v/>
      </c>
      <c r="V89" s="8">
        <f>IF(ISNUMBER('Registro por Sessão'!$N433),'Registro por Sessão'!$N433,"")</f>
        <v/>
      </c>
      <c r="W89" s="8">
        <f>IF(ISNUMBER('Registro por Sessão'!$R429),'Registro por Sessão'!$R429,"")</f>
        <v/>
      </c>
      <c r="X89" s="8">
        <f>IF(ISNUMBER('Registro por Sessão'!$R430),'Registro por Sessão'!$R430,"")</f>
        <v/>
      </c>
      <c r="Y89" s="8">
        <f>IF(ISNUMBER('Registro por Sessão'!$R431),'Registro por Sessão'!$R431,"")</f>
        <v/>
      </c>
      <c r="Z89" s="8">
        <f>IF(ISNUMBER('Registro por Sessão'!$R432),'Registro por Sessão'!$R432,"")</f>
        <v/>
      </c>
      <c r="AA89" s="8">
        <f>IF(ISNUMBER('Registro por Sessão'!$R433),'Registro por Sessão'!$R433,"")</f>
        <v/>
      </c>
      <c r="AB89" s="8">
        <f>IF(ISNUMBER('Registro por Sessão'!$V429),'Registro por Sessão'!$V429,"")</f>
        <v/>
      </c>
      <c r="AC89" s="8">
        <f>IF(ISNUMBER('Registro por Sessão'!$V430),'Registro por Sessão'!$V430,"")</f>
        <v/>
      </c>
      <c r="AD89" s="8">
        <f>IF(ISNUMBER('Registro por Sessão'!$V431),'Registro por Sessão'!$V431,"")</f>
        <v/>
      </c>
      <c r="AE89" s="8">
        <f>IF(ISNUMBER('Registro por Sessão'!$V432),'Registro por Sessão'!$V432,"")</f>
        <v/>
      </c>
      <c r="AF89" s="8">
        <f>IF(ISNUMBER('Registro por Sessão'!$V433),'Registro por Sessão'!$V433,"")</f>
        <v/>
      </c>
    </row>
    <row r="90">
      <c r="A90" s="6">
        <f>IF($B90="","",ROW()-3)</f>
        <v/>
      </c>
      <c r="B90" s="7">
        <f>IF(Preenchimento!$B$96="","",Preenchimento!$B$96)</f>
        <v/>
      </c>
      <c r="C90" s="7">
        <f>IF($B90="","",IF(Preenchimento!$C$96="","-",Preenchimento!$C$96))</f>
        <v/>
      </c>
      <c r="D90" s="6">
        <f>IF($B90="","",IF(Preenchimento!$D$96="","-",Preenchimento!$D$96))</f>
        <v/>
      </c>
      <c r="E90" s="31">
        <f>IF($B90="","",IFERROR(AVERAGE(M90:Q90),"-"))</f>
        <v/>
      </c>
      <c r="F90" s="31">
        <f>IF($B90="","",IFERROR(AVERAGE(R90:V90),"-"))</f>
        <v/>
      </c>
      <c r="G90" s="31">
        <f>IF($B90="","",IFERROR(AVERAGE(W90:AA90),"-"))</f>
        <v/>
      </c>
      <c r="H90" s="31">
        <f>IF($B90="","",IFERROR(AVERAGE(AB90:AF90),"-"))</f>
        <v/>
      </c>
      <c r="I90" s="31">
        <f>IF($B90="","",IFERROR(AVERAGE(M90:AF90),"-"))</f>
        <v/>
      </c>
      <c r="J90" s="13">
        <f>IF($B90="","",IF('Registro por Sessão'!$G434="","","S1 D: "&amp;'Registro por Sessão'!$G434&amp;CHAR(10))&amp;IF('Registro por Sessão'!$K434="","","S1 F: "&amp;'Registro por Sessão'!$K434&amp;CHAR(10))&amp;IF('Registro por Sessão'!$O434="","","S1 C: "&amp;'Registro por Sessão'!$O434&amp;CHAR(10))&amp;IF('Registro por Sessão'!$S434="","","S1 P: "&amp;'Registro por Sessão'!$S434&amp;CHAR(10))&amp;IF('Registro por Sessão'!$G435="","","S2 D: "&amp;'Registro por Sessão'!$G435&amp;CHAR(10))&amp;IF('Registro por Sessão'!$K435="","","S2 F: "&amp;'Registro por Sessão'!$K435&amp;CHAR(10))&amp;IF('Registro por Sessão'!$O435="","","S2 C: "&amp;'Registro por Sessão'!$O435&amp;CHAR(10))&amp;IF('Registro por Sessão'!$S435="","","S2 P: "&amp;'Registro por Sessão'!$S435&amp;CHAR(10))&amp;IF('Registro por Sessão'!$G436="","","S3 D: "&amp;'Registro por Sessão'!$G436&amp;CHAR(10))&amp;IF('Registro por Sessão'!$K436="","","S3 F: "&amp;'Registro por Sessão'!$K436&amp;CHAR(10))&amp;IF('Registro por Sessão'!$O436="","","S3 C: "&amp;'Registro por Sessão'!$O436&amp;CHAR(10))&amp;IF('Registro por Sessão'!$S436="","","S3 P: "&amp;'Registro por Sessão'!$S436&amp;CHAR(10))&amp;IF('Registro por Sessão'!$G437="","","S4 D: "&amp;'Registro por Sessão'!$G437&amp;CHAR(10))&amp;IF('Registro por Sessão'!$K437="","","S4 F: "&amp;'Registro por Sessão'!$K437&amp;CHAR(10))&amp;IF('Registro por Sessão'!$O437="","","S4 C: "&amp;'Registro por Sessão'!$O437&amp;CHAR(10))&amp;IF('Registro por Sessão'!$S437="","","S4 P: "&amp;'Registro por Sessão'!$S437&amp;CHAR(10))&amp;IF('Registro por Sessão'!$G438="","","S5 D: "&amp;'Registro por Sessão'!$G438&amp;CHAR(10))&amp;IF('Registro por Sessão'!$K438="","","S5 F: "&amp;'Registro por Sessão'!$K438&amp;CHAR(10))&amp;IF('Registro por Sessão'!$O438="","","S5 C: "&amp;'Registro por Sessão'!$O438&amp;CHAR(10))&amp;IF('Registro por Sessão'!$S438="","","S5 P: "&amp;'Registro por Sessão'!$S438&amp;CHAR(10)))</f>
        <v/>
      </c>
      <c r="K90" s="13">
        <f>IF($B90="","",IF('Registro por Sessão'!$W434="","","S1: "&amp;'Registro por Sessão'!$W434&amp;CHAR(10))&amp;IF('Registro por Sessão'!$X434="","","S1 obs: "&amp;'Registro por Sessão'!$X434&amp;CHAR(10))&amp;IF('Registro por Sessão'!$W435="","","S2: "&amp;'Registro por Sessão'!$W435&amp;CHAR(10))&amp;IF('Registro por Sessão'!$X435="","","S2 obs: "&amp;'Registro por Sessão'!$X435&amp;CHAR(10))&amp;IF('Registro por Sessão'!$W436="","","S3: "&amp;'Registro por Sessão'!$W436&amp;CHAR(10))&amp;IF('Registro por Sessão'!$X436="","","S3 obs: "&amp;'Registro por Sessão'!$X436&amp;CHAR(10))&amp;IF('Registro por Sessão'!$W437="","","S4: "&amp;'Registro por Sessão'!$W437&amp;CHAR(10))&amp;IF('Registro por Sessão'!$X437="","","S4 obs: "&amp;'Registro por Sessão'!$X437&amp;CHAR(10))&amp;IF('Registro por Sessão'!$W438="","","S5: "&amp;'Registro por Sessão'!$W438&amp;CHAR(10))&amp;IF('Registro por Sessão'!$X438="","","S5 obs: "&amp;'Registro por Sessão'!$X438&amp;CHAR(10)))</f>
        <v/>
      </c>
      <c r="L90" s="2" t="n"/>
      <c r="M90" s="6">
        <f>IF(ISNUMBER('Registro por Sessão'!$J434),'Registro por Sessão'!$J434,"")</f>
        <v/>
      </c>
      <c r="N90" s="6">
        <f>IF(ISNUMBER('Registro por Sessão'!$J435),'Registro por Sessão'!$J435,"")</f>
        <v/>
      </c>
      <c r="O90" s="6">
        <f>IF(ISNUMBER('Registro por Sessão'!$J436),'Registro por Sessão'!$J436,"")</f>
        <v/>
      </c>
      <c r="P90" s="6">
        <f>IF(ISNUMBER('Registro por Sessão'!$J437),'Registro por Sessão'!$J437,"")</f>
        <v/>
      </c>
      <c r="Q90" s="6">
        <f>IF(ISNUMBER('Registro por Sessão'!$J438),'Registro por Sessão'!$J438,"")</f>
        <v/>
      </c>
      <c r="R90" s="6">
        <f>IF(ISNUMBER('Registro por Sessão'!$N434),'Registro por Sessão'!$N434,"")</f>
        <v/>
      </c>
      <c r="S90" s="6">
        <f>IF(ISNUMBER('Registro por Sessão'!$N435),'Registro por Sessão'!$N435,"")</f>
        <v/>
      </c>
      <c r="T90" s="6">
        <f>IF(ISNUMBER('Registro por Sessão'!$N436),'Registro por Sessão'!$N436,"")</f>
        <v/>
      </c>
      <c r="U90" s="6">
        <f>IF(ISNUMBER('Registro por Sessão'!$N437),'Registro por Sessão'!$N437,"")</f>
        <v/>
      </c>
      <c r="V90" s="6">
        <f>IF(ISNUMBER('Registro por Sessão'!$N438),'Registro por Sessão'!$N438,"")</f>
        <v/>
      </c>
      <c r="W90" s="6">
        <f>IF(ISNUMBER('Registro por Sessão'!$R434),'Registro por Sessão'!$R434,"")</f>
        <v/>
      </c>
      <c r="X90" s="6">
        <f>IF(ISNUMBER('Registro por Sessão'!$R435),'Registro por Sessão'!$R435,"")</f>
        <v/>
      </c>
      <c r="Y90" s="6">
        <f>IF(ISNUMBER('Registro por Sessão'!$R436),'Registro por Sessão'!$R436,"")</f>
        <v/>
      </c>
      <c r="Z90" s="6">
        <f>IF(ISNUMBER('Registro por Sessão'!$R437),'Registro por Sessão'!$R437,"")</f>
        <v/>
      </c>
      <c r="AA90" s="6">
        <f>IF(ISNUMBER('Registro por Sessão'!$R438),'Registro por Sessão'!$R438,"")</f>
        <v/>
      </c>
      <c r="AB90" s="6">
        <f>IF(ISNUMBER('Registro por Sessão'!$V434),'Registro por Sessão'!$V434,"")</f>
        <v/>
      </c>
      <c r="AC90" s="6">
        <f>IF(ISNUMBER('Registro por Sessão'!$V435),'Registro por Sessão'!$V435,"")</f>
        <v/>
      </c>
      <c r="AD90" s="6">
        <f>IF(ISNUMBER('Registro por Sessão'!$V436),'Registro por Sessão'!$V436,"")</f>
        <v/>
      </c>
      <c r="AE90" s="6">
        <f>IF(ISNUMBER('Registro por Sessão'!$V437),'Registro por Sessão'!$V437,"")</f>
        <v/>
      </c>
      <c r="AF90" s="6">
        <f>IF(ISNUMBER('Registro por Sessão'!$V438),'Registro por Sessão'!$V438,"")</f>
        <v/>
      </c>
    </row>
    <row r="91">
      <c r="A91" s="8">
        <f>IF($B91="","",ROW()-3)</f>
        <v/>
      </c>
      <c r="B91" s="9">
        <f>IF(Preenchimento!$B$97="","",Preenchimento!$B$97)</f>
        <v/>
      </c>
      <c r="C91" s="9">
        <f>IF($B91="","",IF(Preenchimento!$C$97="","-",Preenchimento!$C$97))</f>
        <v/>
      </c>
      <c r="D91" s="8">
        <f>IF($B91="","",IF(Preenchimento!$D$97="","-",Preenchimento!$D$97))</f>
        <v/>
      </c>
      <c r="E91" s="32">
        <f>IF($B91="","",IFERROR(AVERAGE(M91:Q91),"-"))</f>
        <v/>
      </c>
      <c r="F91" s="32">
        <f>IF($B91="","",IFERROR(AVERAGE(R91:V91),"-"))</f>
        <v/>
      </c>
      <c r="G91" s="32">
        <f>IF($B91="","",IFERROR(AVERAGE(W91:AA91),"-"))</f>
        <v/>
      </c>
      <c r="H91" s="32">
        <f>IF($B91="","",IFERROR(AVERAGE(AB91:AF91),"-"))</f>
        <v/>
      </c>
      <c r="I91" s="32">
        <f>IF($B91="","",IFERROR(AVERAGE(M91:AF91),"-"))</f>
        <v/>
      </c>
      <c r="J91" s="14">
        <f>IF($B91="","",IF('Registro por Sessão'!$G439="","","S1 D: "&amp;'Registro por Sessão'!$G439&amp;CHAR(10))&amp;IF('Registro por Sessão'!$K439="","","S1 F: "&amp;'Registro por Sessão'!$K439&amp;CHAR(10))&amp;IF('Registro por Sessão'!$O439="","","S1 C: "&amp;'Registro por Sessão'!$O439&amp;CHAR(10))&amp;IF('Registro por Sessão'!$S439="","","S1 P: "&amp;'Registro por Sessão'!$S439&amp;CHAR(10))&amp;IF('Registro por Sessão'!$G440="","","S2 D: "&amp;'Registro por Sessão'!$G440&amp;CHAR(10))&amp;IF('Registro por Sessão'!$K440="","","S2 F: "&amp;'Registro por Sessão'!$K440&amp;CHAR(10))&amp;IF('Registro por Sessão'!$O440="","","S2 C: "&amp;'Registro por Sessão'!$O440&amp;CHAR(10))&amp;IF('Registro por Sessão'!$S440="","","S2 P: "&amp;'Registro por Sessão'!$S440&amp;CHAR(10))&amp;IF('Registro por Sessão'!$G441="","","S3 D: "&amp;'Registro por Sessão'!$G441&amp;CHAR(10))&amp;IF('Registro por Sessão'!$K441="","","S3 F: "&amp;'Registro por Sessão'!$K441&amp;CHAR(10))&amp;IF('Registro por Sessão'!$O441="","","S3 C: "&amp;'Registro por Sessão'!$O441&amp;CHAR(10))&amp;IF('Registro por Sessão'!$S441="","","S3 P: "&amp;'Registro por Sessão'!$S441&amp;CHAR(10))&amp;IF('Registro por Sessão'!$G442="","","S4 D: "&amp;'Registro por Sessão'!$G442&amp;CHAR(10))&amp;IF('Registro por Sessão'!$K442="","","S4 F: "&amp;'Registro por Sessão'!$K442&amp;CHAR(10))&amp;IF('Registro por Sessão'!$O442="","","S4 C: "&amp;'Registro por Sessão'!$O442&amp;CHAR(10))&amp;IF('Registro por Sessão'!$S442="","","S4 P: "&amp;'Registro por Sessão'!$S442&amp;CHAR(10))&amp;IF('Registro por Sessão'!$G443="","","S5 D: "&amp;'Registro por Sessão'!$G443&amp;CHAR(10))&amp;IF('Registro por Sessão'!$K443="","","S5 F: "&amp;'Registro por Sessão'!$K443&amp;CHAR(10))&amp;IF('Registro por Sessão'!$O443="","","S5 C: "&amp;'Registro por Sessão'!$O443&amp;CHAR(10))&amp;IF('Registro por Sessão'!$S443="","","S5 P: "&amp;'Registro por Sessão'!$S443&amp;CHAR(10)))</f>
        <v/>
      </c>
      <c r="K91" s="14">
        <f>IF($B91="","",IF('Registro por Sessão'!$W439="","","S1: "&amp;'Registro por Sessão'!$W439&amp;CHAR(10))&amp;IF('Registro por Sessão'!$X439="","","S1 obs: "&amp;'Registro por Sessão'!$X439&amp;CHAR(10))&amp;IF('Registro por Sessão'!$W440="","","S2: "&amp;'Registro por Sessão'!$W440&amp;CHAR(10))&amp;IF('Registro por Sessão'!$X440="","","S2 obs: "&amp;'Registro por Sessão'!$X440&amp;CHAR(10))&amp;IF('Registro por Sessão'!$W441="","","S3: "&amp;'Registro por Sessão'!$W441&amp;CHAR(10))&amp;IF('Registro por Sessão'!$X441="","","S3 obs: "&amp;'Registro por Sessão'!$X441&amp;CHAR(10))&amp;IF('Registro por Sessão'!$W442="","","S4: "&amp;'Registro por Sessão'!$W442&amp;CHAR(10))&amp;IF('Registro por Sessão'!$X442="","","S4 obs: "&amp;'Registro por Sessão'!$X442&amp;CHAR(10))&amp;IF('Registro por Sessão'!$W443="","","S5: "&amp;'Registro por Sessão'!$W443&amp;CHAR(10))&amp;IF('Registro por Sessão'!$X443="","","S5 obs: "&amp;'Registro por Sessão'!$X443&amp;CHAR(10)))</f>
        <v/>
      </c>
      <c r="L91" s="2" t="n"/>
      <c r="M91" s="8">
        <f>IF(ISNUMBER('Registro por Sessão'!$J439),'Registro por Sessão'!$J439,"")</f>
        <v/>
      </c>
      <c r="N91" s="8">
        <f>IF(ISNUMBER('Registro por Sessão'!$J440),'Registro por Sessão'!$J440,"")</f>
        <v/>
      </c>
      <c r="O91" s="8">
        <f>IF(ISNUMBER('Registro por Sessão'!$J441),'Registro por Sessão'!$J441,"")</f>
        <v/>
      </c>
      <c r="P91" s="8">
        <f>IF(ISNUMBER('Registro por Sessão'!$J442),'Registro por Sessão'!$J442,"")</f>
        <v/>
      </c>
      <c r="Q91" s="8">
        <f>IF(ISNUMBER('Registro por Sessão'!$J443),'Registro por Sessão'!$J443,"")</f>
        <v/>
      </c>
      <c r="R91" s="8">
        <f>IF(ISNUMBER('Registro por Sessão'!$N439),'Registro por Sessão'!$N439,"")</f>
        <v/>
      </c>
      <c r="S91" s="8">
        <f>IF(ISNUMBER('Registro por Sessão'!$N440),'Registro por Sessão'!$N440,"")</f>
        <v/>
      </c>
      <c r="T91" s="8">
        <f>IF(ISNUMBER('Registro por Sessão'!$N441),'Registro por Sessão'!$N441,"")</f>
        <v/>
      </c>
      <c r="U91" s="8">
        <f>IF(ISNUMBER('Registro por Sessão'!$N442),'Registro por Sessão'!$N442,"")</f>
        <v/>
      </c>
      <c r="V91" s="8">
        <f>IF(ISNUMBER('Registro por Sessão'!$N443),'Registro por Sessão'!$N443,"")</f>
        <v/>
      </c>
      <c r="W91" s="8">
        <f>IF(ISNUMBER('Registro por Sessão'!$R439),'Registro por Sessão'!$R439,"")</f>
        <v/>
      </c>
      <c r="X91" s="8">
        <f>IF(ISNUMBER('Registro por Sessão'!$R440),'Registro por Sessão'!$R440,"")</f>
        <v/>
      </c>
      <c r="Y91" s="8">
        <f>IF(ISNUMBER('Registro por Sessão'!$R441),'Registro por Sessão'!$R441,"")</f>
        <v/>
      </c>
      <c r="Z91" s="8">
        <f>IF(ISNUMBER('Registro por Sessão'!$R442),'Registro por Sessão'!$R442,"")</f>
        <v/>
      </c>
      <c r="AA91" s="8">
        <f>IF(ISNUMBER('Registro por Sessão'!$R443),'Registro por Sessão'!$R443,"")</f>
        <v/>
      </c>
      <c r="AB91" s="8">
        <f>IF(ISNUMBER('Registro por Sessão'!$V439),'Registro por Sessão'!$V439,"")</f>
        <v/>
      </c>
      <c r="AC91" s="8">
        <f>IF(ISNUMBER('Registro por Sessão'!$V440),'Registro por Sessão'!$V440,"")</f>
        <v/>
      </c>
      <c r="AD91" s="8">
        <f>IF(ISNUMBER('Registro por Sessão'!$V441),'Registro por Sessão'!$V441,"")</f>
        <v/>
      </c>
      <c r="AE91" s="8">
        <f>IF(ISNUMBER('Registro por Sessão'!$V442),'Registro por Sessão'!$V442,"")</f>
        <v/>
      </c>
      <c r="AF91" s="8">
        <f>IF(ISNUMBER('Registro por Sessão'!$V443),'Registro por Sessão'!$V443,"")</f>
        <v/>
      </c>
    </row>
    <row r="92">
      <c r="A92" s="6">
        <f>IF($B92="","",ROW()-3)</f>
        <v/>
      </c>
      <c r="B92" s="7">
        <f>IF(Preenchimento!$B$98="","",Preenchimento!$B$98)</f>
        <v/>
      </c>
      <c r="C92" s="7">
        <f>IF($B92="","",IF(Preenchimento!$C$98="","-",Preenchimento!$C$98))</f>
        <v/>
      </c>
      <c r="D92" s="6">
        <f>IF($B92="","",IF(Preenchimento!$D$98="","-",Preenchimento!$D$98))</f>
        <v/>
      </c>
      <c r="E92" s="31">
        <f>IF($B92="","",IFERROR(AVERAGE(M92:Q92),"-"))</f>
        <v/>
      </c>
      <c r="F92" s="31">
        <f>IF($B92="","",IFERROR(AVERAGE(R92:V92),"-"))</f>
        <v/>
      </c>
      <c r="G92" s="31">
        <f>IF($B92="","",IFERROR(AVERAGE(W92:AA92),"-"))</f>
        <v/>
      </c>
      <c r="H92" s="31">
        <f>IF($B92="","",IFERROR(AVERAGE(AB92:AF92),"-"))</f>
        <v/>
      </c>
      <c r="I92" s="31">
        <f>IF($B92="","",IFERROR(AVERAGE(M92:AF92),"-"))</f>
        <v/>
      </c>
      <c r="J92" s="13">
        <f>IF($B92="","",IF('Registro por Sessão'!$G444="","","S1 D: "&amp;'Registro por Sessão'!$G444&amp;CHAR(10))&amp;IF('Registro por Sessão'!$K444="","","S1 F: "&amp;'Registro por Sessão'!$K444&amp;CHAR(10))&amp;IF('Registro por Sessão'!$O444="","","S1 C: "&amp;'Registro por Sessão'!$O444&amp;CHAR(10))&amp;IF('Registro por Sessão'!$S444="","","S1 P: "&amp;'Registro por Sessão'!$S444&amp;CHAR(10))&amp;IF('Registro por Sessão'!$G445="","","S2 D: "&amp;'Registro por Sessão'!$G445&amp;CHAR(10))&amp;IF('Registro por Sessão'!$K445="","","S2 F: "&amp;'Registro por Sessão'!$K445&amp;CHAR(10))&amp;IF('Registro por Sessão'!$O445="","","S2 C: "&amp;'Registro por Sessão'!$O445&amp;CHAR(10))&amp;IF('Registro por Sessão'!$S445="","","S2 P: "&amp;'Registro por Sessão'!$S445&amp;CHAR(10))&amp;IF('Registro por Sessão'!$G446="","","S3 D: "&amp;'Registro por Sessão'!$G446&amp;CHAR(10))&amp;IF('Registro por Sessão'!$K446="","","S3 F: "&amp;'Registro por Sessão'!$K446&amp;CHAR(10))&amp;IF('Registro por Sessão'!$O446="","","S3 C: "&amp;'Registro por Sessão'!$O446&amp;CHAR(10))&amp;IF('Registro por Sessão'!$S446="","","S3 P: "&amp;'Registro por Sessão'!$S446&amp;CHAR(10))&amp;IF('Registro por Sessão'!$G447="","","S4 D: "&amp;'Registro por Sessão'!$G447&amp;CHAR(10))&amp;IF('Registro por Sessão'!$K447="","","S4 F: "&amp;'Registro por Sessão'!$K447&amp;CHAR(10))&amp;IF('Registro por Sessão'!$O447="","","S4 C: "&amp;'Registro por Sessão'!$O447&amp;CHAR(10))&amp;IF('Registro por Sessão'!$S447="","","S4 P: "&amp;'Registro por Sessão'!$S447&amp;CHAR(10))&amp;IF('Registro por Sessão'!$G448="","","S5 D: "&amp;'Registro por Sessão'!$G448&amp;CHAR(10))&amp;IF('Registro por Sessão'!$K448="","","S5 F: "&amp;'Registro por Sessão'!$K448&amp;CHAR(10))&amp;IF('Registro por Sessão'!$O448="","","S5 C: "&amp;'Registro por Sessão'!$O448&amp;CHAR(10))&amp;IF('Registro por Sessão'!$S448="","","S5 P: "&amp;'Registro por Sessão'!$S448&amp;CHAR(10)))</f>
        <v/>
      </c>
      <c r="K92" s="13">
        <f>IF($B92="","",IF('Registro por Sessão'!$W444="","","S1: "&amp;'Registro por Sessão'!$W444&amp;CHAR(10))&amp;IF('Registro por Sessão'!$X444="","","S1 obs: "&amp;'Registro por Sessão'!$X444&amp;CHAR(10))&amp;IF('Registro por Sessão'!$W445="","","S2: "&amp;'Registro por Sessão'!$W445&amp;CHAR(10))&amp;IF('Registro por Sessão'!$X445="","","S2 obs: "&amp;'Registro por Sessão'!$X445&amp;CHAR(10))&amp;IF('Registro por Sessão'!$W446="","","S3: "&amp;'Registro por Sessão'!$W446&amp;CHAR(10))&amp;IF('Registro por Sessão'!$X446="","","S3 obs: "&amp;'Registro por Sessão'!$X446&amp;CHAR(10))&amp;IF('Registro por Sessão'!$W447="","","S4: "&amp;'Registro por Sessão'!$W447&amp;CHAR(10))&amp;IF('Registro por Sessão'!$X447="","","S4 obs: "&amp;'Registro por Sessão'!$X447&amp;CHAR(10))&amp;IF('Registro por Sessão'!$W448="","","S5: "&amp;'Registro por Sessão'!$W448&amp;CHAR(10))&amp;IF('Registro por Sessão'!$X448="","","S5 obs: "&amp;'Registro por Sessão'!$X448&amp;CHAR(10)))</f>
        <v/>
      </c>
      <c r="L92" s="2" t="n"/>
      <c r="M92" s="6">
        <f>IF(ISNUMBER('Registro por Sessão'!$J444),'Registro por Sessão'!$J444,"")</f>
        <v/>
      </c>
      <c r="N92" s="6">
        <f>IF(ISNUMBER('Registro por Sessão'!$J445),'Registro por Sessão'!$J445,"")</f>
        <v/>
      </c>
      <c r="O92" s="6">
        <f>IF(ISNUMBER('Registro por Sessão'!$J446),'Registro por Sessão'!$J446,"")</f>
        <v/>
      </c>
      <c r="P92" s="6">
        <f>IF(ISNUMBER('Registro por Sessão'!$J447),'Registro por Sessão'!$J447,"")</f>
        <v/>
      </c>
      <c r="Q92" s="6">
        <f>IF(ISNUMBER('Registro por Sessão'!$J448),'Registro por Sessão'!$J448,"")</f>
        <v/>
      </c>
      <c r="R92" s="6">
        <f>IF(ISNUMBER('Registro por Sessão'!$N444),'Registro por Sessão'!$N444,"")</f>
        <v/>
      </c>
      <c r="S92" s="6">
        <f>IF(ISNUMBER('Registro por Sessão'!$N445),'Registro por Sessão'!$N445,"")</f>
        <v/>
      </c>
      <c r="T92" s="6">
        <f>IF(ISNUMBER('Registro por Sessão'!$N446),'Registro por Sessão'!$N446,"")</f>
        <v/>
      </c>
      <c r="U92" s="6">
        <f>IF(ISNUMBER('Registro por Sessão'!$N447),'Registro por Sessão'!$N447,"")</f>
        <v/>
      </c>
      <c r="V92" s="6">
        <f>IF(ISNUMBER('Registro por Sessão'!$N448),'Registro por Sessão'!$N448,"")</f>
        <v/>
      </c>
      <c r="W92" s="6">
        <f>IF(ISNUMBER('Registro por Sessão'!$R444),'Registro por Sessão'!$R444,"")</f>
        <v/>
      </c>
      <c r="X92" s="6">
        <f>IF(ISNUMBER('Registro por Sessão'!$R445),'Registro por Sessão'!$R445,"")</f>
        <v/>
      </c>
      <c r="Y92" s="6">
        <f>IF(ISNUMBER('Registro por Sessão'!$R446),'Registro por Sessão'!$R446,"")</f>
        <v/>
      </c>
      <c r="Z92" s="6">
        <f>IF(ISNUMBER('Registro por Sessão'!$R447),'Registro por Sessão'!$R447,"")</f>
        <v/>
      </c>
      <c r="AA92" s="6">
        <f>IF(ISNUMBER('Registro por Sessão'!$R448),'Registro por Sessão'!$R448,"")</f>
        <v/>
      </c>
      <c r="AB92" s="6">
        <f>IF(ISNUMBER('Registro por Sessão'!$V444),'Registro por Sessão'!$V444,"")</f>
        <v/>
      </c>
      <c r="AC92" s="6">
        <f>IF(ISNUMBER('Registro por Sessão'!$V445),'Registro por Sessão'!$V445,"")</f>
        <v/>
      </c>
      <c r="AD92" s="6">
        <f>IF(ISNUMBER('Registro por Sessão'!$V446),'Registro por Sessão'!$V446,"")</f>
        <v/>
      </c>
      <c r="AE92" s="6">
        <f>IF(ISNUMBER('Registro por Sessão'!$V447),'Registro por Sessão'!$V447,"")</f>
        <v/>
      </c>
      <c r="AF92" s="6">
        <f>IF(ISNUMBER('Registro por Sessão'!$V448),'Registro por Sessão'!$V448,"")</f>
        <v/>
      </c>
    </row>
    <row r="93">
      <c r="A93" s="8">
        <f>IF($B93="","",ROW()-3)</f>
        <v/>
      </c>
      <c r="B93" s="9">
        <f>IF(Preenchimento!$B$99="","",Preenchimento!$B$99)</f>
        <v/>
      </c>
      <c r="C93" s="9">
        <f>IF($B93="","",IF(Preenchimento!$C$99="","-",Preenchimento!$C$99))</f>
        <v/>
      </c>
      <c r="D93" s="8">
        <f>IF($B93="","",IF(Preenchimento!$D$99="","-",Preenchimento!$D$99))</f>
        <v/>
      </c>
      <c r="E93" s="32">
        <f>IF($B93="","",IFERROR(AVERAGE(M93:Q93),"-"))</f>
        <v/>
      </c>
      <c r="F93" s="32">
        <f>IF($B93="","",IFERROR(AVERAGE(R93:V93),"-"))</f>
        <v/>
      </c>
      <c r="G93" s="32">
        <f>IF($B93="","",IFERROR(AVERAGE(W93:AA93),"-"))</f>
        <v/>
      </c>
      <c r="H93" s="32">
        <f>IF($B93="","",IFERROR(AVERAGE(AB93:AF93),"-"))</f>
        <v/>
      </c>
      <c r="I93" s="32">
        <f>IF($B93="","",IFERROR(AVERAGE(M93:AF93),"-"))</f>
        <v/>
      </c>
      <c r="J93" s="14">
        <f>IF($B93="","",IF('Registro por Sessão'!$G449="","","S1 D: "&amp;'Registro por Sessão'!$G449&amp;CHAR(10))&amp;IF('Registro por Sessão'!$K449="","","S1 F: "&amp;'Registro por Sessão'!$K449&amp;CHAR(10))&amp;IF('Registro por Sessão'!$O449="","","S1 C: "&amp;'Registro por Sessão'!$O449&amp;CHAR(10))&amp;IF('Registro por Sessão'!$S449="","","S1 P: "&amp;'Registro por Sessão'!$S449&amp;CHAR(10))&amp;IF('Registro por Sessão'!$G450="","","S2 D: "&amp;'Registro por Sessão'!$G450&amp;CHAR(10))&amp;IF('Registro por Sessão'!$K450="","","S2 F: "&amp;'Registro por Sessão'!$K450&amp;CHAR(10))&amp;IF('Registro por Sessão'!$O450="","","S2 C: "&amp;'Registro por Sessão'!$O450&amp;CHAR(10))&amp;IF('Registro por Sessão'!$S450="","","S2 P: "&amp;'Registro por Sessão'!$S450&amp;CHAR(10))&amp;IF('Registro por Sessão'!$G451="","","S3 D: "&amp;'Registro por Sessão'!$G451&amp;CHAR(10))&amp;IF('Registro por Sessão'!$K451="","","S3 F: "&amp;'Registro por Sessão'!$K451&amp;CHAR(10))&amp;IF('Registro por Sessão'!$O451="","","S3 C: "&amp;'Registro por Sessão'!$O451&amp;CHAR(10))&amp;IF('Registro por Sessão'!$S451="","","S3 P: "&amp;'Registro por Sessão'!$S451&amp;CHAR(10))&amp;IF('Registro por Sessão'!$G452="","","S4 D: "&amp;'Registro por Sessão'!$G452&amp;CHAR(10))&amp;IF('Registro por Sessão'!$K452="","","S4 F: "&amp;'Registro por Sessão'!$K452&amp;CHAR(10))&amp;IF('Registro por Sessão'!$O452="","","S4 C: "&amp;'Registro por Sessão'!$O452&amp;CHAR(10))&amp;IF('Registro por Sessão'!$S452="","","S4 P: "&amp;'Registro por Sessão'!$S452&amp;CHAR(10))&amp;IF('Registro por Sessão'!$G453="","","S5 D: "&amp;'Registro por Sessão'!$G453&amp;CHAR(10))&amp;IF('Registro por Sessão'!$K453="","","S5 F: "&amp;'Registro por Sessão'!$K453&amp;CHAR(10))&amp;IF('Registro por Sessão'!$O453="","","S5 C: "&amp;'Registro por Sessão'!$O453&amp;CHAR(10))&amp;IF('Registro por Sessão'!$S453="","","S5 P: "&amp;'Registro por Sessão'!$S453&amp;CHAR(10)))</f>
        <v/>
      </c>
      <c r="K93" s="14">
        <f>IF($B93="","",IF('Registro por Sessão'!$W449="","","S1: "&amp;'Registro por Sessão'!$W449&amp;CHAR(10))&amp;IF('Registro por Sessão'!$X449="","","S1 obs: "&amp;'Registro por Sessão'!$X449&amp;CHAR(10))&amp;IF('Registro por Sessão'!$W450="","","S2: "&amp;'Registro por Sessão'!$W450&amp;CHAR(10))&amp;IF('Registro por Sessão'!$X450="","","S2 obs: "&amp;'Registro por Sessão'!$X450&amp;CHAR(10))&amp;IF('Registro por Sessão'!$W451="","","S3: "&amp;'Registro por Sessão'!$W451&amp;CHAR(10))&amp;IF('Registro por Sessão'!$X451="","","S3 obs: "&amp;'Registro por Sessão'!$X451&amp;CHAR(10))&amp;IF('Registro por Sessão'!$W452="","","S4: "&amp;'Registro por Sessão'!$W452&amp;CHAR(10))&amp;IF('Registro por Sessão'!$X452="","","S4 obs: "&amp;'Registro por Sessão'!$X452&amp;CHAR(10))&amp;IF('Registro por Sessão'!$W453="","","S5: "&amp;'Registro por Sessão'!$W453&amp;CHAR(10))&amp;IF('Registro por Sessão'!$X453="","","S5 obs: "&amp;'Registro por Sessão'!$X453&amp;CHAR(10)))</f>
        <v/>
      </c>
      <c r="L93" s="2" t="n"/>
      <c r="M93" s="8">
        <f>IF(ISNUMBER('Registro por Sessão'!$J449),'Registro por Sessão'!$J449,"")</f>
        <v/>
      </c>
      <c r="N93" s="8">
        <f>IF(ISNUMBER('Registro por Sessão'!$J450),'Registro por Sessão'!$J450,"")</f>
        <v/>
      </c>
      <c r="O93" s="8">
        <f>IF(ISNUMBER('Registro por Sessão'!$J451),'Registro por Sessão'!$J451,"")</f>
        <v/>
      </c>
      <c r="P93" s="8">
        <f>IF(ISNUMBER('Registro por Sessão'!$J452),'Registro por Sessão'!$J452,"")</f>
        <v/>
      </c>
      <c r="Q93" s="8">
        <f>IF(ISNUMBER('Registro por Sessão'!$J453),'Registro por Sessão'!$J453,"")</f>
        <v/>
      </c>
      <c r="R93" s="8">
        <f>IF(ISNUMBER('Registro por Sessão'!$N449),'Registro por Sessão'!$N449,"")</f>
        <v/>
      </c>
      <c r="S93" s="8">
        <f>IF(ISNUMBER('Registro por Sessão'!$N450),'Registro por Sessão'!$N450,"")</f>
        <v/>
      </c>
      <c r="T93" s="8">
        <f>IF(ISNUMBER('Registro por Sessão'!$N451),'Registro por Sessão'!$N451,"")</f>
        <v/>
      </c>
      <c r="U93" s="8">
        <f>IF(ISNUMBER('Registro por Sessão'!$N452),'Registro por Sessão'!$N452,"")</f>
        <v/>
      </c>
      <c r="V93" s="8">
        <f>IF(ISNUMBER('Registro por Sessão'!$N453),'Registro por Sessão'!$N453,"")</f>
        <v/>
      </c>
      <c r="W93" s="8">
        <f>IF(ISNUMBER('Registro por Sessão'!$R449),'Registro por Sessão'!$R449,"")</f>
        <v/>
      </c>
      <c r="X93" s="8">
        <f>IF(ISNUMBER('Registro por Sessão'!$R450),'Registro por Sessão'!$R450,"")</f>
        <v/>
      </c>
      <c r="Y93" s="8">
        <f>IF(ISNUMBER('Registro por Sessão'!$R451),'Registro por Sessão'!$R451,"")</f>
        <v/>
      </c>
      <c r="Z93" s="8">
        <f>IF(ISNUMBER('Registro por Sessão'!$R452),'Registro por Sessão'!$R452,"")</f>
        <v/>
      </c>
      <c r="AA93" s="8">
        <f>IF(ISNUMBER('Registro por Sessão'!$R453),'Registro por Sessão'!$R453,"")</f>
        <v/>
      </c>
      <c r="AB93" s="8">
        <f>IF(ISNUMBER('Registro por Sessão'!$V449),'Registro por Sessão'!$V449,"")</f>
        <v/>
      </c>
      <c r="AC93" s="8">
        <f>IF(ISNUMBER('Registro por Sessão'!$V450),'Registro por Sessão'!$V450,"")</f>
        <v/>
      </c>
      <c r="AD93" s="8">
        <f>IF(ISNUMBER('Registro por Sessão'!$V451),'Registro por Sessão'!$V451,"")</f>
        <v/>
      </c>
      <c r="AE93" s="8">
        <f>IF(ISNUMBER('Registro por Sessão'!$V452),'Registro por Sessão'!$V452,"")</f>
        <v/>
      </c>
      <c r="AF93" s="8">
        <f>IF(ISNUMBER('Registro por Sessão'!$V453),'Registro por Sessão'!$V453,"")</f>
        <v/>
      </c>
    </row>
    <row r="94">
      <c r="A94" s="6">
        <f>IF($B94="","",ROW()-3)</f>
        <v/>
      </c>
      <c r="B94" s="7">
        <f>IF(Preenchimento!$B$100="","",Preenchimento!$B$100)</f>
        <v/>
      </c>
      <c r="C94" s="7">
        <f>IF($B94="","",IF(Preenchimento!$C$100="","-",Preenchimento!$C$100))</f>
        <v/>
      </c>
      <c r="D94" s="6">
        <f>IF($B94="","",IF(Preenchimento!$D$100="","-",Preenchimento!$D$100))</f>
        <v/>
      </c>
      <c r="E94" s="31">
        <f>IF($B94="","",IFERROR(AVERAGE(M94:Q94),"-"))</f>
        <v/>
      </c>
      <c r="F94" s="31">
        <f>IF($B94="","",IFERROR(AVERAGE(R94:V94),"-"))</f>
        <v/>
      </c>
      <c r="G94" s="31">
        <f>IF($B94="","",IFERROR(AVERAGE(W94:AA94),"-"))</f>
        <v/>
      </c>
      <c r="H94" s="31">
        <f>IF($B94="","",IFERROR(AVERAGE(AB94:AF94),"-"))</f>
        <v/>
      </c>
      <c r="I94" s="31">
        <f>IF($B94="","",IFERROR(AVERAGE(M94:AF94),"-"))</f>
        <v/>
      </c>
      <c r="J94" s="13">
        <f>IF($B94="","",IF('Registro por Sessão'!$G454="","","S1 D: "&amp;'Registro por Sessão'!$G454&amp;CHAR(10))&amp;IF('Registro por Sessão'!$K454="","","S1 F: "&amp;'Registro por Sessão'!$K454&amp;CHAR(10))&amp;IF('Registro por Sessão'!$O454="","","S1 C: "&amp;'Registro por Sessão'!$O454&amp;CHAR(10))&amp;IF('Registro por Sessão'!$S454="","","S1 P: "&amp;'Registro por Sessão'!$S454&amp;CHAR(10))&amp;IF('Registro por Sessão'!$G455="","","S2 D: "&amp;'Registro por Sessão'!$G455&amp;CHAR(10))&amp;IF('Registro por Sessão'!$K455="","","S2 F: "&amp;'Registro por Sessão'!$K455&amp;CHAR(10))&amp;IF('Registro por Sessão'!$O455="","","S2 C: "&amp;'Registro por Sessão'!$O455&amp;CHAR(10))&amp;IF('Registro por Sessão'!$S455="","","S2 P: "&amp;'Registro por Sessão'!$S455&amp;CHAR(10))&amp;IF('Registro por Sessão'!$G456="","","S3 D: "&amp;'Registro por Sessão'!$G456&amp;CHAR(10))&amp;IF('Registro por Sessão'!$K456="","","S3 F: "&amp;'Registro por Sessão'!$K456&amp;CHAR(10))&amp;IF('Registro por Sessão'!$O456="","","S3 C: "&amp;'Registro por Sessão'!$O456&amp;CHAR(10))&amp;IF('Registro por Sessão'!$S456="","","S3 P: "&amp;'Registro por Sessão'!$S456&amp;CHAR(10))&amp;IF('Registro por Sessão'!$G457="","","S4 D: "&amp;'Registro por Sessão'!$G457&amp;CHAR(10))&amp;IF('Registro por Sessão'!$K457="","","S4 F: "&amp;'Registro por Sessão'!$K457&amp;CHAR(10))&amp;IF('Registro por Sessão'!$O457="","","S4 C: "&amp;'Registro por Sessão'!$O457&amp;CHAR(10))&amp;IF('Registro por Sessão'!$S457="","","S4 P: "&amp;'Registro por Sessão'!$S457&amp;CHAR(10))&amp;IF('Registro por Sessão'!$G458="","","S5 D: "&amp;'Registro por Sessão'!$G458&amp;CHAR(10))&amp;IF('Registro por Sessão'!$K458="","","S5 F: "&amp;'Registro por Sessão'!$K458&amp;CHAR(10))&amp;IF('Registro por Sessão'!$O458="","","S5 C: "&amp;'Registro por Sessão'!$O458&amp;CHAR(10))&amp;IF('Registro por Sessão'!$S458="","","S5 P: "&amp;'Registro por Sessão'!$S458&amp;CHAR(10)))</f>
        <v/>
      </c>
      <c r="K94" s="13">
        <f>IF($B94="","",IF('Registro por Sessão'!$W454="","","S1: "&amp;'Registro por Sessão'!$W454&amp;CHAR(10))&amp;IF('Registro por Sessão'!$X454="","","S1 obs: "&amp;'Registro por Sessão'!$X454&amp;CHAR(10))&amp;IF('Registro por Sessão'!$W455="","","S2: "&amp;'Registro por Sessão'!$W455&amp;CHAR(10))&amp;IF('Registro por Sessão'!$X455="","","S2 obs: "&amp;'Registro por Sessão'!$X455&amp;CHAR(10))&amp;IF('Registro por Sessão'!$W456="","","S3: "&amp;'Registro por Sessão'!$W456&amp;CHAR(10))&amp;IF('Registro por Sessão'!$X456="","","S3 obs: "&amp;'Registro por Sessão'!$X456&amp;CHAR(10))&amp;IF('Registro por Sessão'!$W457="","","S4: "&amp;'Registro por Sessão'!$W457&amp;CHAR(10))&amp;IF('Registro por Sessão'!$X457="","","S4 obs: "&amp;'Registro por Sessão'!$X457&amp;CHAR(10))&amp;IF('Registro por Sessão'!$W458="","","S5: "&amp;'Registro por Sessão'!$W458&amp;CHAR(10))&amp;IF('Registro por Sessão'!$X458="","","S5 obs: "&amp;'Registro por Sessão'!$X458&amp;CHAR(10)))</f>
        <v/>
      </c>
      <c r="L94" s="2" t="n"/>
      <c r="M94" s="6">
        <f>IF(ISNUMBER('Registro por Sessão'!$J454),'Registro por Sessão'!$J454,"")</f>
        <v/>
      </c>
      <c r="N94" s="6">
        <f>IF(ISNUMBER('Registro por Sessão'!$J455),'Registro por Sessão'!$J455,"")</f>
        <v/>
      </c>
      <c r="O94" s="6">
        <f>IF(ISNUMBER('Registro por Sessão'!$J456),'Registro por Sessão'!$J456,"")</f>
        <v/>
      </c>
      <c r="P94" s="6">
        <f>IF(ISNUMBER('Registro por Sessão'!$J457),'Registro por Sessão'!$J457,"")</f>
        <v/>
      </c>
      <c r="Q94" s="6">
        <f>IF(ISNUMBER('Registro por Sessão'!$J458),'Registro por Sessão'!$J458,"")</f>
        <v/>
      </c>
      <c r="R94" s="6">
        <f>IF(ISNUMBER('Registro por Sessão'!$N454),'Registro por Sessão'!$N454,"")</f>
        <v/>
      </c>
      <c r="S94" s="6">
        <f>IF(ISNUMBER('Registro por Sessão'!$N455),'Registro por Sessão'!$N455,"")</f>
        <v/>
      </c>
      <c r="T94" s="6">
        <f>IF(ISNUMBER('Registro por Sessão'!$N456),'Registro por Sessão'!$N456,"")</f>
        <v/>
      </c>
      <c r="U94" s="6">
        <f>IF(ISNUMBER('Registro por Sessão'!$N457),'Registro por Sessão'!$N457,"")</f>
        <v/>
      </c>
      <c r="V94" s="6">
        <f>IF(ISNUMBER('Registro por Sessão'!$N458),'Registro por Sessão'!$N458,"")</f>
        <v/>
      </c>
      <c r="W94" s="6">
        <f>IF(ISNUMBER('Registro por Sessão'!$R454),'Registro por Sessão'!$R454,"")</f>
        <v/>
      </c>
      <c r="X94" s="6">
        <f>IF(ISNUMBER('Registro por Sessão'!$R455),'Registro por Sessão'!$R455,"")</f>
        <v/>
      </c>
      <c r="Y94" s="6">
        <f>IF(ISNUMBER('Registro por Sessão'!$R456),'Registro por Sessão'!$R456,"")</f>
        <v/>
      </c>
      <c r="Z94" s="6">
        <f>IF(ISNUMBER('Registro por Sessão'!$R457),'Registro por Sessão'!$R457,"")</f>
        <v/>
      </c>
      <c r="AA94" s="6">
        <f>IF(ISNUMBER('Registro por Sessão'!$R458),'Registro por Sessão'!$R458,"")</f>
        <v/>
      </c>
      <c r="AB94" s="6">
        <f>IF(ISNUMBER('Registro por Sessão'!$V454),'Registro por Sessão'!$V454,"")</f>
        <v/>
      </c>
      <c r="AC94" s="6">
        <f>IF(ISNUMBER('Registro por Sessão'!$V455),'Registro por Sessão'!$V455,"")</f>
        <v/>
      </c>
      <c r="AD94" s="6">
        <f>IF(ISNUMBER('Registro por Sessão'!$V456),'Registro por Sessão'!$V456,"")</f>
        <v/>
      </c>
      <c r="AE94" s="6">
        <f>IF(ISNUMBER('Registro por Sessão'!$V457),'Registro por Sessão'!$V457,"")</f>
        <v/>
      </c>
      <c r="AF94" s="6">
        <f>IF(ISNUMBER('Registro por Sessão'!$V458),'Registro por Sessão'!$V458,"")</f>
        <v/>
      </c>
    </row>
    <row r="95">
      <c r="A95" s="8">
        <f>IF($B95="","",ROW()-3)</f>
        <v/>
      </c>
      <c r="B95" s="9">
        <f>IF(Preenchimento!$B$101="","",Preenchimento!$B$101)</f>
        <v/>
      </c>
      <c r="C95" s="9">
        <f>IF($B95="","",IF(Preenchimento!$C$101="","-",Preenchimento!$C$101))</f>
        <v/>
      </c>
      <c r="D95" s="8">
        <f>IF($B95="","",IF(Preenchimento!$D$101="","-",Preenchimento!$D$101))</f>
        <v/>
      </c>
      <c r="E95" s="32">
        <f>IF($B95="","",IFERROR(AVERAGE(M95:Q95),"-"))</f>
        <v/>
      </c>
      <c r="F95" s="32">
        <f>IF($B95="","",IFERROR(AVERAGE(R95:V95),"-"))</f>
        <v/>
      </c>
      <c r="G95" s="32">
        <f>IF($B95="","",IFERROR(AVERAGE(W95:AA95),"-"))</f>
        <v/>
      </c>
      <c r="H95" s="32">
        <f>IF($B95="","",IFERROR(AVERAGE(AB95:AF95),"-"))</f>
        <v/>
      </c>
      <c r="I95" s="32">
        <f>IF($B95="","",IFERROR(AVERAGE(M95:AF95),"-"))</f>
        <v/>
      </c>
      <c r="J95" s="14">
        <f>IF($B95="","",IF('Registro por Sessão'!$G459="","","S1 D: "&amp;'Registro por Sessão'!$G459&amp;CHAR(10))&amp;IF('Registro por Sessão'!$K459="","","S1 F: "&amp;'Registro por Sessão'!$K459&amp;CHAR(10))&amp;IF('Registro por Sessão'!$O459="","","S1 C: "&amp;'Registro por Sessão'!$O459&amp;CHAR(10))&amp;IF('Registro por Sessão'!$S459="","","S1 P: "&amp;'Registro por Sessão'!$S459&amp;CHAR(10))&amp;IF('Registro por Sessão'!$G460="","","S2 D: "&amp;'Registro por Sessão'!$G460&amp;CHAR(10))&amp;IF('Registro por Sessão'!$K460="","","S2 F: "&amp;'Registro por Sessão'!$K460&amp;CHAR(10))&amp;IF('Registro por Sessão'!$O460="","","S2 C: "&amp;'Registro por Sessão'!$O460&amp;CHAR(10))&amp;IF('Registro por Sessão'!$S460="","","S2 P: "&amp;'Registro por Sessão'!$S460&amp;CHAR(10))&amp;IF('Registro por Sessão'!$G461="","","S3 D: "&amp;'Registro por Sessão'!$G461&amp;CHAR(10))&amp;IF('Registro por Sessão'!$K461="","","S3 F: "&amp;'Registro por Sessão'!$K461&amp;CHAR(10))&amp;IF('Registro por Sessão'!$O461="","","S3 C: "&amp;'Registro por Sessão'!$O461&amp;CHAR(10))&amp;IF('Registro por Sessão'!$S461="","","S3 P: "&amp;'Registro por Sessão'!$S461&amp;CHAR(10))&amp;IF('Registro por Sessão'!$G462="","","S4 D: "&amp;'Registro por Sessão'!$G462&amp;CHAR(10))&amp;IF('Registro por Sessão'!$K462="","","S4 F: "&amp;'Registro por Sessão'!$K462&amp;CHAR(10))&amp;IF('Registro por Sessão'!$O462="","","S4 C: "&amp;'Registro por Sessão'!$O462&amp;CHAR(10))&amp;IF('Registro por Sessão'!$S462="","","S4 P: "&amp;'Registro por Sessão'!$S462&amp;CHAR(10))&amp;IF('Registro por Sessão'!$G463="","","S5 D: "&amp;'Registro por Sessão'!$G463&amp;CHAR(10))&amp;IF('Registro por Sessão'!$K463="","","S5 F: "&amp;'Registro por Sessão'!$K463&amp;CHAR(10))&amp;IF('Registro por Sessão'!$O463="","","S5 C: "&amp;'Registro por Sessão'!$O463&amp;CHAR(10))&amp;IF('Registro por Sessão'!$S463="","","S5 P: "&amp;'Registro por Sessão'!$S463&amp;CHAR(10)))</f>
        <v/>
      </c>
      <c r="K95" s="14">
        <f>IF($B95="","",IF('Registro por Sessão'!$W459="","","S1: "&amp;'Registro por Sessão'!$W459&amp;CHAR(10))&amp;IF('Registro por Sessão'!$X459="","","S1 obs: "&amp;'Registro por Sessão'!$X459&amp;CHAR(10))&amp;IF('Registro por Sessão'!$W460="","","S2: "&amp;'Registro por Sessão'!$W460&amp;CHAR(10))&amp;IF('Registro por Sessão'!$X460="","","S2 obs: "&amp;'Registro por Sessão'!$X460&amp;CHAR(10))&amp;IF('Registro por Sessão'!$W461="","","S3: "&amp;'Registro por Sessão'!$W461&amp;CHAR(10))&amp;IF('Registro por Sessão'!$X461="","","S3 obs: "&amp;'Registro por Sessão'!$X461&amp;CHAR(10))&amp;IF('Registro por Sessão'!$W462="","","S4: "&amp;'Registro por Sessão'!$W462&amp;CHAR(10))&amp;IF('Registro por Sessão'!$X462="","","S4 obs: "&amp;'Registro por Sessão'!$X462&amp;CHAR(10))&amp;IF('Registro por Sessão'!$W463="","","S5: "&amp;'Registro por Sessão'!$W463&amp;CHAR(10))&amp;IF('Registro por Sessão'!$X463="","","S5 obs: "&amp;'Registro por Sessão'!$X463&amp;CHAR(10)))</f>
        <v/>
      </c>
      <c r="L95" s="2" t="n"/>
      <c r="M95" s="8">
        <f>IF(ISNUMBER('Registro por Sessão'!$J459),'Registro por Sessão'!$J459,"")</f>
        <v/>
      </c>
      <c r="N95" s="8">
        <f>IF(ISNUMBER('Registro por Sessão'!$J460),'Registro por Sessão'!$J460,"")</f>
        <v/>
      </c>
      <c r="O95" s="8">
        <f>IF(ISNUMBER('Registro por Sessão'!$J461),'Registro por Sessão'!$J461,"")</f>
        <v/>
      </c>
      <c r="P95" s="8">
        <f>IF(ISNUMBER('Registro por Sessão'!$J462),'Registro por Sessão'!$J462,"")</f>
        <v/>
      </c>
      <c r="Q95" s="8">
        <f>IF(ISNUMBER('Registro por Sessão'!$J463),'Registro por Sessão'!$J463,"")</f>
        <v/>
      </c>
      <c r="R95" s="8">
        <f>IF(ISNUMBER('Registro por Sessão'!$N459),'Registro por Sessão'!$N459,"")</f>
        <v/>
      </c>
      <c r="S95" s="8">
        <f>IF(ISNUMBER('Registro por Sessão'!$N460),'Registro por Sessão'!$N460,"")</f>
        <v/>
      </c>
      <c r="T95" s="8">
        <f>IF(ISNUMBER('Registro por Sessão'!$N461),'Registro por Sessão'!$N461,"")</f>
        <v/>
      </c>
      <c r="U95" s="8">
        <f>IF(ISNUMBER('Registro por Sessão'!$N462),'Registro por Sessão'!$N462,"")</f>
        <v/>
      </c>
      <c r="V95" s="8">
        <f>IF(ISNUMBER('Registro por Sessão'!$N463),'Registro por Sessão'!$N463,"")</f>
        <v/>
      </c>
      <c r="W95" s="8">
        <f>IF(ISNUMBER('Registro por Sessão'!$R459),'Registro por Sessão'!$R459,"")</f>
        <v/>
      </c>
      <c r="X95" s="8">
        <f>IF(ISNUMBER('Registro por Sessão'!$R460),'Registro por Sessão'!$R460,"")</f>
        <v/>
      </c>
      <c r="Y95" s="8">
        <f>IF(ISNUMBER('Registro por Sessão'!$R461),'Registro por Sessão'!$R461,"")</f>
        <v/>
      </c>
      <c r="Z95" s="8">
        <f>IF(ISNUMBER('Registro por Sessão'!$R462),'Registro por Sessão'!$R462,"")</f>
        <v/>
      </c>
      <c r="AA95" s="8">
        <f>IF(ISNUMBER('Registro por Sessão'!$R463),'Registro por Sessão'!$R463,"")</f>
        <v/>
      </c>
      <c r="AB95" s="8">
        <f>IF(ISNUMBER('Registro por Sessão'!$V459),'Registro por Sessão'!$V459,"")</f>
        <v/>
      </c>
      <c r="AC95" s="8">
        <f>IF(ISNUMBER('Registro por Sessão'!$V460),'Registro por Sessão'!$V460,"")</f>
        <v/>
      </c>
      <c r="AD95" s="8">
        <f>IF(ISNUMBER('Registro por Sessão'!$V461),'Registro por Sessão'!$V461,"")</f>
        <v/>
      </c>
      <c r="AE95" s="8">
        <f>IF(ISNUMBER('Registro por Sessão'!$V462),'Registro por Sessão'!$V462,"")</f>
        <v/>
      </c>
      <c r="AF95" s="8">
        <f>IF(ISNUMBER('Registro por Sessão'!$V463),'Registro por Sessão'!$V463,"")</f>
        <v/>
      </c>
    </row>
    <row r="96">
      <c r="A96" s="6">
        <f>IF($B96="","",ROW()-3)</f>
        <v/>
      </c>
      <c r="B96" s="7">
        <f>IF(Preenchimento!$B$102="","",Preenchimento!$B$102)</f>
        <v/>
      </c>
      <c r="C96" s="7">
        <f>IF($B96="","",IF(Preenchimento!$C$102="","-",Preenchimento!$C$102))</f>
        <v/>
      </c>
      <c r="D96" s="6">
        <f>IF($B96="","",IF(Preenchimento!$D$102="","-",Preenchimento!$D$102))</f>
        <v/>
      </c>
      <c r="E96" s="31">
        <f>IF($B96="","",IFERROR(AVERAGE(M96:Q96),"-"))</f>
        <v/>
      </c>
      <c r="F96" s="31">
        <f>IF($B96="","",IFERROR(AVERAGE(R96:V96),"-"))</f>
        <v/>
      </c>
      <c r="G96" s="31">
        <f>IF($B96="","",IFERROR(AVERAGE(W96:AA96),"-"))</f>
        <v/>
      </c>
      <c r="H96" s="31">
        <f>IF($B96="","",IFERROR(AVERAGE(AB96:AF96),"-"))</f>
        <v/>
      </c>
      <c r="I96" s="31">
        <f>IF($B96="","",IFERROR(AVERAGE(M96:AF96),"-"))</f>
        <v/>
      </c>
      <c r="J96" s="13">
        <f>IF($B96="","",IF('Registro por Sessão'!$G464="","","S1 D: "&amp;'Registro por Sessão'!$G464&amp;CHAR(10))&amp;IF('Registro por Sessão'!$K464="","","S1 F: "&amp;'Registro por Sessão'!$K464&amp;CHAR(10))&amp;IF('Registro por Sessão'!$O464="","","S1 C: "&amp;'Registro por Sessão'!$O464&amp;CHAR(10))&amp;IF('Registro por Sessão'!$S464="","","S1 P: "&amp;'Registro por Sessão'!$S464&amp;CHAR(10))&amp;IF('Registro por Sessão'!$G465="","","S2 D: "&amp;'Registro por Sessão'!$G465&amp;CHAR(10))&amp;IF('Registro por Sessão'!$K465="","","S2 F: "&amp;'Registro por Sessão'!$K465&amp;CHAR(10))&amp;IF('Registro por Sessão'!$O465="","","S2 C: "&amp;'Registro por Sessão'!$O465&amp;CHAR(10))&amp;IF('Registro por Sessão'!$S465="","","S2 P: "&amp;'Registro por Sessão'!$S465&amp;CHAR(10))&amp;IF('Registro por Sessão'!$G466="","","S3 D: "&amp;'Registro por Sessão'!$G466&amp;CHAR(10))&amp;IF('Registro por Sessão'!$K466="","","S3 F: "&amp;'Registro por Sessão'!$K466&amp;CHAR(10))&amp;IF('Registro por Sessão'!$O466="","","S3 C: "&amp;'Registro por Sessão'!$O466&amp;CHAR(10))&amp;IF('Registro por Sessão'!$S466="","","S3 P: "&amp;'Registro por Sessão'!$S466&amp;CHAR(10))&amp;IF('Registro por Sessão'!$G467="","","S4 D: "&amp;'Registro por Sessão'!$G467&amp;CHAR(10))&amp;IF('Registro por Sessão'!$K467="","","S4 F: "&amp;'Registro por Sessão'!$K467&amp;CHAR(10))&amp;IF('Registro por Sessão'!$O467="","","S4 C: "&amp;'Registro por Sessão'!$O467&amp;CHAR(10))&amp;IF('Registro por Sessão'!$S467="","","S4 P: "&amp;'Registro por Sessão'!$S467&amp;CHAR(10))&amp;IF('Registro por Sessão'!$G468="","","S5 D: "&amp;'Registro por Sessão'!$G468&amp;CHAR(10))&amp;IF('Registro por Sessão'!$K468="","","S5 F: "&amp;'Registro por Sessão'!$K468&amp;CHAR(10))&amp;IF('Registro por Sessão'!$O468="","","S5 C: "&amp;'Registro por Sessão'!$O468&amp;CHAR(10))&amp;IF('Registro por Sessão'!$S468="","","S5 P: "&amp;'Registro por Sessão'!$S468&amp;CHAR(10)))</f>
        <v/>
      </c>
      <c r="K96" s="13">
        <f>IF($B96="","",IF('Registro por Sessão'!$W464="","","S1: "&amp;'Registro por Sessão'!$W464&amp;CHAR(10))&amp;IF('Registro por Sessão'!$X464="","","S1 obs: "&amp;'Registro por Sessão'!$X464&amp;CHAR(10))&amp;IF('Registro por Sessão'!$W465="","","S2: "&amp;'Registro por Sessão'!$W465&amp;CHAR(10))&amp;IF('Registro por Sessão'!$X465="","","S2 obs: "&amp;'Registro por Sessão'!$X465&amp;CHAR(10))&amp;IF('Registro por Sessão'!$W466="","","S3: "&amp;'Registro por Sessão'!$W466&amp;CHAR(10))&amp;IF('Registro por Sessão'!$X466="","","S3 obs: "&amp;'Registro por Sessão'!$X466&amp;CHAR(10))&amp;IF('Registro por Sessão'!$W467="","","S4: "&amp;'Registro por Sessão'!$W467&amp;CHAR(10))&amp;IF('Registro por Sessão'!$X467="","","S4 obs: "&amp;'Registro por Sessão'!$X467&amp;CHAR(10))&amp;IF('Registro por Sessão'!$W468="","","S5: "&amp;'Registro por Sessão'!$W468&amp;CHAR(10))&amp;IF('Registro por Sessão'!$X468="","","S5 obs: "&amp;'Registro por Sessão'!$X468&amp;CHAR(10)))</f>
        <v/>
      </c>
      <c r="L96" s="2" t="n"/>
      <c r="M96" s="6">
        <f>IF(ISNUMBER('Registro por Sessão'!$J464),'Registro por Sessão'!$J464,"")</f>
        <v/>
      </c>
      <c r="N96" s="6">
        <f>IF(ISNUMBER('Registro por Sessão'!$J465),'Registro por Sessão'!$J465,"")</f>
        <v/>
      </c>
      <c r="O96" s="6">
        <f>IF(ISNUMBER('Registro por Sessão'!$J466),'Registro por Sessão'!$J466,"")</f>
        <v/>
      </c>
      <c r="P96" s="6">
        <f>IF(ISNUMBER('Registro por Sessão'!$J467),'Registro por Sessão'!$J467,"")</f>
        <v/>
      </c>
      <c r="Q96" s="6">
        <f>IF(ISNUMBER('Registro por Sessão'!$J468),'Registro por Sessão'!$J468,"")</f>
        <v/>
      </c>
      <c r="R96" s="6">
        <f>IF(ISNUMBER('Registro por Sessão'!$N464),'Registro por Sessão'!$N464,"")</f>
        <v/>
      </c>
      <c r="S96" s="6">
        <f>IF(ISNUMBER('Registro por Sessão'!$N465),'Registro por Sessão'!$N465,"")</f>
        <v/>
      </c>
      <c r="T96" s="6">
        <f>IF(ISNUMBER('Registro por Sessão'!$N466),'Registro por Sessão'!$N466,"")</f>
        <v/>
      </c>
      <c r="U96" s="6">
        <f>IF(ISNUMBER('Registro por Sessão'!$N467),'Registro por Sessão'!$N467,"")</f>
        <v/>
      </c>
      <c r="V96" s="6">
        <f>IF(ISNUMBER('Registro por Sessão'!$N468),'Registro por Sessão'!$N468,"")</f>
        <v/>
      </c>
      <c r="W96" s="6">
        <f>IF(ISNUMBER('Registro por Sessão'!$R464),'Registro por Sessão'!$R464,"")</f>
        <v/>
      </c>
      <c r="X96" s="6">
        <f>IF(ISNUMBER('Registro por Sessão'!$R465),'Registro por Sessão'!$R465,"")</f>
        <v/>
      </c>
      <c r="Y96" s="6">
        <f>IF(ISNUMBER('Registro por Sessão'!$R466),'Registro por Sessão'!$R466,"")</f>
        <v/>
      </c>
      <c r="Z96" s="6">
        <f>IF(ISNUMBER('Registro por Sessão'!$R467),'Registro por Sessão'!$R467,"")</f>
        <v/>
      </c>
      <c r="AA96" s="6">
        <f>IF(ISNUMBER('Registro por Sessão'!$R468),'Registro por Sessão'!$R468,"")</f>
        <v/>
      </c>
      <c r="AB96" s="6">
        <f>IF(ISNUMBER('Registro por Sessão'!$V464),'Registro por Sessão'!$V464,"")</f>
        <v/>
      </c>
      <c r="AC96" s="6">
        <f>IF(ISNUMBER('Registro por Sessão'!$V465),'Registro por Sessão'!$V465,"")</f>
        <v/>
      </c>
      <c r="AD96" s="6">
        <f>IF(ISNUMBER('Registro por Sessão'!$V466),'Registro por Sessão'!$V466,"")</f>
        <v/>
      </c>
      <c r="AE96" s="6">
        <f>IF(ISNUMBER('Registro por Sessão'!$V467),'Registro por Sessão'!$V467,"")</f>
        <v/>
      </c>
      <c r="AF96" s="6">
        <f>IF(ISNUMBER('Registro por Sessão'!$V468),'Registro por Sessão'!$V468,"")</f>
        <v/>
      </c>
    </row>
    <row r="97">
      <c r="A97" s="8">
        <f>IF($B97="","",ROW()-3)</f>
        <v/>
      </c>
      <c r="B97" s="9">
        <f>IF(Preenchimento!$B$103="","",Preenchimento!$B$103)</f>
        <v/>
      </c>
      <c r="C97" s="9">
        <f>IF($B97="","",IF(Preenchimento!$C$103="","-",Preenchimento!$C$103))</f>
        <v/>
      </c>
      <c r="D97" s="8">
        <f>IF($B97="","",IF(Preenchimento!$D$103="","-",Preenchimento!$D$103))</f>
        <v/>
      </c>
      <c r="E97" s="32">
        <f>IF($B97="","",IFERROR(AVERAGE(M97:Q97),"-"))</f>
        <v/>
      </c>
      <c r="F97" s="32">
        <f>IF($B97="","",IFERROR(AVERAGE(R97:V97),"-"))</f>
        <v/>
      </c>
      <c r="G97" s="32">
        <f>IF($B97="","",IFERROR(AVERAGE(W97:AA97),"-"))</f>
        <v/>
      </c>
      <c r="H97" s="32">
        <f>IF($B97="","",IFERROR(AVERAGE(AB97:AF97),"-"))</f>
        <v/>
      </c>
      <c r="I97" s="32">
        <f>IF($B97="","",IFERROR(AVERAGE(M97:AF97),"-"))</f>
        <v/>
      </c>
      <c r="J97" s="14">
        <f>IF($B97="","",IF('Registro por Sessão'!$G469="","","S1 D: "&amp;'Registro por Sessão'!$G469&amp;CHAR(10))&amp;IF('Registro por Sessão'!$K469="","","S1 F: "&amp;'Registro por Sessão'!$K469&amp;CHAR(10))&amp;IF('Registro por Sessão'!$O469="","","S1 C: "&amp;'Registro por Sessão'!$O469&amp;CHAR(10))&amp;IF('Registro por Sessão'!$S469="","","S1 P: "&amp;'Registro por Sessão'!$S469&amp;CHAR(10))&amp;IF('Registro por Sessão'!$G470="","","S2 D: "&amp;'Registro por Sessão'!$G470&amp;CHAR(10))&amp;IF('Registro por Sessão'!$K470="","","S2 F: "&amp;'Registro por Sessão'!$K470&amp;CHAR(10))&amp;IF('Registro por Sessão'!$O470="","","S2 C: "&amp;'Registro por Sessão'!$O470&amp;CHAR(10))&amp;IF('Registro por Sessão'!$S470="","","S2 P: "&amp;'Registro por Sessão'!$S470&amp;CHAR(10))&amp;IF('Registro por Sessão'!$G471="","","S3 D: "&amp;'Registro por Sessão'!$G471&amp;CHAR(10))&amp;IF('Registro por Sessão'!$K471="","","S3 F: "&amp;'Registro por Sessão'!$K471&amp;CHAR(10))&amp;IF('Registro por Sessão'!$O471="","","S3 C: "&amp;'Registro por Sessão'!$O471&amp;CHAR(10))&amp;IF('Registro por Sessão'!$S471="","","S3 P: "&amp;'Registro por Sessão'!$S471&amp;CHAR(10))&amp;IF('Registro por Sessão'!$G472="","","S4 D: "&amp;'Registro por Sessão'!$G472&amp;CHAR(10))&amp;IF('Registro por Sessão'!$K472="","","S4 F: "&amp;'Registro por Sessão'!$K472&amp;CHAR(10))&amp;IF('Registro por Sessão'!$O472="","","S4 C: "&amp;'Registro por Sessão'!$O472&amp;CHAR(10))&amp;IF('Registro por Sessão'!$S472="","","S4 P: "&amp;'Registro por Sessão'!$S472&amp;CHAR(10))&amp;IF('Registro por Sessão'!$G473="","","S5 D: "&amp;'Registro por Sessão'!$G473&amp;CHAR(10))&amp;IF('Registro por Sessão'!$K473="","","S5 F: "&amp;'Registro por Sessão'!$K473&amp;CHAR(10))&amp;IF('Registro por Sessão'!$O473="","","S5 C: "&amp;'Registro por Sessão'!$O473&amp;CHAR(10))&amp;IF('Registro por Sessão'!$S473="","","S5 P: "&amp;'Registro por Sessão'!$S473&amp;CHAR(10)))</f>
        <v/>
      </c>
      <c r="K97" s="14">
        <f>IF($B97="","",IF('Registro por Sessão'!$W469="","","S1: "&amp;'Registro por Sessão'!$W469&amp;CHAR(10))&amp;IF('Registro por Sessão'!$X469="","","S1 obs: "&amp;'Registro por Sessão'!$X469&amp;CHAR(10))&amp;IF('Registro por Sessão'!$W470="","","S2: "&amp;'Registro por Sessão'!$W470&amp;CHAR(10))&amp;IF('Registro por Sessão'!$X470="","","S2 obs: "&amp;'Registro por Sessão'!$X470&amp;CHAR(10))&amp;IF('Registro por Sessão'!$W471="","","S3: "&amp;'Registro por Sessão'!$W471&amp;CHAR(10))&amp;IF('Registro por Sessão'!$X471="","","S3 obs: "&amp;'Registro por Sessão'!$X471&amp;CHAR(10))&amp;IF('Registro por Sessão'!$W472="","","S4: "&amp;'Registro por Sessão'!$W472&amp;CHAR(10))&amp;IF('Registro por Sessão'!$X472="","","S4 obs: "&amp;'Registro por Sessão'!$X472&amp;CHAR(10))&amp;IF('Registro por Sessão'!$W473="","","S5: "&amp;'Registro por Sessão'!$W473&amp;CHAR(10))&amp;IF('Registro por Sessão'!$X473="","","S5 obs: "&amp;'Registro por Sessão'!$X473&amp;CHAR(10)))</f>
        <v/>
      </c>
      <c r="L97" s="2" t="n"/>
      <c r="M97" s="8">
        <f>IF(ISNUMBER('Registro por Sessão'!$J469),'Registro por Sessão'!$J469,"")</f>
        <v/>
      </c>
      <c r="N97" s="8">
        <f>IF(ISNUMBER('Registro por Sessão'!$J470),'Registro por Sessão'!$J470,"")</f>
        <v/>
      </c>
      <c r="O97" s="8">
        <f>IF(ISNUMBER('Registro por Sessão'!$J471),'Registro por Sessão'!$J471,"")</f>
        <v/>
      </c>
      <c r="P97" s="8">
        <f>IF(ISNUMBER('Registro por Sessão'!$J472),'Registro por Sessão'!$J472,"")</f>
        <v/>
      </c>
      <c r="Q97" s="8">
        <f>IF(ISNUMBER('Registro por Sessão'!$J473),'Registro por Sessão'!$J473,"")</f>
        <v/>
      </c>
      <c r="R97" s="8">
        <f>IF(ISNUMBER('Registro por Sessão'!$N469),'Registro por Sessão'!$N469,"")</f>
        <v/>
      </c>
      <c r="S97" s="8">
        <f>IF(ISNUMBER('Registro por Sessão'!$N470),'Registro por Sessão'!$N470,"")</f>
        <v/>
      </c>
      <c r="T97" s="8">
        <f>IF(ISNUMBER('Registro por Sessão'!$N471),'Registro por Sessão'!$N471,"")</f>
        <v/>
      </c>
      <c r="U97" s="8">
        <f>IF(ISNUMBER('Registro por Sessão'!$N472),'Registro por Sessão'!$N472,"")</f>
        <v/>
      </c>
      <c r="V97" s="8">
        <f>IF(ISNUMBER('Registro por Sessão'!$N473),'Registro por Sessão'!$N473,"")</f>
        <v/>
      </c>
      <c r="W97" s="8">
        <f>IF(ISNUMBER('Registro por Sessão'!$R469),'Registro por Sessão'!$R469,"")</f>
        <v/>
      </c>
      <c r="X97" s="8">
        <f>IF(ISNUMBER('Registro por Sessão'!$R470),'Registro por Sessão'!$R470,"")</f>
        <v/>
      </c>
      <c r="Y97" s="8">
        <f>IF(ISNUMBER('Registro por Sessão'!$R471),'Registro por Sessão'!$R471,"")</f>
        <v/>
      </c>
      <c r="Z97" s="8">
        <f>IF(ISNUMBER('Registro por Sessão'!$R472),'Registro por Sessão'!$R472,"")</f>
        <v/>
      </c>
      <c r="AA97" s="8">
        <f>IF(ISNUMBER('Registro por Sessão'!$R473),'Registro por Sessão'!$R473,"")</f>
        <v/>
      </c>
      <c r="AB97" s="8">
        <f>IF(ISNUMBER('Registro por Sessão'!$V469),'Registro por Sessão'!$V469,"")</f>
        <v/>
      </c>
      <c r="AC97" s="8">
        <f>IF(ISNUMBER('Registro por Sessão'!$V470),'Registro por Sessão'!$V470,"")</f>
        <v/>
      </c>
      <c r="AD97" s="8">
        <f>IF(ISNUMBER('Registro por Sessão'!$V471),'Registro por Sessão'!$V471,"")</f>
        <v/>
      </c>
      <c r="AE97" s="8">
        <f>IF(ISNUMBER('Registro por Sessão'!$V472),'Registro por Sessão'!$V472,"")</f>
        <v/>
      </c>
      <c r="AF97" s="8">
        <f>IF(ISNUMBER('Registro por Sessão'!$V473),'Registro por Sessão'!$V473,"")</f>
        <v/>
      </c>
    </row>
    <row r="98">
      <c r="A98" s="6">
        <f>IF($B98="","",ROW()-3)</f>
        <v/>
      </c>
      <c r="B98" s="7">
        <f>IF(Preenchimento!$B$104="","",Preenchimento!$B$104)</f>
        <v/>
      </c>
      <c r="C98" s="7">
        <f>IF($B98="","",IF(Preenchimento!$C$104="","-",Preenchimento!$C$104))</f>
        <v/>
      </c>
      <c r="D98" s="6">
        <f>IF($B98="","",IF(Preenchimento!$D$104="","-",Preenchimento!$D$104))</f>
        <v/>
      </c>
      <c r="E98" s="31">
        <f>IF($B98="","",IFERROR(AVERAGE(M98:Q98),"-"))</f>
        <v/>
      </c>
      <c r="F98" s="31">
        <f>IF($B98="","",IFERROR(AVERAGE(R98:V98),"-"))</f>
        <v/>
      </c>
      <c r="G98" s="31">
        <f>IF($B98="","",IFERROR(AVERAGE(W98:AA98),"-"))</f>
        <v/>
      </c>
      <c r="H98" s="31">
        <f>IF($B98="","",IFERROR(AVERAGE(AB98:AF98),"-"))</f>
        <v/>
      </c>
      <c r="I98" s="31">
        <f>IF($B98="","",IFERROR(AVERAGE(M98:AF98),"-"))</f>
        <v/>
      </c>
      <c r="J98" s="13">
        <f>IF($B98="","",IF('Registro por Sessão'!$G474="","","S1 D: "&amp;'Registro por Sessão'!$G474&amp;CHAR(10))&amp;IF('Registro por Sessão'!$K474="","","S1 F: "&amp;'Registro por Sessão'!$K474&amp;CHAR(10))&amp;IF('Registro por Sessão'!$O474="","","S1 C: "&amp;'Registro por Sessão'!$O474&amp;CHAR(10))&amp;IF('Registro por Sessão'!$S474="","","S1 P: "&amp;'Registro por Sessão'!$S474&amp;CHAR(10))&amp;IF('Registro por Sessão'!$G475="","","S2 D: "&amp;'Registro por Sessão'!$G475&amp;CHAR(10))&amp;IF('Registro por Sessão'!$K475="","","S2 F: "&amp;'Registro por Sessão'!$K475&amp;CHAR(10))&amp;IF('Registro por Sessão'!$O475="","","S2 C: "&amp;'Registro por Sessão'!$O475&amp;CHAR(10))&amp;IF('Registro por Sessão'!$S475="","","S2 P: "&amp;'Registro por Sessão'!$S475&amp;CHAR(10))&amp;IF('Registro por Sessão'!$G476="","","S3 D: "&amp;'Registro por Sessão'!$G476&amp;CHAR(10))&amp;IF('Registro por Sessão'!$K476="","","S3 F: "&amp;'Registro por Sessão'!$K476&amp;CHAR(10))&amp;IF('Registro por Sessão'!$O476="","","S3 C: "&amp;'Registro por Sessão'!$O476&amp;CHAR(10))&amp;IF('Registro por Sessão'!$S476="","","S3 P: "&amp;'Registro por Sessão'!$S476&amp;CHAR(10))&amp;IF('Registro por Sessão'!$G477="","","S4 D: "&amp;'Registro por Sessão'!$G477&amp;CHAR(10))&amp;IF('Registro por Sessão'!$K477="","","S4 F: "&amp;'Registro por Sessão'!$K477&amp;CHAR(10))&amp;IF('Registro por Sessão'!$O477="","","S4 C: "&amp;'Registro por Sessão'!$O477&amp;CHAR(10))&amp;IF('Registro por Sessão'!$S477="","","S4 P: "&amp;'Registro por Sessão'!$S477&amp;CHAR(10))&amp;IF('Registro por Sessão'!$G478="","","S5 D: "&amp;'Registro por Sessão'!$G478&amp;CHAR(10))&amp;IF('Registro por Sessão'!$K478="","","S5 F: "&amp;'Registro por Sessão'!$K478&amp;CHAR(10))&amp;IF('Registro por Sessão'!$O478="","","S5 C: "&amp;'Registro por Sessão'!$O478&amp;CHAR(10))&amp;IF('Registro por Sessão'!$S478="","","S5 P: "&amp;'Registro por Sessão'!$S478&amp;CHAR(10)))</f>
        <v/>
      </c>
      <c r="K98" s="13">
        <f>IF($B98="","",IF('Registro por Sessão'!$W474="","","S1: "&amp;'Registro por Sessão'!$W474&amp;CHAR(10))&amp;IF('Registro por Sessão'!$X474="","","S1 obs: "&amp;'Registro por Sessão'!$X474&amp;CHAR(10))&amp;IF('Registro por Sessão'!$W475="","","S2: "&amp;'Registro por Sessão'!$W475&amp;CHAR(10))&amp;IF('Registro por Sessão'!$X475="","","S2 obs: "&amp;'Registro por Sessão'!$X475&amp;CHAR(10))&amp;IF('Registro por Sessão'!$W476="","","S3: "&amp;'Registro por Sessão'!$W476&amp;CHAR(10))&amp;IF('Registro por Sessão'!$X476="","","S3 obs: "&amp;'Registro por Sessão'!$X476&amp;CHAR(10))&amp;IF('Registro por Sessão'!$W477="","","S4: "&amp;'Registro por Sessão'!$W477&amp;CHAR(10))&amp;IF('Registro por Sessão'!$X477="","","S4 obs: "&amp;'Registro por Sessão'!$X477&amp;CHAR(10))&amp;IF('Registro por Sessão'!$W478="","","S5: "&amp;'Registro por Sessão'!$W478&amp;CHAR(10))&amp;IF('Registro por Sessão'!$X478="","","S5 obs: "&amp;'Registro por Sessão'!$X478&amp;CHAR(10)))</f>
        <v/>
      </c>
      <c r="L98" s="2" t="n"/>
      <c r="M98" s="6">
        <f>IF(ISNUMBER('Registro por Sessão'!$J474),'Registro por Sessão'!$J474,"")</f>
        <v/>
      </c>
      <c r="N98" s="6">
        <f>IF(ISNUMBER('Registro por Sessão'!$J475),'Registro por Sessão'!$J475,"")</f>
        <v/>
      </c>
      <c r="O98" s="6">
        <f>IF(ISNUMBER('Registro por Sessão'!$J476),'Registro por Sessão'!$J476,"")</f>
        <v/>
      </c>
      <c r="P98" s="6">
        <f>IF(ISNUMBER('Registro por Sessão'!$J477),'Registro por Sessão'!$J477,"")</f>
        <v/>
      </c>
      <c r="Q98" s="6">
        <f>IF(ISNUMBER('Registro por Sessão'!$J478),'Registro por Sessão'!$J478,"")</f>
        <v/>
      </c>
      <c r="R98" s="6">
        <f>IF(ISNUMBER('Registro por Sessão'!$N474),'Registro por Sessão'!$N474,"")</f>
        <v/>
      </c>
      <c r="S98" s="6">
        <f>IF(ISNUMBER('Registro por Sessão'!$N475),'Registro por Sessão'!$N475,"")</f>
        <v/>
      </c>
      <c r="T98" s="6">
        <f>IF(ISNUMBER('Registro por Sessão'!$N476),'Registro por Sessão'!$N476,"")</f>
        <v/>
      </c>
      <c r="U98" s="6">
        <f>IF(ISNUMBER('Registro por Sessão'!$N477),'Registro por Sessão'!$N477,"")</f>
        <v/>
      </c>
      <c r="V98" s="6">
        <f>IF(ISNUMBER('Registro por Sessão'!$N478),'Registro por Sessão'!$N478,"")</f>
        <v/>
      </c>
      <c r="W98" s="6">
        <f>IF(ISNUMBER('Registro por Sessão'!$R474),'Registro por Sessão'!$R474,"")</f>
        <v/>
      </c>
      <c r="X98" s="6">
        <f>IF(ISNUMBER('Registro por Sessão'!$R475),'Registro por Sessão'!$R475,"")</f>
        <v/>
      </c>
      <c r="Y98" s="6">
        <f>IF(ISNUMBER('Registro por Sessão'!$R476),'Registro por Sessão'!$R476,"")</f>
        <v/>
      </c>
      <c r="Z98" s="6">
        <f>IF(ISNUMBER('Registro por Sessão'!$R477),'Registro por Sessão'!$R477,"")</f>
        <v/>
      </c>
      <c r="AA98" s="6">
        <f>IF(ISNUMBER('Registro por Sessão'!$R478),'Registro por Sessão'!$R478,"")</f>
        <v/>
      </c>
      <c r="AB98" s="6">
        <f>IF(ISNUMBER('Registro por Sessão'!$V474),'Registro por Sessão'!$V474,"")</f>
        <v/>
      </c>
      <c r="AC98" s="6">
        <f>IF(ISNUMBER('Registro por Sessão'!$V475),'Registro por Sessão'!$V475,"")</f>
        <v/>
      </c>
      <c r="AD98" s="6">
        <f>IF(ISNUMBER('Registro por Sessão'!$V476),'Registro por Sessão'!$V476,"")</f>
        <v/>
      </c>
      <c r="AE98" s="6">
        <f>IF(ISNUMBER('Registro por Sessão'!$V477),'Registro por Sessão'!$V477,"")</f>
        <v/>
      </c>
      <c r="AF98" s="6">
        <f>IF(ISNUMBER('Registro por Sessão'!$V478),'Registro por Sessão'!$V478,"")</f>
        <v/>
      </c>
    </row>
    <row r="99">
      <c r="A99" s="8">
        <f>IF($B99="","",ROW()-3)</f>
        <v/>
      </c>
      <c r="B99" s="9">
        <f>IF(Preenchimento!$B$105="","",Preenchimento!$B$105)</f>
        <v/>
      </c>
      <c r="C99" s="9">
        <f>IF($B99="","",IF(Preenchimento!$C$105="","-",Preenchimento!$C$105))</f>
        <v/>
      </c>
      <c r="D99" s="8">
        <f>IF($B99="","",IF(Preenchimento!$D$105="","-",Preenchimento!$D$105))</f>
        <v/>
      </c>
      <c r="E99" s="32">
        <f>IF($B99="","",IFERROR(AVERAGE(M99:Q99),"-"))</f>
        <v/>
      </c>
      <c r="F99" s="32">
        <f>IF($B99="","",IFERROR(AVERAGE(R99:V99),"-"))</f>
        <v/>
      </c>
      <c r="G99" s="32">
        <f>IF($B99="","",IFERROR(AVERAGE(W99:AA99),"-"))</f>
        <v/>
      </c>
      <c r="H99" s="32">
        <f>IF($B99="","",IFERROR(AVERAGE(AB99:AF99),"-"))</f>
        <v/>
      </c>
      <c r="I99" s="32">
        <f>IF($B99="","",IFERROR(AVERAGE(M99:AF99),"-"))</f>
        <v/>
      </c>
      <c r="J99" s="14">
        <f>IF($B99="","",IF('Registro por Sessão'!$G479="","","S1 D: "&amp;'Registro por Sessão'!$G479&amp;CHAR(10))&amp;IF('Registro por Sessão'!$K479="","","S1 F: "&amp;'Registro por Sessão'!$K479&amp;CHAR(10))&amp;IF('Registro por Sessão'!$O479="","","S1 C: "&amp;'Registro por Sessão'!$O479&amp;CHAR(10))&amp;IF('Registro por Sessão'!$S479="","","S1 P: "&amp;'Registro por Sessão'!$S479&amp;CHAR(10))&amp;IF('Registro por Sessão'!$G480="","","S2 D: "&amp;'Registro por Sessão'!$G480&amp;CHAR(10))&amp;IF('Registro por Sessão'!$K480="","","S2 F: "&amp;'Registro por Sessão'!$K480&amp;CHAR(10))&amp;IF('Registro por Sessão'!$O480="","","S2 C: "&amp;'Registro por Sessão'!$O480&amp;CHAR(10))&amp;IF('Registro por Sessão'!$S480="","","S2 P: "&amp;'Registro por Sessão'!$S480&amp;CHAR(10))&amp;IF('Registro por Sessão'!$G481="","","S3 D: "&amp;'Registro por Sessão'!$G481&amp;CHAR(10))&amp;IF('Registro por Sessão'!$K481="","","S3 F: "&amp;'Registro por Sessão'!$K481&amp;CHAR(10))&amp;IF('Registro por Sessão'!$O481="","","S3 C: "&amp;'Registro por Sessão'!$O481&amp;CHAR(10))&amp;IF('Registro por Sessão'!$S481="","","S3 P: "&amp;'Registro por Sessão'!$S481&amp;CHAR(10))&amp;IF('Registro por Sessão'!$G482="","","S4 D: "&amp;'Registro por Sessão'!$G482&amp;CHAR(10))&amp;IF('Registro por Sessão'!$K482="","","S4 F: "&amp;'Registro por Sessão'!$K482&amp;CHAR(10))&amp;IF('Registro por Sessão'!$O482="","","S4 C: "&amp;'Registro por Sessão'!$O482&amp;CHAR(10))&amp;IF('Registro por Sessão'!$S482="","","S4 P: "&amp;'Registro por Sessão'!$S482&amp;CHAR(10))&amp;IF('Registro por Sessão'!$G483="","","S5 D: "&amp;'Registro por Sessão'!$G483&amp;CHAR(10))&amp;IF('Registro por Sessão'!$K483="","","S5 F: "&amp;'Registro por Sessão'!$K483&amp;CHAR(10))&amp;IF('Registro por Sessão'!$O483="","","S5 C: "&amp;'Registro por Sessão'!$O483&amp;CHAR(10))&amp;IF('Registro por Sessão'!$S483="","","S5 P: "&amp;'Registro por Sessão'!$S483&amp;CHAR(10)))</f>
        <v/>
      </c>
      <c r="K99" s="14">
        <f>IF($B99="","",IF('Registro por Sessão'!$W479="","","S1: "&amp;'Registro por Sessão'!$W479&amp;CHAR(10))&amp;IF('Registro por Sessão'!$X479="","","S1 obs: "&amp;'Registro por Sessão'!$X479&amp;CHAR(10))&amp;IF('Registro por Sessão'!$W480="","","S2: "&amp;'Registro por Sessão'!$W480&amp;CHAR(10))&amp;IF('Registro por Sessão'!$X480="","","S2 obs: "&amp;'Registro por Sessão'!$X480&amp;CHAR(10))&amp;IF('Registro por Sessão'!$W481="","","S3: "&amp;'Registro por Sessão'!$W481&amp;CHAR(10))&amp;IF('Registro por Sessão'!$X481="","","S3 obs: "&amp;'Registro por Sessão'!$X481&amp;CHAR(10))&amp;IF('Registro por Sessão'!$W482="","","S4: "&amp;'Registro por Sessão'!$W482&amp;CHAR(10))&amp;IF('Registro por Sessão'!$X482="","","S4 obs: "&amp;'Registro por Sessão'!$X482&amp;CHAR(10))&amp;IF('Registro por Sessão'!$W483="","","S5: "&amp;'Registro por Sessão'!$W483&amp;CHAR(10))&amp;IF('Registro por Sessão'!$X483="","","S5 obs: "&amp;'Registro por Sessão'!$X483&amp;CHAR(10)))</f>
        <v/>
      </c>
      <c r="L99" s="2" t="n"/>
      <c r="M99" s="8">
        <f>IF(ISNUMBER('Registro por Sessão'!$J479),'Registro por Sessão'!$J479,"")</f>
        <v/>
      </c>
      <c r="N99" s="8">
        <f>IF(ISNUMBER('Registro por Sessão'!$J480),'Registro por Sessão'!$J480,"")</f>
        <v/>
      </c>
      <c r="O99" s="8">
        <f>IF(ISNUMBER('Registro por Sessão'!$J481),'Registro por Sessão'!$J481,"")</f>
        <v/>
      </c>
      <c r="P99" s="8">
        <f>IF(ISNUMBER('Registro por Sessão'!$J482),'Registro por Sessão'!$J482,"")</f>
        <v/>
      </c>
      <c r="Q99" s="8">
        <f>IF(ISNUMBER('Registro por Sessão'!$J483),'Registro por Sessão'!$J483,"")</f>
        <v/>
      </c>
      <c r="R99" s="8">
        <f>IF(ISNUMBER('Registro por Sessão'!$N479),'Registro por Sessão'!$N479,"")</f>
        <v/>
      </c>
      <c r="S99" s="8">
        <f>IF(ISNUMBER('Registro por Sessão'!$N480),'Registro por Sessão'!$N480,"")</f>
        <v/>
      </c>
      <c r="T99" s="8">
        <f>IF(ISNUMBER('Registro por Sessão'!$N481),'Registro por Sessão'!$N481,"")</f>
        <v/>
      </c>
      <c r="U99" s="8">
        <f>IF(ISNUMBER('Registro por Sessão'!$N482),'Registro por Sessão'!$N482,"")</f>
        <v/>
      </c>
      <c r="V99" s="8">
        <f>IF(ISNUMBER('Registro por Sessão'!$N483),'Registro por Sessão'!$N483,"")</f>
        <v/>
      </c>
      <c r="W99" s="8">
        <f>IF(ISNUMBER('Registro por Sessão'!$R479),'Registro por Sessão'!$R479,"")</f>
        <v/>
      </c>
      <c r="X99" s="8">
        <f>IF(ISNUMBER('Registro por Sessão'!$R480),'Registro por Sessão'!$R480,"")</f>
        <v/>
      </c>
      <c r="Y99" s="8">
        <f>IF(ISNUMBER('Registro por Sessão'!$R481),'Registro por Sessão'!$R481,"")</f>
        <v/>
      </c>
      <c r="Z99" s="8">
        <f>IF(ISNUMBER('Registro por Sessão'!$R482),'Registro por Sessão'!$R482,"")</f>
        <v/>
      </c>
      <c r="AA99" s="8">
        <f>IF(ISNUMBER('Registro por Sessão'!$R483),'Registro por Sessão'!$R483,"")</f>
        <v/>
      </c>
      <c r="AB99" s="8">
        <f>IF(ISNUMBER('Registro por Sessão'!$V479),'Registro por Sessão'!$V479,"")</f>
        <v/>
      </c>
      <c r="AC99" s="8">
        <f>IF(ISNUMBER('Registro por Sessão'!$V480),'Registro por Sessão'!$V480,"")</f>
        <v/>
      </c>
      <c r="AD99" s="8">
        <f>IF(ISNUMBER('Registro por Sessão'!$V481),'Registro por Sessão'!$V481,"")</f>
        <v/>
      </c>
      <c r="AE99" s="8">
        <f>IF(ISNUMBER('Registro por Sessão'!$V482),'Registro por Sessão'!$V482,"")</f>
        <v/>
      </c>
      <c r="AF99" s="8">
        <f>IF(ISNUMBER('Registro por Sessão'!$V483),'Registro por Sessão'!$V483,"")</f>
        <v/>
      </c>
    </row>
    <row r="100">
      <c r="A100" s="6">
        <f>IF($B100="","",ROW()-3)</f>
        <v/>
      </c>
      <c r="B100" s="7">
        <f>IF(Preenchimento!$B$106="","",Preenchimento!$B$106)</f>
        <v/>
      </c>
      <c r="C100" s="7">
        <f>IF($B100="","",IF(Preenchimento!$C$106="","-",Preenchimento!$C$106))</f>
        <v/>
      </c>
      <c r="D100" s="6">
        <f>IF($B100="","",IF(Preenchimento!$D$106="","-",Preenchimento!$D$106))</f>
        <v/>
      </c>
      <c r="E100" s="31">
        <f>IF($B100="","",IFERROR(AVERAGE(M100:Q100),"-"))</f>
        <v/>
      </c>
      <c r="F100" s="31">
        <f>IF($B100="","",IFERROR(AVERAGE(R100:V100),"-"))</f>
        <v/>
      </c>
      <c r="G100" s="31">
        <f>IF($B100="","",IFERROR(AVERAGE(W100:AA100),"-"))</f>
        <v/>
      </c>
      <c r="H100" s="31">
        <f>IF($B100="","",IFERROR(AVERAGE(AB100:AF100),"-"))</f>
        <v/>
      </c>
      <c r="I100" s="31">
        <f>IF($B100="","",IFERROR(AVERAGE(M100:AF100),"-"))</f>
        <v/>
      </c>
      <c r="J100" s="13">
        <f>IF($B100="","",IF('Registro por Sessão'!$G484="","","S1 D: "&amp;'Registro por Sessão'!$G484&amp;CHAR(10))&amp;IF('Registro por Sessão'!$K484="","","S1 F: "&amp;'Registro por Sessão'!$K484&amp;CHAR(10))&amp;IF('Registro por Sessão'!$O484="","","S1 C: "&amp;'Registro por Sessão'!$O484&amp;CHAR(10))&amp;IF('Registro por Sessão'!$S484="","","S1 P: "&amp;'Registro por Sessão'!$S484&amp;CHAR(10))&amp;IF('Registro por Sessão'!$G485="","","S2 D: "&amp;'Registro por Sessão'!$G485&amp;CHAR(10))&amp;IF('Registro por Sessão'!$K485="","","S2 F: "&amp;'Registro por Sessão'!$K485&amp;CHAR(10))&amp;IF('Registro por Sessão'!$O485="","","S2 C: "&amp;'Registro por Sessão'!$O485&amp;CHAR(10))&amp;IF('Registro por Sessão'!$S485="","","S2 P: "&amp;'Registro por Sessão'!$S485&amp;CHAR(10))&amp;IF('Registro por Sessão'!$G486="","","S3 D: "&amp;'Registro por Sessão'!$G486&amp;CHAR(10))&amp;IF('Registro por Sessão'!$K486="","","S3 F: "&amp;'Registro por Sessão'!$K486&amp;CHAR(10))&amp;IF('Registro por Sessão'!$O486="","","S3 C: "&amp;'Registro por Sessão'!$O486&amp;CHAR(10))&amp;IF('Registro por Sessão'!$S486="","","S3 P: "&amp;'Registro por Sessão'!$S486&amp;CHAR(10))&amp;IF('Registro por Sessão'!$G487="","","S4 D: "&amp;'Registro por Sessão'!$G487&amp;CHAR(10))&amp;IF('Registro por Sessão'!$K487="","","S4 F: "&amp;'Registro por Sessão'!$K487&amp;CHAR(10))&amp;IF('Registro por Sessão'!$O487="","","S4 C: "&amp;'Registro por Sessão'!$O487&amp;CHAR(10))&amp;IF('Registro por Sessão'!$S487="","","S4 P: "&amp;'Registro por Sessão'!$S487&amp;CHAR(10))&amp;IF('Registro por Sessão'!$G488="","","S5 D: "&amp;'Registro por Sessão'!$G488&amp;CHAR(10))&amp;IF('Registro por Sessão'!$K488="","","S5 F: "&amp;'Registro por Sessão'!$K488&amp;CHAR(10))&amp;IF('Registro por Sessão'!$O488="","","S5 C: "&amp;'Registro por Sessão'!$O488&amp;CHAR(10))&amp;IF('Registro por Sessão'!$S488="","","S5 P: "&amp;'Registro por Sessão'!$S488&amp;CHAR(10)))</f>
        <v/>
      </c>
      <c r="K100" s="13">
        <f>IF($B100="","",IF('Registro por Sessão'!$W484="","","S1: "&amp;'Registro por Sessão'!$W484&amp;CHAR(10))&amp;IF('Registro por Sessão'!$X484="","","S1 obs: "&amp;'Registro por Sessão'!$X484&amp;CHAR(10))&amp;IF('Registro por Sessão'!$W485="","","S2: "&amp;'Registro por Sessão'!$W485&amp;CHAR(10))&amp;IF('Registro por Sessão'!$X485="","","S2 obs: "&amp;'Registro por Sessão'!$X485&amp;CHAR(10))&amp;IF('Registro por Sessão'!$W486="","","S3: "&amp;'Registro por Sessão'!$W486&amp;CHAR(10))&amp;IF('Registro por Sessão'!$X486="","","S3 obs: "&amp;'Registro por Sessão'!$X486&amp;CHAR(10))&amp;IF('Registro por Sessão'!$W487="","","S4: "&amp;'Registro por Sessão'!$W487&amp;CHAR(10))&amp;IF('Registro por Sessão'!$X487="","","S4 obs: "&amp;'Registro por Sessão'!$X487&amp;CHAR(10))&amp;IF('Registro por Sessão'!$W488="","","S5: "&amp;'Registro por Sessão'!$W488&amp;CHAR(10))&amp;IF('Registro por Sessão'!$X488="","","S5 obs: "&amp;'Registro por Sessão'!$X488&amp;CHAR(10)))</f>
        <v/>
      </c>
      <c r="L100" s="2" t="n"/>
      <c r="M100" s="6">
        <f>IF(ISNUMBER('Registro por Sessão'!$J484),'Registro por Sessão'!$J484,"")</f>
        <v/>
      </c>
      <c r="N100" s="6">
        <f>IF(ISNUMBER('Registro por Sessão'!$J485),'Registro por Sessão'!$J485,"")</f>
        <v/>
      </c>
      <c r="O100" s="6">
        <f>IF(ISNUMBER('Registro por Sessão'!$J486),'Registro por Sessão'!$J486,"")</f>
        <v/>
      </c>
      <c r="P100" s="6">
        <f>IF(ISNUMBER('Registro por Sessão'!$J487),'Registro por Sessão'!$J487,"")</f>
        <v/>
      </c>
      <c r="Q100" s="6">
        <f>IF(ISNUMBER('Registro por Sessão'!$J488),'Registro por Sessão'!$J488,"")</f>
        <v/>
      </c>
      <c r="R100" s="6">
        <f>IF(ISNUMBER('Registro por Sessão'!$N484),'Registro por Sessão'!$N484,"")</f>
        <v/>
      </c>
      <c r="S100" s="6">
        <f>IF(ISNUMBER('Registro por Sessão'!$N485),'Registro por Sessão'!$N485,"")</f>
        <v/>
      </c>
      <c r="T100" s="6">
        <f>IF(ISNUMBER('Registro por Sessão'!$N486),'Registro por Sessão'!$N486,"")</f>
        <v/>
      </c>
      <c r="U100" s="6">
        <f>IF(ISNUMBER('Registro por Sessão'!$N487),'Registro por Sessão'!$N487,"")</f>
        <v/>
      </c>
      <c r="V100" s="6">
        <f>IF(ISNUMBER('Registro por Sessão'!$N488),'Registro por Sessão'!$N488,"")</f>
        <v/>
      </c>
      <c r="W100" s="6">
        <f>IF(ISNUMBER('Registro por Sessão'!$R484),'Registro por Sessão'!$R484,"")</f>
        <v/>
      </c>
      <c r="X100" s="6">
        <f>IF(ISNUMBER('Registro por Sessão'!$R485),'Registro por Sessão'!$R485,"")</f>
        <v/>
      </c>
      <c r="Y100" s="6">
        <f>IF(ISNUMBER('Registro por Sessão'!$R486),'Registro por Sessão'!$R486,"")</f>
        <v/>
      </c>
      <c r="Z100" s="6">
        <f>IF(ISNUMBER('Registro por Sessão'!$R487),'Registro por Sessão'!$R487,"")</f>
        <v/>
      </c>
      <c r="AA100" s="6">
        <f>IF(ISNUMBER('Registro por Sessão'!$R488),'Registro por Sessão'!$R488,"")</f>
        <v/>
      </c>
      <c r="AB100" s="6">
        <f>IF(ISNUMBER('Registro por Sessão'!$V484),'Registro por Sessão'!$V484,"")</f>
        <v/>
      </c>
      <c r="AC100" s="6">
        <f>IF(ISNUMBER('Registro por Sessão'!$V485),'Registro por Sessão'!$V485,"")</f>
        <v/>
      </c>
      <c r="AD100" s="6">
        <f>IF(ISNUMBER('Registro por Sessão'!$V486),'Registro por Sessão'!$V486,"")</f>
        <v/>
      </c>
      <c r="AE100" s="6">
        <f>IF(ISNUMBER('Registro por Sessão'!$V487),'Registro por Sessão'!$V487,"")</f>
        <v/>
      </c>
      <c r="AF100" s="6">
        <f>IF(ISNUMBER('Registro por Sessão'!$V488),'Registro por Sessão'!$V488,"")</f>
        <v/>
      </c>
    </row>
    <row r="101">
      <c r="A101" s="8">
        <f>IF($B101="","",ROW()-3)</f>
        <v/>
      </c>
      <c r="B101" s="9">
        <f>IF(Preenchimento!$B$107="","",Preenchimento!$B$107)</f>
        <v/>
      </c>
      <c r="C101" s="9">
        <f>IF($B101="","",IF(Preenchimento!$C$107="","-",Preenchimento!$C$107))</f>
        <v/>
      </c>
      <c r="D101" s="8">
        <f>IF($B101="","",IF(Preenchimento!$D$107="","-",Preenchimento!$D$107))</f>
        <v/>
      </c>
      <c r="E101" s="32">
        <f>IF($B101="","",IFERROR(AVERAGE(M101:Q101),"-"))</f>
        <v/>
      </c>
      <c r="F101" s="32">
        <f>IF($B101="","",IFERROR(AVERAGE(R101:V101),"-"))</f>
        <v/>
      </c>
      <c r="G101" s="32">
        <f>IF($B101="","",IFERROR(AVERAGE(W101:AA101),"-"))</f>
        <v/>
      </c>
      <c r="H101" s="32">
        <f>IF($B101="","",IFERROR(AVERAGE(AB101:AF101),"-"))</f>
        <v/>
      </c>
      <c r="I101" s="32">
        <f>IF($B101="","",IFERROR(AVERAGE(M101:AF101),"-"))</f>
        <v/>
      </c>
      <c r="J101" s="14">
        <f>IF($B101="","",IF('Registro por Sessão'!$G489="","","S1 D: "&amp;'Registro por Sessão'!$G489&amp;CHAR(10))&amp;IF('Registro por Sessão'!$K489="","","S1 F: "&amp;'Registro por Sessão'!$K489&amp;CHAR(10))&amp;IF('Registro por Sessão'!$O489="","","S1 C: "&amp;'Registro por Sessão'!$O489&amp;CHAR(10))&amp;IF('Registro por Sessão'!$S489="","","S1 P: "&amp;'Registro por Sessão'!$S489&amp;CHAR(10))&amp;IF('Registro por Sessão'!$G490="","","S2 D: "&amp;'Registro por Sessão'!$G490&amp;CHAR(10))&amp;IF('Registro por Sessão'!$K490="","","S2 F: "&amp;'Registro por Sessão'!$K490&amp;CHAR(10))&amp;IF('Registro por Sessão'!$O490="","","S2 C: "&amp;'Registro por Sessão'!$O490&amp;CHAR(10))&amp;IF('Registro por Sessão'!$S490="","","S2 P: "&amp;'Registro por Sessão'!$S490&amp;CHAR(10))&amp;IF('Registro por Sessão'!$G491="","","S3 D: "&amp;'Registro por Sessão'!$G491&amp;CHAR(10))&amp;IF('Registro por Sessão'!$K491="","","S3 F: "&amp;'Registro por Sessão'!$K491&amp;CHAR(10))&amp;IF('Registro por Sessão'!$O491="","","S3 C: "&amp;'Registro por Sessão'!$O491&amp;CHAR(10))&amp;IF('Registro por Sessão'!$S491="","","S3 P: "&amp;'Registro por Sessão'!$S491&amp;CHAR(10))&amp;IF('Registro por Sessão'!$G492="","","S4 D: "&amp;'Registro por Sessão'!$G492&amp;CHAR(10))&amp;IF('Registro por Sessão'!$K492="","","S4 F: "&amp;'Registro por Sessão'!$K492&amp;CHAR(10))&amp;IF('Registro por Sessão'!$O492="","","S4 C: "&amp;'Registro por Sessão'!$O492&amp;CHAR(10))&amp;IF('Registro por Sessão'!$S492="","","S4 P: "&amp;'Registro por Sessão'!$S492&amp;CHAR(10))&amp;IF('Registro por Sessão'!$G493="","","S5 D: "&amp;'Registro por Sessão'!$G493&amp;CHAR(10))&amp;IF('Registro por Sessão'!$K493="","","S5 F: "&amp;'Registro por Sessão'!$K493&amp;CHAR(10))&amp;IF('Registro por Sessão'!$O493="","","S5 C: "&amp;'Registro por Sessão'!$O493&amp;CHAR(10))&amp;IF('Registro por Sessão'!$S493="","","S5 P: "&amp;'Registro por Sessão'!$S493&amp;CHAR(10)))</f>
        <v/>
      </c>
      <c r="K101" s="14">
        <f>IF($B101="","",IF('Registro por Sessão'!$W489="","","S1: "&amp;'Registro por Sessão'!$W489&amp;CHAR(10))&amp;IF('Registro por Sessão'!$X489="","","S1 obs: "&amp;'Registro por Sessão'!$X489&amp;CHAR(10))&amp;IF('Registro por Sessão'!$W490="","","S2: "&amp;'Registro por Sessão'!$W490&amp;CHAR(10))&amp;IF('Registro por Sessão'!$X490="","","S2 obs: "&amp;'Registro por Sessão'!$X490&amp;CHAR(10))&amp;IF('Registro por Sessão'!$W491="","","S3: "&amp;'Registro por Sessão'!$W491&amp;CHAR(10))&amp;IF('Registro por Sessão'!$X491="","","S3 obs: "&amp;'Registro por Sessão'!$X491&amp;CHAR(10))&amp;IF('Registro por Sessão'!$W492="","","S4: "&amp;'Registro por Sessão'!$W492&amp;CHAR(10))&amp;IF('Registro por Sessão'!$X492="","","S4 obs: "&amp;'Registro por Sessão'!$X492&amp;CHAR(10))&amp;IF('Registro por Sessão'!$W493="","","S5: "&amp;'Registro por Sessão'!$W493&amp;CHAR(10))&amp;IF('Registro por Sessão'!$X493="","","S5 obs: "&amp;'Registro por Sessão'!$X493&amp;CHAR(10)))</f>
        <v/>
      </c>
      <c r="L101" s="2" t="n"/>
      <c r="M101" s="8">
        <f>IF(ISNUMBER('Registro por Sessão'!$J489),'Registro por Sessão'!$J489,"")</f>
        <v/>
      </c>
      <c r="N101" s="8">
        <f>IF(ISNUMBER('Registro por Sessão'!$J490),'Registro por Sessão'!$J490,"")</f>
        <v/>
      </c>
      <c r="O101" s="8">
        <f>IF(ISNUMBER('Registro por Sessão'!$J491),'Registro por Sessão'!$J491,"")</f>
        <v/>
      </c>
      <c r="P101" s="8">
        <f>IF(ISNUMBER('Registro por Sessão'!$J492),'Registro por Sessão'!$J492,"")</f>
        <v/>
      </c>
      <c r="Q101" s="8">
        <f>IF(ISNUMBER('Registro por Sessão'!$J493),'Registro por Sessão'!$J493,"")</f>
        <v/>
      </c>
      <c r="R101" s="8">
        <f>IF(ISNUMBER('Registro por Sessão'!$N489),'Registro por Sessão'!$N489,"")</f>
        <v/>
      </c>
      <c r="S101" s="8">
        <f>IF(ISNUMBER('Registro por Sessão'!$N490),'Registro por Sessão'!$N490,"")</f>
        <v/>
      </c>
      <c r="T101" s="8">
        <f>IF(ISNUMBER('Registro por Sessão'!$N491),'Registro por Sessão'!$N491,"")</f>
        <v/>
      </c>
      <c r="U101" s="8">
        <f>IF(ISNUMBER('Registro por Sessão'!$N492),'Registro por Sessão'!$N492,"")</f>
        <v/>
      </c>
      <c r="V101" s="8">
        <f>IF(ISNUMBER('Registro por Sessão'!$N493),'Registro por Sessão'!$N493,"")</f>
        <v/>
      </c>
      <c r="W101" s="8">
        <f>IF(ISNUMBER('Registro por Sessão'!$R489),'Registro por Sessão'!$R489,"")</f>
        <v/>
      </c>
      <c r="X101" s="8">
        <f>IF(ISNUMBER('Registro por Sessão'!$R490),'Registro por Sessão'!$R490,"")</f>
        <v/>
      </c>
      <c r="Y101" s="8">
        <f>IF(ISNUMBER('Registro por Sessão'!$R491),'Registro por Sessão'!$R491,"")</f>
        <v/>
      </c>
      <c r="Z101" s="8">
        <f>IF(ISNUMBER('Registro por Sessão'!$R492),'Registro por Sessão'!$R492,"")</f>
        <v/>
      </c>
      <c r="AA101" s="8">
        <f>IF(ISNUMBER('Registro por Sessão'!$R493),'Registro por Sessão'!$R493,"")</f>
        <v/>
      </c>
      <c r="AB101" s="8">
        <f>IF(ISNUMBER('Registro por Sessão'!$V489),'Registro por Sessão'!$V489,"")</f>
        <v/>
      </c>
      <c r="AC101" s="8">
        <f>IF(ISNUMBER('Registro por Sessão'!$V490),'Registro por Sessão'!$V490,"")</f>
        <v/>
      </c>
      <c r="AD101" s="8">
        <f>IF(ISNUMBER('Registro por Sessão'!$V491),'Registro por Sessão'!$V491,"")</f>
        <v/>
      </c>
      <c r="AE101" s="8">
        <f>IF(ISNUMBER('Registro por Sessão'!$V492),'Registro por Sessão'!$V492,"")</f>
        <v/>
      </c>
      <c r="AF101" s="8">
        <f>IF(ISNUMBER('Registro por Sessão'!$V493),'Registro por Sessão'!$V493,"")</f>
        <v/>
      </c>
    </row>
    <row r="102">
      <c r="A102" s="6">
        <f>IF($B102="","",ROW()-3)</f>
        <v/>
      </c>
      <c r="B102" s="7">
        <f>IF(Preenchimento!$B$108="","",Preenchimento!$B$108)</f>
        <v/>
      </c>
      <c r="C102" s="7">
        <f>IF($B102="","",IF(Preenchimento!$C$108="","-",Preenchimento!$C$108))</f>
        <v/>
      </c>
      <c r="D102" s="6">
        <f>IF($B102="","",IF(Preenchimento!$D$108="","-",Preenchimento!$D$108))</f>
        <v/>
      </c>
      <c r="E102" s="31">
        <f>IF($B102="","",IFERROR(AVERAGE(M102:Q102),"-"))</f>
        <v/>
      </c>
      <c r="F102" s="31">
        <f>IF($B102="","",IFERROR(AVERAGE(R102:V102),"-"))</f>
        <v/>
      </c>
      <c r="G102" s="31">
        <f>IF($B102="","",IFERROR(AVERAGE(W102:AA102),"-"))</f>
        <v/>
      </c>
      <c r="H102" s="31">
        <f>IF($B102="","",IFERROR(AVERAGE(AB102:AF102),"-"))</f>
        <v/>
      </c>
      <c r="I102" s="31">
        <f>IF($B102="","",IFERROR(AVERAGE(M102:AF102),"-"))</f>
        <v/>
      </c>
      <c r="J102" s="13">
        <f>IF($B102="","",IF('Registro por Sessão'!$G494="","","S1 D: "&amp;'Registro por Sessão'!$G494&amp;CHAR(10))&amp;IF('Registro por Sessão'!$K494="","","S1 F: "&amp;'Registro por Sessão'!$K494&amp;CHAR(10))&amp;IF('Registro por Sessão'!$O494="","","S1 C: "&amp;'Registro por Sessão'!$O494&amp;CHAR(10))&amp;IF('Registro por Sessão'!$S494="","","S1 P: "&amp;'Registro por Sessão'!$S494&amp;CHAR(10))&amp;IF('Registro por Sessão'!$G495="","","S2 D: "&amp;'Registro por Sessão'!$G495&amp;CHAR(10))&amp;IF('Registro por Sessão'!$K495="","","S2 F: "&amp;'Registro por Sessão'!$K495&amp;CHAR(10))&amp;IF('Registro por Sessão'!$O495="","","S2 C: "&amp;'Registro por Sessão'!$O495&amp;CHAR(10))&amp;IF('Registro por Sessão'!$S495="","","S2 P: "&amp;'Registro por Sessão'!$S495&amp;CHAR(10))&amp;IF('Registro por Sessão'!$G496="","","S3 D: "&amp;'Registro por Sessão'!$G496&amp;CHAR(10))&amp;IF('Registro por Sessão'!$K496="","","S3 F: "&amp;'Registro por Sessão'!$K496&amp;CHAR(10))&amp;IF('Registro por Sessão'!$O496="","","S3 C: "&amp;'Registro por Sessão'!$O496&amp;CHAR(10))&amp;IF('Registro por Sessão'!$S496="","","S3 P: "&amp;'Registro por Sessão'!$S496&amp;CHAR(10))&amp;IF('Registro por Sessão'!$G497="","","S4 D: "&amp;'Registro por Sessão'!$G497&amp;CHAR(10))&amp;IF('Registro por Sessão'!$K497="","","S4 F: "&amp;'Registro por Sessão'!$K497&amp;CHAR(10))&amp;IF('Registro por Sessão'!$O497="","","S4 C: "&amp;'Registro por Sessão'!$O497&amp;CHAR(10))&amp;IF('Registro por Sessão'!$S497="","","S4 P: "&amp;'Registro por Sessão'!$S497&amp;CHAR(10))&amp;IF('Registro por Sessão'!$G498="","","S5 D: "&amp;'Registro por Sessão'!$G498&amp;CHAR(10))&amp;IF('Registro por Sessão'!$K498="","","S5 F: "&amp;'Registro por Sessão'!$K498&amp;CHAR(10))&amp;IF('Registro por Sessão'!$O498="","","S5 C: "&amp;'Registro por Sessão'!$O498&amp;CHAR(10))&amp;IF('Registro por Sessão'!$S498="","","S5 P: "&amp;'Registro por Sessão'!$S498&amp;CHAR(10)))</f>
        <v/>
      </c>
      <c r="K102" s="13">
        <f>IF($B102="","",IF('Registro por Sessão'!$W494="","","S1: "&amp;'Registro por Sessão'!$W494&amp;CHAR(10))&amp;IF('Registro por Sessão'!$X494="","","S1 obs: "&amp;'Registro por Sessão'!$X494&amp;CHAR(10))&amp;IF('Registro por Sessão'!$W495="","","S2: "&amp;'Registro por Sessão'!$W495&amp;CHAR(10))&amp;IF('Registro por Sessão'!$X495="","","S2 obs: "&amp;'Registro por Sessão'!$X495&amp;CHAR(10))&amp;IF('Registro por Sessão'!$W496="","","S3: "&amp;'Registro por Sessão'!$W496&amp;CHAR(10))&amp;IF('Registro por Sessão'!$X496="","","S3 obs: "&amp;'Registro por Sessão'!$X496&amp;CHAR(10))&amp;IF('Registro por Sessão'!$W497="","","S4: "&amp;'Registro por Sessão'!$W497&amp;CHAR(10))&amp;IF('Registro por Sessão'!$X497="","","S4 obs: "&amp;'Registro por Sessão'!$X497&amp;CHAR(10))&amp;IF('Registro por Sessão'!$W498="","","S5: "&amp;'Registro por Sessão'!$W498&amp;CHAR(10))&amp;IF('Registro por Sessão'!$X498="","","S5 obs: "&amp;'Registro por Sessão'!$X498&amp;CHAR(10)))</f>
        <v/>
      </c>
      <c r="L102" s="2" t="n"/>
      <c r="M102" s="6">
        <f>IF(ISNUMBER('Registro por Sessão'!$J494),'Registro por Sessão'!$J494,"")</f>
        <v/>
      </c>
      <c r="N102" s="6">
        <f>IF(ISNUMBER('Registro por Sessão'!$J495),'Registro por Sessão'!$J495,"")</f>
        <v/>
      </c>
      <c r="O102" s="6">
        <f>IF(ISNUMBER('Registro por Sessão'!$J496),'Registro por Sessão'!$J496,"")</f>
        <v/>
      </c>
      <c r="P102" s="6">
        <f>IF(ISNUMBER('Registro por Sessão'!$J497),'Registro por Sessão'!$J497,"")</f>
        <v/>
      </c>
      <c r="Q102" s="6">
        <f>IF(ISNUMBER('Registro por Sessão'!$J498),'Registro por Sessão'!$J498,"")</f>
        <v/>
      </c>
      <c r="R102" s="6">
        <f>IF(ISNUMBER('Registro por Sessão'!$N494),'Registro por Sessão'!$N494,"")</f>
        <v/>
      </c>
      <c r="S102" s="6">
        <f>IF(ISNUMBER('Registro por Sessão'!$N495),'Registro por Sessão'!$N495,"")</f>
        <v/>
      </c>
      <c r="T102" s="6">
        <f>IF(ISNUMBER('Registro por Sessão'!$N496),'Registro por Sessão'!$N496,"")</f>
        <v/>
      </c>
      <c r="U102" s="6">
        <f>IF(ISNUMBER('Registro por Sessão'!$N497),'Registro por Sessão'!$N497,"")</f>
        <v/>
      </c>
      <c r="V102" s="6">
        <f>IF(ISNUMBER('Registro por Sessão'!$N498),'Registro por Sessão'!$N498,"")</f>
        <v/>
      </c>
      <c r="W102" s="6">
        <f>IF(ISNUMBER('Registro por Sessão'!$R494),'Registro por Sessão'!$R494,"")</f>
        <v/>
      </c>
      <c r="X102" s="6">
        <f>IF(ISNUMBER('Registro por Sessão'!$R495),'Registro por Sessão'!$R495,"")</f>
        <v/>
      </c>
      <c r="Y102" s="6">
        <f>IF(ISNUMBER('Registro por Sessão'!$R496),'Registro por Sessão'!$R496,"")</f>
        <v/>
      </c>
      <c r="Z102" s="6">
        <f>IF(ISNUMBER('Registro por Sessão'!$R497),'Registro por Sessão'!$R497,"")</f>
        <v/>
      </c>
      <c r="AA102" s="6">
        <f>IF(ISNUMBER('Registro por Sessão'!$R498),'Registro por Sessão'!$R498,"")</f>
        <v/>
      </c>
      <c r="AB102" s="6">
        <f>IF(ISNUMBER('Registro por Sessão'!$V494),'Registro por Sessão'!$V494,"")</f>
        <v/>
      </c>
      <c r="AC102" s="6">
        <f>IF(ISNUMBER('Registro por Sessão'!$V495),'Registro por Sessão'!$V495,"")</f>
        <v/>
      </c>
      <c r="AD102" s="6">
        <f>IF(ISNUMBER('Registro por Sessão'!$V496),'Registro por Sessão'!$V496,"")</f>
        <v/>
      </c>
      <c r="AE102" s="6">
        <f>IF(ISNUMBER('Registro por Sessão'!$V497),'Registro por Sessão'!$V497,"")</f>
        <v/>
      </c>
      <c r="AF102" s="6">
        <f>IF(ISNUMBER('Registro por Sessão'!$V498),'Registro por Sessão'!$V498,"")</f>
        <v/>
      </c>
    </row>
    <row r="103">
      <c r="A103" s="8">
        <f>IF($B103="","",ROW()-3)</f>
        <v/>
      </c>
      <c r="B103" s="9">
        <f>IF(Preenchimento!$B$109="","",Preenchimento!$B$109)</f>
        <v/>
      </c>
      <c r="C103" s="9">
        <f>IF($B103="","",IF(Preenchimento!$C$109="","-",Preenchimento!$C$109))</f>
        <v/>
      </c>
      <c r="D103" s="8">
        <f>IF($B103="","",IF(Preenchimento!$D$109="","-",Preenchimento!$D$109))</f>
        <v/>
      </c>
      <c r="E103" s="32">
        <f>IF($B103="","",IFERROR(AVERAGE(M103:Q103),"-"))</f>
        <v/>
      </c>
      <c r="F103" s="32">
        <f>IF($B103="","",IFERROR(AVERAGE(R103:V103),"-"))</f>
        <v/>
      </c>
      <c r="G103" s="32">
        <f>IF($B103="","",IFERROR(AVERAGE(W103:AA103),"-"))</f>
        <v/>
      </c>
      <c r="H103" s="32">
        <f>IF($B103="","",IFERROR(AVERAGE(AB103:AF103),"-"))</f>
        <v/>
      </c>
      <c r="I103" s="32">
        <f>IF($B103="","",IFERROR(AVERAGE(M103:AF103),"-"))</f>
        <v/>
      </c>
      <c r="J103" s="14">
        <f>IF($B103="","",IF('Registro por Sessão'!$G499="","","S1 D: "&amp;'Registro por Sessão'!$G499&amp;CHAR(10))&amp;IF('Registro por Sessão'!$K499="","","S1 F: "&amp;'Registro por Sessão'!$K499&amp;CHAR(10))&amp;IF('Registro por Sessão'!$O499="","","S1 C: "&amp;'Registro por Sessão'!$O499&amp;CHAR(10))&amp;IF('Registro por Sessão'!$S499="","","S1 P: "&amp;'Registro por Sessão'!$S499&amp;CHAR(10))&amp;IF('Registro por Sessão'!$G500="","","S2 D: "&amp;'Registro por Sessão'!$G500&amp;CHAR(10))&amp;IF('Registro por Sessão'!$K500="","","S2 F: "&amp;'Registro por Sessão'!$K500&amp;CHAR(10))&amp;IF('Registro por Sessão'!$O500="","","S2 C: "&amp;'Registro por Sessão'!$O500&amp;CHAR(10))&amp;IF('Registro por Sessão'!$S500="","","S2 P: "&amp;'Registro por Sessão'!$S500&amp;CHAR(10))&amp;IF('Registro por Sessão'!$G501="","","S3 D: "&amp;'Registro por Sessão'!$G501&amp;CHAR(10))&amp;IF('Registro por Sessão'!$K501="","","S3 F: "&amp;'Registro por Sessão'!$K501&amp;CHAR(10))&amp;IF('Registro por Sessão'!$O501="","","S3 C: "&amp;'Registro por Sessão'!$O501&amp;CHAR(10))&amp;IF('Registro por Sessão'!$S501="","","S3 P: "&amp;'Registro por Sessão'!$S501&amp;CHAR(10))&amp;IF('Registro por Sessão'!$G502="","","S4 D: "&amp;'Registro por Sessão'!$G502&amp;CHAR(10))&amp;IF('Registro por Sessão'!$K502="","","S4 F: "&amp;'Registro por Sessão'!$K502&amp;CHAR(10))&amp;IF('Registro por Sessão'!$O502="","","S4 C: "&amp;'Registro por Sessão'!$O502&amp;CHAR(10))&amp;IF('Registro por Sessão'!$S502="","","S4 P: "&amp;'Registro por Sessão'!$S502&amp;CHAR(10))&amp;IF('Registro por Sessão'!$G503="","","S5 D: "&amp;'Registro por Sessão'!$G503&amp;CHAR(10))&amp;IF('Registro por Sessão'!$K503="","","S5 F: "&amp;'Registro por Sessão'!$K503&amp;CHAR(10))&amp;IF('Registro por Sessão'!$O503="","","S5 C: "&amp;'Registro por Sessão'!$O503&amp;CHAR(10))&amp;IF('Registro por Sessão'!$S503="","","S5 P: "&amp;'Registro por Sessão'!$S503&amp;CHAR(10)))</f>
        <v/>
      </c>
      <c r="K103" s="14">
        <f>IF($B103="","",IF('Registro por Sessão'!$W499="","","S1: "&amp;'Registro por Sessão'!$W499&amp;CHAR(10))&amp;IF('Registro por Sessão'!$X499="","","S1 obs: "&amp;'Registro por Sessão'!$X499&amp;CHAR(10))&amp;IF('Registro por Sessão'!$W500="","","S2: "&amp;'Registro por Sessão'!$W500&amp;CHAR(10))&amp;IF('Registro por Sessão'!$X500="","","S2 obs: "&amp;'Registro por Sessão'!$X500&amp;CHAR(10))&amp;IF('Registro por Sessão'!$W501="","","S3: "&amp;'Registro por Sessão'!$W501&amp;CHAR(10))&amp;IF('Registro por Sessão'!$X501="","","S3 obs: "&amp;'Registro por Sessão'!$X501&amp;CHAR(10))&amp;IF('Registro por Sessão'!$W502="","","S4: "&amp;'Registro por Sessão'!$W502&amp;CHAR(10))&amp;IF('Registro por Sessão'!$X502="","","S4 obs: "&amp;'Registro por Sessão'!$X502&amp;CHAR(10))&amp;IF('Registro por Sessão'!$W503="","","S5: "&amp;'Registro por Sessão'!$W503&amp;CHAR(10))&amp;IF('Registro por Sessão'!$X503="","","S5 obs: "&amp;'Registro por Sessão'!$X503&amp;CHAR(10)))</f>
        <v/>
      </c>
      <c r="L103" s="2" t="n"/>
      <c r="M103" s="8">
        <f>IF(ISNUMBER('Registro por Sessão'!$J499),'Registro por Sessão'!$J499,"")</f>
        <v/>
      </c>
      <c r="N103" s="8">
        <f>IF(ISNUMBER('Registro por Sessão'!$J500),'Registro por Sessão'!$J500,"")</f>
        <v/>
      </c>
      <c r="O103" s="8">
        <f>IF(ISNUMBER('Registro por Sessão'!$J501),'Registro por Sessão'!$J501,"")</f>
        <v/>
      </c>
      <c r="P103" s="8">
        <f>IF(ISNUMBER('Registro por Sessão'!$J502),'Registro por Sessão'!$J502,"")</f>
        <v/>
      </c>
      <c r="Q103" s="8">
        <f>IF(ISNUMBER('Registro por Sessão'!$J503),'Registro por Sessão'!$J503,"")</f>
        <v/>
      </c>
      <c r="R103" s="8">
        <f>IF(ISNUMBER('Registro por Sessão'!$N499),'Registro por Sessão'!$N499,"")</f>
        <v/>
      </c>
      <c r="S103" s="8">
        <f>IF(ISNUMBER('Registro por Sessão'!$N500),'Registro por Sessão'!$N500,"")</f>
        <v/>
      </c>
      <c r="T103" s="8">
        <f>IF(ISNUMBER('Registro por Sessão'!$N501),'Registro por Sessão'!$N501,"")</f>
        <v/>
      </c>
      <c r="U103" s="8">
        <f>IF(ISNUMBER('Registro por Sessão'!$N502),'Registro por Sessão'!$N502,"")</f>
        <v/>
      </c>
      <c r="V103" s="8">
        <f>IF(ISNUMBER('Registro por Sessão'!$N503),'Registro por Sessão'!$N503,"")</f>
        <v/>
      </c>
      <c r="W103" s="8">
        <f>IF(ISNUMBER('Registro por Sessão'!$R499),'Registro por Sessão'!$R499,"")</f>
        <v/>
      </c>
      <c r="X103" s="8">
        <f>IF(ISNUMBER('Registro por Sessão'!$R500),'Registro por Sessão'!$R500,"")</f>
        <v/>
      </c>
      <c r="Y103" s="8">
        <f>IF(ISNUMBER('Registro por Sessão'!$R501),'Registro por Sessão'!$R501,"")</f>
        <v/>
      </c>
      <c r="Z103" s="8">
        <f>IF(ISNUMBER('Registro por Sessão'!$R502),'Registro por Sessão'!$R502,"")</f>
        <v/>
      </c>
      <c r="AA103" s="8">
        <f>IF(ISNUMBER('Registro por Sessão'!$R503),'Registro por Sessão'!$R503,"")</f>
        <v/>
      </c>
      <c r="AB103" s="8">
        <f>IF(ISNUMBER('Registro por Sessão'!$V499),'Registro por Sessão'!$V499,"")</f>
        <v/>
      </c>
      <c r="AC103" s="8">
        <f>IF(ISNUMBER('Registro por Sessão'!$V500),'Registro por Sessão'!$V500,"")</f>
        <v/>
      </c>
      <c r="AD103" s="8">
        <f>IF(ISNUMBER('Registro por Sessão'!$V501),'Registro por Sessão'!$V501,"")</f>
        <v/>
      </c>
      <c r="AE103" s="8">
        <f>IF(ISNUMBER('Registro por Sessão'!$V502),'Registro por Sessão'!$V502,"")</f>
        <v/>
      </c>
      <c r="AF103" s="8">
        <f>IF(ISNUMBER('Registro por Sessão'!$V503),'Registro por Sessão'!$V503,"")</f>
        <v/>
      </c>
    </row>
  </sheetData>
  <mergeCells count="7">
    <mergeCell ref="M2:Q2"/>
    <mergeCell ref="M1:AF1"/>
    <mergeCell ref="W2:AA2"/>
    <mergeCell ref="AB2:AF2"/>
    <mergeCell ref="A2:K2"/>
    <mergeCell ref="R2:V2"/>
    <mergeCell ref="A1:K1"/>
  </mergeCells>
  <conditionalFormatting sqref="A4:K103">
    <cfRule type="expression" priority="1" dxfId="0">
      <formula>$D4="Falta"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2026-07-07T16:56:54Z</dcterms:created>
  <dcterms:modified xsi:type="dcterms:W3CDTF">2026-07-07T16:56:54Z</dcterms:modified>
</cp:coreProperties>
</file>